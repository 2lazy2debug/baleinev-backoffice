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nuel/Library/CloudStorage/GoogleDrive-djcab94@gmail.com/.shortcut-targets-by-id/1-xWjLTCN5WcpJU5v8IDli_xbptupJsL1/Baleinev/Baleinev 2026/Comptabilité/Interne/"/>
    </mc:Choice>
  </mc:AlternateContent>
  <xr:revisionPtr revIDLastSave="0" documentId="13_ncr:1_{D91E7851-299A-BE46-BCD4-D77709D1F4ED}" xr6:coauthVersionLast="47" xr6:coauthVersionMax="47" xr10:uidLastSave="{00000000-0000-0000-0000-000000000000}"/>
  <bookViews>
    <workbookView xWindow="0" yWindow="600" windowWidth="33600" windowHeight="20400" activeTab="1" xr2:uid="{00000000-000D-0000-FFFF-FFFF00000000}"/>
  </bookViews>
  <sheets>
    <sheet name="Fonds de caisse 2025-2026" sheetId="1" r:id="rId1"/>
    <sheet name="Comptage caisse (machine)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9wjfp2hl6xoO2VlDpdRR+mDEkfYjQmd9HvmhJZd94k="/>
    </ext>
  </extLst>
</workbook>
</file>

<file path=xl/calcChain.xml><?xml version="1.0" encoding="utf-8"?>
<calcChain xmlns="http://schemas.openxmlformats.org/spreadsheetml/2006/main">
  <c r="L27" i="2" l="1"/>
  <c r="K27" i="2"/>
  <c r="O27" i="2"/>
  <c r="O26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7" i="2"/>
  <c r="O6" i="2"/>
  <c r="O5" i="2"/>
  <c r="O4" i="2"/>
  <c r="M26" i="1"/>
  <c r="M25" i="1"/>
  <c r="P24" i="1"/>
  <c r="M24" i="1"/>
  <c r="M23" i="1"/>
  <c r="M22" i="1"/>
  <c r="M21" i="1"/>
  <c r="M20" i="1"/>
  <c r="P19" i="1"/>
  <c r="M19" i="1"/>
  <c r="P18" i="1"/>
  <c r="M18" i="1"/>
  <c r="P17" i="1"/>
  <c r="M17" i="1"/>
  <c r="P16" i="1"/>
  <c r="M16" i="1"/>
  <c r="P15" i="1"/>
  <c r="M15" i="1"/>
  <c r="P14" i="1"/>
  <c r="M14" i="1"/>
  <c r="P13" i="1"/>
  <c r="M13" i="1"/>
  <c r="P12" i="1"/>
  <c r="M12" i="1"/>
  <c r="P11" i="1"/>
  <c r="M11" i="1"/>
  <c r="P10" i="1"/>
  <c r="M10" i="1"/>
  <c r="P9" i="1"/>
  <c r="M9" i="1"/>
  <c r="P8" i="1"/>
  <c r="M8" i="1"/>
  <c r="P7" i="1"/>
  <c r="M7" i="1"/>
  <c r="P6" i="1"/>
  <c r="M6" i="1"/>
  <c r="P5" i="1"/>
  <c r="M5" i="1"/>
  <c r="P4" i="1"/>
  <c r="M4" i="1"/>
</calcChain>
</file>

<file path=xl/sharedStrings.xml><?xml version="1.0" encoding="utf-8"?>
<sst xmlns="http://schemas.openxmlformats.org/spreadsheetml/2006/main" count="120" uniqueCount="51">
  <si>
    <t>Fonds de caisse</t>
  </si>
  <si>
    <t>Date</t>
  </si>
  <si>
    <t>Type</t>
  </si>
  <si>
    <t>0.05</t>
  </si>
  <si>
    <t>0.1</t>
  </si>
  <si>
    <t>0.2</t>
  </si>
  <si>
    <t>0.5</t>
  </si>
  <si>
    <t>1</t>
  </si>
  <si>
    <t>2</t>
  </si>
  <si>
    <t>5</t>
  </si>
  <si>
    <t>10</t>
  </si>
  <si>
    <t>20</t>
  </si>
  <si>
    <t>50</t>
  </si>
  <si>
    <t>Total émis</t>
  </si>
  <si>
    <t>Validation externe</t>
  </si>
  <si>
    <t>Commentaire</t>
  </si>
  <si>
    <t>Bilan entrée</t>
  </si>
  <si>
    <t>11.09.2025</t>
  </si>
  <si>
    <t>Sortie</t>
  </si>
  <si>
    <t>Benoît</t>
  </si>
  <si>
    <t>Entrée</t>
  </si>
  <si>
    <t>Aucune</t>
  </si>
  <si>
    <t>5 BONS</t>
  </si>
  <si>
    <t>15.09.2025</t>
  </si>
  <si>
    <t>16.09.2025</t>
  </si>
  <si>
    <t>17.09.2025</t>
  </si>
  <si>
    <t>18.09.2025</t>
  </si>
  <si>
    <t>caisse after</t>
  </si>
  <si>
    <t>Gilles</t>
  </si>
  <si>
    <t>19.09.2025</t>
  </si>
  <si>
    <t>23.09.2025</t>
  </si>
  <si>
    <t>09.10.2025</t>
  </si>
  <si>
    <t>Entrée GM</t>
  </si>
  <si>
    <t>Sortie pour after</t>
  </si>
  <si>
    <t>Dans la crusie</t>
  </si>
  <si>
    <t>Cash pour courses</t>
  </si>
  <si>
    <t>Remboursement NF thomas (sub)</t>
  </si>
  <si>
    <t xml:space="preserve">Reste courses </t>
  </si>
  <si>
    <t>Entrée cash after 09.10</t>
  </si>
  <si>
    <t>GM : Manu + benoit + 1 vin</t>
  </si>
  <si>
    <t>Total caisse</t>
  </si>
  <si>
    <t>11/27/2025</t>
  </si>
  <si>
    <t>30.03.2026</t>
  </si>
  <si>
    <t>Crousille</t>
  </si>
  <si>
    <t>vidange crousille</t>
  </si>
  <si>
    <t>vidange caisse stroch</t>
  </si>
  <si>
    <t>vidange caisse chzo</t>
  </si>
  <si>
    <t xml:space="preserve">décompte caisse </t>
  </si>
  <si>
    <t>gains stroch cash</t>
  </si>
  <si>
    <t>gains chzo cash</t>
  </si>
  <si>
    <t>5.5.2026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</si>
</sst>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5" formatCode="dd/mm/yyyy"/>
  </numFmts>
  <fonts count="6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</font>
    <font>
      <sz val="12"/>
      <color theme="1"/>
      <name val="Aptos Narrow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3" borderId="1" xfId="0" applyFont="1" applyFill="1" applyBorder="1"/>
    <xf numFmtId="164" fontId="3" fillId="0" borderId="0" xfId="0" applyNumberFormat="1" applyFont="1"/>
    <xf numFmtId="0" fontId="2" fillId="2" borderId="1" xfId="0" applyFont="1" applyFill="1" applyBorder="1" applyAlignment="1">
      <alignment horizontal="righ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64" fontId="5" fillId="0" borderId="0" xfId="0" applyNumberFormat="1" applyFont="1"/>
    <xf numFmtId="165" fontId="4" fillId="0" borderId="0" xfId="0" applyNumberFormat="1" applyFont="1"/>
  </cellXfs>
  <cellStyles count="1">
    <cellStyle name="Normal" xfId="0" builtinId="0"/>
  </cellStyles>
  <dxfs count="6"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2">
    <tableStyle name="Fonds de caisse 2025-2026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Comptage caisse (machine)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P27">
  <tableColumns count="16">
    <tableColumn id="1" xr3:uid="{00000000-0010-0000-0000-000001000000}" name="Date"/>
    <tableColumn id="2" xr3:uid="{00000000-0010-0000-0000-000002000000}" name="Type"/>
    <tableColumn id="3" xr3:uid="{00000000-0010-0000-0000-000003000000}" name="0.05"/>
    <tableColumn id="4" xr3:uid="{00000000-0010-0000-0000-000004000000}" name="0.1"/>
    <tableColumn id="5" xr3:uid="{00000000-0010-0000-0000-000005000000}" name="0.2"/>
    <tableColumn id="6" xr3:uid="{00000000-0010-0000-0000-000006000000}" name="0.5"/>
    <tableColumn id="7" xr3:uid="{00000000-0010-0000-0000-000007000000}" name="1"/>
    <tableColumn id="8" xr3:uid="{00000000-0010-0000-0000-000008000000}" name="2"/>
    <tableColumn id="9" xr3:uid="{00000000-0010-0000-0000-000009000000}" name="5"/>
    <tableColumn id="10" xr3:uid="{00000000-0010-0000-0000-00000A000000}" name="10"/>
    <tableColumn id="11" xr3:uid="{00000000-0010-0000-0000-00000B000000}" name="20"/>
    <tableColumn id="12" xr3:uid="{00000000-0010-0000-0000-00000C000000}" name="50"/>
    <tableColumn id="13" xr3:uid="{00000000-0010-0000-0000-00000D000000}" name="Total émis"/>
    <tableColumn id="14" xr3:uid="{00000000-0010-0000-0000-00000E000000}" name="Validation externe"/>
    <tableColumn id="15" xr3:uid="{00000000-0010-0000-0000-00000F000000}" name="Commentaire"/>
    <tableColumn id="16" xr3:uid="{00000000-0010-0000-0000-000010000000}" name="Bilan entrée"/>
  </tableColumns>
  <tableStyleInfo name="Fonds de caisse 2025-2026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P27" headerRowCount="0">
  <tableColumns count="16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</tableColumns>
  <tableStyleInfo name="Comptage caisse (machine)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9"/>
  <sheetViews>
    <sheetView workbookViewId="0"/>
  </sheetViews>
  <sheetFormatPr baseColWidth="10" defaultColWidth="11.1640625" defaultRowHeight="15" customHeight="1" x14ac:dyDescent="0.2"/>
  <cols>
    <col min="1" max="1" width="16.5" customWidth="1"/>
    <col min="2" max="12" width="10.5" customWidth="1"/>
    <col min="13" max="13" width="12.1640625" customWidth="1"/>
    <col min="14" max="14" width="22.5" customWidth="1"/>
    <col min="15" max="15" width="29.1640625" customWidth="1"/>
    <col min="16" max="16" width="14" customWidth="1"/>
    <col min="17" max="26" width="10.5" customWidth="1"/>
  </cols>
  <sheetData>
    <row r="1" spans="1:16" ht="15.75" customHeight="1" x14ac:dyDescent="0.2">
      <c r="A1" s="1" t="s">
        <v>0</v>
      </c>
    </row>
    <row r="2" spans="1:16" ht="15.75" customHeight="1" x14ac:dyDescent="0.2"/>
    <row r="3" spans="1:16" ht="15.75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ht="15.75" customHeight="1" x14ac:dyDescent="0.2">
      <c r="A4" s="1" t="s">
        <v>17</v>
      </c>
      <c r="B4" s="1" t="s">
        <v>18</v>
      </c>
      <c r="C4" s="1"/>
      <c r="D4" s="1">
        <v>20</v>
      </c>
      <c r="E4" s="1">
        <v>25</v>
      </c>
      <c r="F4" s="1">
        <v>30</v>
      </c>
      <c r="G4" s="1">
        <v>34</v>
      </c>
      <c r="H4" s="1">
        <v>22</v>
      </c>
      <c r="I4" s="1">
        <v>10</v>
      </c>
      <c r="J4" s="1">
        <v>3</v>
      </c>
      <c r="K4" s="1">
        <v>1</v>
      </c>
      <c r="L4" s="1">
        <v>0</v>
      </c>
      <c r="M4" s="2">
        <f>(D4*D$3+E4*E$3+F4*F$3+G4*G$3+H4*H$3+I4*I$3+J4*J$3+K4*K$3+L4*L$3)*IF(B3 = "Entrée",1,-1)</f>
        <v>-200</v>
      </c>
      <c r="N4" s="1" t="s">
        <v>19</v>
      </c>
      <c r="O4" s="1"/>
      <c r="P4" s="3" t="str">
        <f>IF('Fonds de caisse 2025-2026'!$B4="Sortie","",'Fonds de caisse 2025-2026'!$M4-(-1*M3))</f>
        <v/>
      </c>
    </row>
    <row r="5" spans="1:16" ht="15.75" customHeight="1" x14ac:dyDescent="0.2">
      <c r="A5" s="4" t="s">
        <v>17</v>
      </c>
      <c r="B5" s="5" t="s">
        <v>20</v>
      </c>
      <c r="C5" s="5"/>
      <c r="D5" s="2">
        <v>20</v>
      </c>
      <c r="E5" s="2">
        <v>25</v>
      </c>
      <c r="F5" s="2">
        <v>30</v>
      </c>
      <c r="G5" s="2">
        <v>38</v>
      </c>
      <c r="H5" s="2">
        <v>27</v>
      </c>
      <c r="I5" s="2">
        <v>10</v>
      </c>
      <c r="J5" s="2">
        <v>2</v>
      </c>
      <c r="K5" s="2">
        <v>2</v>
      </c>
      <c r="L5" s="4">
        <v>0</v>
      </c>
      <c r="M5" s="2">
        <f t="shared" ref="M5:M19" si="0">(D5*D$3+E5*E$3+F5*F$3+G5*G$3+H5*H$3+I5*I$3+J5*J$3+K5*K$3+L5*L$3)*IF(B5 = "Entrée",1,-1)</f>
        <v>224</v>
      </c>
      <c r="N5" s="4" t="s">
        <v>21</v>
      </c>
      <c r="O5" s="4" t="s">
        <v>22</v>
      </c>
      <c r="P5" s="3">
        <f>IF('Fonds de caisse 2025-2026'!$B5="Sortie","",'Fonds de caisse 2025-2026'!$M5-(-1*M4))</f>
        <v>24</v>
      </c>
    </row>
    <row r="6" spans="1:16" ht="15.75" customHeight="1" x14ac:dyDescent="0.2">
      <c r="A6" s="4" t="s">
        <v>23</v>
      </c>
      <c r="B6" s="5" t="s">
        <v>18</v>
      </c>
      <c r="C6" s="5"/>
      <c r="D6" s="2">
        <v>20</v>
      </c>
      <c r="E6" s="2">
        <v>20</v>
      </c>
      <c r="F6" s="2">
        <v>20</v>
      </c>
      <c r="G6" s="2">
        <v>20</v>
      </c>
      <c r="H6" s="2">
        <v>57</v>
      </c>
      <c r="I6" s="2">
        <v>8</v>
      </c>
      <c r="J6" s="2">
        <v>3</v>
      </c>
      <c r="K6" s="2">
        <v>1</v>
      </c>
      <c r="L6" s="4">
        <v>0</v>
      </c>
      <c r="M6" s="2">
        <f t="shared" si="0"/>
        <v>-240</v>
      </c>
      <c r="N6" s="4" t="s">
        <v>21</v>
      </c>
      <c r="O6" s="1"/>
      <c r="P6" s="3" t="str">
        <f>IF('Fonds de caisse 2025-2026'!$B6="Sortie","",'Fonds de caisse 2025-2026'!$M6-(-1*M5))</f>
        <v/>
      </c>
    </row>
    <row r="7" spans="1:16" ht="15.75" customHeight="1" x14ac:dyDescent="0.2">
      <c r="A7" s="4" t="s">
        <v>23</v>
      </c>
      <c r="B7" s="1" t="s">
        <v>20</v>
      </c>
      <c r="C7" s="1"/>
      <c r="D7" s="1">
        <v>20</v>
      </c>
      <c r="E7" s="1">
        <v>20</v>
      </c>
      <c r="F7" s="1">
        <v>20</v>
      </c>
      <c r="G7" s="1">
        <v>24</v>
      </c>
      <c r="H7" s="1">
        <v>35</v>
      </c>
      <c r="I7" s="1">
        <v>6</v>
      </c>
      <c r="J7" s="1">
        <v>3</v>
      </c>
      <c r="K7" s="1">
        <v>4</v>
      </c>
      <c r="L7" s="1">
        <v>1</v>
      </c>
      <c r="M7" s="2">
        <f t="shared" si="0"/>
        <v>300</v>
      </c>
      <c r="N7" s="1" t="s">
        <v>21</v>
      </c>
      <c r="O7" s="1"/>
      <c r="P7" s="3">
        <f>IF('Fonds de caisse 2025-2026'!$B7="Sortie","",'Fonds de caisse 2025-2026'!$M7-(-1*M6))</f>
        <v>60</v>
      </c>
    </row>
    <row r="8" spans="1:16" ht="15.75" customHeight="1" x14ac:dyDescent="0.2">
      <c r="A8" s="4" t="s">
        <v>23</v>
      </c>
      <c r="B8" s="1" t="s">
        <v>18</v>
      </c>
      <c r="C8" s="1"/>
      <c r="D8" s="1">
        <v>20</v>
      </c>
      <c r="E8" s="1">
        <v>20</v>
      </c>
      <c r="F8" s="1">
        <v>20</v>
      </c>
      <c r="G8" s="1">
        <v>30</v>
      </c>
      <c r="H8" s="1">
        <v>42</v>
      </c>
      <c r="I8" s="1">
        <v>10</v>
      </c>
      <c r="J8" s="1">
        <v>3</v>
      </c>
      <c r="K8" s="1">
        <v>1</v>
      </c>
      <c r="L8" s="1">
        <v>0</v>
      </c>
      <c r="M8" s="2">
        <f t="shared" si="0"/>
        <v>-230</v>
      </c>
      <c r="N8" s="1" t="s">
        <v>21</v>
      </c>
      <c r="O8" s="1"/>
      <c r="P8" s="3" t="str">
        <f>IF('Fonds de caisse 2025-2026'!$B8="Sortie","",'Fonds de caisse 2025-2026'!$M8-(-1*M7))</f>
        <v/>
      </c>
    </row>
    <row r="9" spans="1:16" ht="15.75" customHeight="1" x14ac:dyDescent="0.2">
      <c r="A9" s="4" t="s">
        <v>23</v>
      </c>
      <c r="B9" s="1" t="s">
        <v>20</v>
      </c>
      <c r="C9" s="1"/>
      <c r="D9" s="1">
        <v>20</v>
      </c>
      <c r="E9" s="1">
        <v>20</v>
      </c>
      <c r="F9" s="1">
        <v>20</v>
      </c>
      <c r="G9" s="1">
        <v>30</v>
      </c>
      <c r="H9" s="1">
        <v>36</v>
      </c>
      <c r="I9" s="1">
        <v>12</v>
      </c>
      <c r="J9" s="1">
        <v>2</v>
      </c>
      <c r="K9" s="1">
        <v>1</v>
      </c>
      <c r="L9" s="1">
        <v>1</v>
      </c>
      <c r="M9" s="2">
        <f t="shared" si="0"/>
        <v>268</v>
      </c>
      <c r="N9" s="1" t="s">
        <v>21</v>
      </c>
      <c r="O9" s="1"/>
      <c r="P9" s="3">
        <f>IF('Fonds de caisse 2025-2026'!$B9="Sortie","",'Fonds de caisse 2025-2026'!$M9-(-1*M8))</f>
        <v>38</v>
      </c>
    </row>
    <row r="10" spans="1:16" ht="15.75" customHeight="1" x14ac:dyDescent="0.2">
      <c r="A10" s="4" t="s">
        <v>23</v>
      </c>
      <c r="B10" s="1" t="s">
        <v>18</v>
      </c>
      <c r="C10" s="1"/>
      <c r="D10" s="1">
        <v>20</v>
      </c>
      <c r="E10" s="1">
        <v>20</v>
      </c>
      <c r="F10" s="1">
        <v>20</v>
      </c>
      <c r="G10" s="1">
        <v>30</v>
      </c>
      <c r="H10" s="1">
        <v>42</v>
      </c>
      <c r="I10" s="1">
        <v>10</v>
      </c>
      <c r="J10" s="1">
        <v>3</v>
      </c>
      <c r="K10" s="1">
        <v>1</v>
      </c>
      <c r="L10" s="1">
        <v>0</v>
      </c>
      <c r="M10" s="2">
        <f t="shared" si="0"/>
        <v>-230</v>
      </c>
      <c r="N10" s="1" t="s">
        <v>21</v>
      </c>
      <c r="O10" s="1"/>
      <c r="P10" s="3" t="str">
        <f>IF('Fonds de caisse 2025-2026'!$B10="Sortie","",'Fonds de caisse 2025-2026'!$M10-(-1*M9))</f>
        <v/>
      </c>
    </row>
    <row r="11" spans="1:16" ht="15.75" customHeight="1" x14ac:dyDescent="0.2">
      <c r="A11" s="1" t="s">
        <v>24</v>
      </c>
      <c r="B11" s="1" t="s">
        <v>20</v>
      </c>
      <c r="C11" s="1"/>
      <c r="D11" s="1">
        <v>20</v>
      </c>
      <c r="E11" s="1">
        <v>20</v>
      </c>
      <c r="F11" s="1">
        <v>22</v>
      </c>
      <c r="G11" s="1">
        <v>33</v>
      </c>
      <c r="H11" s="1">
        <v>39</v>
      </c>
      <c r="I11" s="1">
        <v>11</v>
      </c>
      <c r="J11" s="1">
        <v>3</v>
      </c>
      <c r="K11" s="1">
        <v>2</v>
      </c>
      <c r="L11" s="1">
        <v>0</v>
      </c>
      <c r="M11" s="2">
        <f t="shared" si="0"/>
        <v>253</v>
      </c>
      <c r="N11" s="1" t="s">
        <v>21</v>
      </c>
      <c r="O11" s="1"/>
      <c r="P11" s="3">
        <f>IF('Fonds de caisse 2025-2026'!$B11="Sortie","",'Fonds de caisse 2025-2026'!$M11-(-1*M10))</f>
        <v>23</v>
      </c>
    </row>
    <row r="12" spans="1:16" ht="15.75" customHeight="1" x14ac:dyDescent="0.2">
      <c r="A12" s="1" t="s">
        <v>25</v>
      </c>
      <c r="B12" s="1" t="s">
        <v>18</v>
      </c>
      <c r="C12" s="1"/>
      <c r="D12" s="1">
        <v>20</v>
      </c>
      <c r="E12" s="1">
        <v>20</v>
      </c>
      <c r="F12" s="1">
        <v>20</v>
      </c>
      <c r="G12" s="1">
        <v>36</v>
      </c>
      <c r="H12" s="1">
        <v>39</v>
      </c>
      <c r="I12" s="1">
        <v>10</v>
      </c>
      <c r="J12" s="1">
        <v>3</v>
      </c>
      <c r="K12" s="1">
        <v>1</v>
      </c>
      <c r="L12" s="1">
        <v>0</v>
      </c>
      <c r="M12" s="2">
        <f t="shared" si="0"/>
        <v>-230</v>
      </c>
      <c r="N12" s="1" t="s">
        <v>21</v>
      </c>
      <c r="O12" s="1"/>
      <c r="P12" s="3" t="str">
        <f>IF('Fonds de caisse 2025-2026'!$B12="Sortie","",'Fonds de caisse 2025-2026'!$M12-(-1*M11))</f>
        <v/>
      </c>
    </row>
    <row r="13" spans="1:16" ht="15.75" customHeight="1" x14ac:dyDescent="0.2">
      <c r="A13" s="1" t="s">
        <v>25</v>
      </c>
      <c r="B13" s="1" t="s">
        <v>20</v>
      </c>
      <c r="C13" s="1"/>
      <c r="D13" s="1">
        <v>20</v>
      </c>
      <c r="E13" s="1">
        <v>20</v>
      </c>
      <c r="F13" s="1">
        <v>21</v>
      </c>
      <c r="G13" s="1">
        <v>35</v>
      </c>
      <c r="H13" s="1">
        <v>17</v>
      </c>
      <c r="I13" s="1">
        <v>9</v>
      </c>
      <c r="J13" s="1">
        <v>2</v>
      </c>
      <c r="K13" s="1">
        <v>3</v>
      </c>
      <c r="L13" s="1"/>
      <c r="M13" s="2">
        <f t="shared" si="0"/>
        <v>210.5</v>
      </c>
      <c r="N13" s="1" t="s">
        <v>21</v>
      </c>
      <c r="O13" s="1"/>
      <c r="P13" s="3">
        <f>IF('Fonds de caisse 2025-2026'!$B13="Sortie","",'Fonds de caisse 2025-2026'!$M13-(-1*M12))</f>
        <v>-19.5</v>
      </c>
    </row>
    <row r="14" spans="1:16" ht="15.75" customHeight="1" x14ac:dyDescent="0.2">
      <c r="A14" s="1" t="s">
        <v>26</v>
      </c>
      <c r="B14" s="1" t="s">
        <v>18</v>
      </c>
      <c r="C14" s="1"/>
      <c r="D14" s="6">
        <v>10</v>
      </c>
      <c r="E14" s="6">
        <v>10</v>
      </c>
      <c r="F14" s="6">
        <v>20</v>
      </c>
      <c r="G14" s="6">
        <v>36</v>
      </c>
      <c r="H14" s="6">
        <v>37</v>
      </c>
      <c r="I14" s="6">
        <v>10</v>
      </c>
      <c r="J14" s="6">
        <v>3</v>
      </c>
      <c r="K14" s="6">
        <v>2</v>
      </c>
      <c r="L14" s="6">
        <v>0</v>
      </c>
      <c r="M14" s="2">
        <f t="shared" si="0"/>
        <v>-243</v>
      </c>
      <c r="N14" s="1" t="s">
        <v>21</v>
      </c>
      <c r="O14" s="1"/>
      <c r="P14" s="3" t="str">
        <f>IF('Fonds de caisse 2025-2026'!$B14="Sortie","",'Fonds de caisse 2025-2026'!$M14-(-1*M13))</f>
        <v/>
      </c>
    </row>
    <row r="15" spans="1:16" ht="15.75" customHeight="1" x14ac:dyDescent="0.2">
      <c r="A15" s="1" t="s">
        <v>26</v>
      </c>
      <c r="B15" s="1" t="s">
        <v>20</v>
      </c>
      <c r="C15" s="1"/>
      <c r="D15" s="1">
        <v>11</v>
      </c>
      <c r="E15" s="1">
        <v>12</v>
      </c>
      <c r="F15" s="1">
        <v>26</v>
      </c>
      <c r="G15" s="1">
        <v>10</v>
      </c>
      <c r="H15" s="1">
        <v>8</v>
      </c>
      <c r="I15" s="1">
        <v>6</v>
      </c>
      <c r="J15" s="1">
        <v>2</v>
      </c>
      <c r="K15" s="1">
        <v>1</v>
      </c>
      <c r="L15" s="1">
        <v>3</v>
      </c>
      <c r="M15" s="2">
        <f t="shared" si="0"/>
        <v>262.5</v>
      </c>
      <c r="N15" s="1" t="s">
        <v>21</v>
      </c>
      <c r="O15" s="1"/>
      <c r="P15" s="3">
        <f>IF('Fonds de caisse 2025-2026'!$B15="Sortie","",'Fonds de caisse 2025-2026'!$M15-(-1*M14))</f>
        <v>19.5</v>
      </c>
    </row>
    <row r="16" spans="1:16" ht="15.75" customHeight="1" x14ac:dyDescent="0.2">
      <c r="A16" s="1" t="s">
        <v>26</v>
      </c>
      <c r="B16" s="1" t="s">
        <v>18</v>
      </c>
      <c r="C16" s="1"/>
      <c r="D16" s="1">
        <v>11</v>
      </c>
      <c r="E16" s="1">
        <v>12</v>
      </c>
      <c r="F16" s="1">
        <v>26</v>
      </c>
      <c r="G16" s="1">
        <v>55</v>
      </c>
      <c r="H16" s="1">
        <v>8</v>
      </c>
      <c r="I16" s="1">
        <v>12</v>
      </c>
      <c r="J16" s="1">
        <v>2</v>
      </c>
      <c r="K16" s="1">
        <v>1</v>
      </c>
      <c r="L16" s="1">
        <v>0</v>
      </c>
      <c r="M16" s="2">
        <f t="shared" si="0"/>
        <v>-187.5</v>
      </c>
      <c r="N16" s="1" t="s">
        <v>21</v>
      </c>
      <c r="O16" s="1" t="s">
        <v>27</v>
      </c>
      <c r="P16" s="3" t="str">
        <f>IF('Fonds de caisse 2025-2026'!$B16="Sortie","",'Fonds de caisse 2025-2026'!$M16-(-1*M15))</f>
        <v/>
      </c>
    </row>
    <row r="17" spans="1:16" ht="15.75" customHeight="1" x14ac:dyDescent="0.2">
      <c r="A17" s="1" t="s">
        <v>26</v>
      </c>
      <c r="B17" s="1" t="s">
        <v>20</v>
      </c>
      <c r="C17" s="1"/>
      <c r="D17" s="1">
        <v>11</v>
      </c>
      <c r="E17" s="1">
        <v>12</v>
      </c>
      <c r="F17" s="1">
        <v>25</v>
      </c>
      <c r="G17" s="1">
        <v>47</v>
      </c>
      <c r="H17" s="1">
        <v>2</v>
      </c>
      <c r="I17" s="1">
        <v>15</v>
      </c>
      <c r="J17" s="1">
        <v>2</v>
      </c>
      <c r="K17" s="1">
        <v>4</v>
      </c>
      <c r="L17" s="1">
        <v>1</v>
      </c>
      <c r="M17" s="2">
        <f t="shared" si="0"/>
        <v>292</v>
      </c>
      <c r="N17" s="1" t="s">
        <v>28</v>
      </c>
      <c r="O17" s="1"/>
      <c r="P17" s="3">
        <f>IF('Fonds de caisse 2025-2026'!$B17="Sortie","",'Fonds de caisse 2025-2026'!$M17-(-1*M16))</f>
        <v>104.5</v>
      </c>
    </row>
    <row r="18" spans="1:16" ht="15.75" customHeight="1" x14ac:dyDescent="0.2">
      <c r="A18" s="1" t="s">
        <v>29</v>
      </c>
      <c r="B18" s="1" t="s">
        <v>18</v>
      </c>
      <c r="C18" s="1"/>
      <c r="D18" s="1">
        <v>10</v>
      </c>
      <c r="E18" s="1">
        <v>10</v>
      </c>
      <c r="F18" s="1">
        <v>10</v>
      </c>
      <c r="G18" s="1">
        <v>70</v>
      </c>
      <c r="H18" s="1">
        <v>6</v>
      </c>
      <c r="I18" s="1">
        <v>10</v>
      </c>
      <c r="J18" s="1">
        <v>3</v>
      </c>
      <c r="K18" s="1">
        <v>1</v>
      </c>
      <c r="L18" s="1">
        <v>0</v>
      </c>
      <c r="M18" s="2">
        <f t="shared" si="0"/>
        <v>-190</v>
      </c>
      <c r="N18" s="1" t="s">
        <v>21</v>
      </c>
      <c r="O18" s="1"/>
      <c r="P18" s="3" t="str">
        <f>IF('Fonds de caisse 2025-2026'!$B18="Sortie","",'Fonds de caisse 2025-2026'!$M18-(-1*M17))</f>
        <v/>
      </c>
    </row>
    <row r="19" spans="1:16" ht="15.75" customHeight="1" x14ac:dyDescent="0.2">
      <c r="A19" s="1" t="s">
        <v>30</v>
      </c>
      <c r="B19" s="1" t="s">
        <v>20</v>
      </c>
      <c r="C19" s="1"/>
      <c r="D19" s="1">
        <v>10</v>
      </c>
      <c r="E19" s="1">
        <v>10</v>
      </c>
      <c r="F19" s="1">
        <v>10</v>
      </c>
      <c r="G19" s="1">
        <v>56</v>
      </c>
      <c r="H19" s="1">
        <v>2</v>
      </c>
      <c r="I19" s="1">
        <v>9</v>
      </c>
      <c r="J19" s="1">
        <v>4</v>
      </c>
      <c r="K19" s="1">
        <v>2</v>
      </c>
      <c r="L19" s="1"/>
      <c r="M19" s="2">
        <f t="shared" si="0"/>
        <v>193</v>
      </c>
      <c r="N19" s="1" t="s">
        <v>21</v>
      </c>
      <c r="O19" s="1"/>
      <c r="P19" s="3">
        <f>IF('Fonds de caisse 2025-2026'!$B19="Sortie","",'Fonds de caisse 2025-2026'!$M19-(-1*M18))</f>
        <v>3</v>
      </c>
    </row>
    <row r="20" spans="1:16" ht="15.75" customHeight="1" x14ac:dyDescent="0.2">
      <c r="A20" s="7" t="s">
        <v>31</v>
      </c>
      <c r="B20" s="1" t="s">
        <v>20</v>
      </c>
      <c r="C20" s="1"/>
      <c r="D20" s="1">
        <v>1</v>
      </c>
      <c r="E20" s="1"/>
      <c r="F20" s="1">
        <v>1</v>
      </c>
      <c r="G20" s="1">
        <v>7</v>
      </c>
      <c r="H20" s="1">
        <v>8</v>
      </c>
      <c r="I20" s="1">
        <v>4</v>
      </c>
      <c r="J20" s="1">
        <v>1</v>
      </c>
      <c r="K20" s="1">
        <v>3</v>
      </c>
      <c r="L20" s="1"/>
      <c r="M20" s="8">
        <f t="shared" ref="M20:M26" si="1">(C20*C$3+D20*D$3+E20*E$3+F20*F$3+G20*G$3+H20*H$3+I20*I$3+J20*J$3+K20*K$3+L20*L$3)*IF(B20 = "Entrée",1,-1)</f>
        <v>113.6</v>
      </c>
      <c r="N20" s="1"/>
      <c r="O20" s="1" t="s">
        <v>32</v>
      </c>
      <c r="P20" s="1"/>
    </row>
    <row r="21" spans="1:16" ht="15.75" customHeight="1" x14ac:dyDescent="0.2">
      <c r="A21" s="1" t="s">
        <v>31</v>
      </c>
      <c r="B21" s="1" t="s">
        <v>18</v>
      </c>
      <c r="C21" s="1"/>
      <c r="D21" s="1"/>
      <c r="E21" s="1"/>
      <c r="F21" s="1"/>
      <c r="G21" s="1">
        <v>25</v>
      </c>
      <c r="H21" s="1"/>
      <c r="I21" s="1">
        <v>4</v>
      </c>
      <c r="J21" s="1">
        <v>1</v>
      </c>
      <c r="K21" s="1"/>
      <c r="L21" s="1"/>
      <c r="M21" s="2">
        <f t="shared" si="1"/>
        <v>-55</v>
      </c>
      <c r="N21" s="1"/>
      <c r="O21" s="1" t="s">
        <v>33</v>
      </c>
      <c r="P21" s="1" t="s">
        <v>34</v>
      </c>
    </row>
    <row r="22" spans="1:16" ht="15.75" customHeight="1" x14ac:dyDescent="0.2">
      <c r="A22" s="1" t="s">
        <v>31</v>
      </c>
      <c r="B22" s="1" t="s">
        <v>18</v>
      </c>
      <c r="C22" s="1"/>
      <c r="D22" s="1"/>
      <c r="E22" s="1"/>
      <c r="F22" s="1"/>
      <c r="G22" s="1"/>
      <c r="H22" s="1"/>
      <c r="I22" s="1"/>
      <c r="J22" s="1">
        <v>1</v>
      </c>
      <c r="K22" s="1">
        <v>1</v>
      </c>
      <c r="L22" s="1">
        <v>2</v>
      </c>
      <c r="M22" s="2">
        <f t="shared" si="1"/>
        <v>-130</v>
      </c>
      <c r="N22" s="1"/>
      <c r="O22" s="1" t="s">
        <v>35</v>
      </c>
      <c r="P22" s="1">
        <v>0</v>
      </c>
    </row>
    <row r="23" spans="1:16" ht="15.75" customHeight="1" x14ac:dyDescent="0.2">
      <c r="A23" s="1" t="s">
        <v>31</v>
      </c>
      <c r="B23" s="1" t="s">
        <v>18</v>
      </c>
      <c r="C23" s="1"/>
      <c r="D23" s="1">
        <v>1</v>
      </c>
      <c r="E23" s="1">
        <v>1</v>
      </c>
      <c r="F23" s="1">
        <v>1</v>
      </c>
      <c r="G23" s="1"/>
      <c r="H23" s="1">
        <v>2</v>
      </c>
      <c r="I23" s="1"/>
      <c r="J23" s="1">
        <v>1</v>
      </c>
      <c r="K23" s="1"/>
      <c r="L23" s="1">
        <v>2</v>
      </c>
      <c r="M23" s="8">
        <f t="shared" si="1"/>
        <v>-114.8</v>
      </c>
      <c r="N23" s="1"/>
      <c r="O23" s="1" t="s">
        <v>36</v>
      </c>
      <c r="P23" s="3">
        <v>-114.8</v>
      </c>
    </row>
    <row r="24" spans="1:16" ht="15.75" customHeight="1" x14ac:dyDescent="0.2">
      <c r="A24" s="1" t="s">
        <v>31</v>
      </c>
      <c r="B24" s="1" t="s">
        <v>20</v>
      </c>
      <c r="C24" s="1">
        <v>1</v>
      </c>
      <c r="D24" s="1">
        <v>1</v>
      </c>
      <c r="E24" s="1">
        <v>1</v>
      </c>
      <c r="F24" s="1"/>
      <c r="G24" s="1"/>
      <c r="H24" s="1">
        <v>1</v>
      </c>
      <c r="I24" s="1">
        <v>1</v>
      </c>
      <c r="J24" s="1">
        <v>1</v>
      </c>
      <c r="K24" s="1"/>
      <c r="L24" s="1"/>
      <c r="M24" s="2">
        <f t="shared" si="1"/>
        <v>17.350000000000001</v>
      </c>
      <c r="N24" s="1"/>
      <c r="O24" s="1" t="s">
        <v>37</v>
      </c>
      <c r="P24" s="1">
        <f>-130+17.35</f>
        <v>-112.65</v>
      </c>
    </row>
    <row r="25" spans="1:16" ht="15.75" customHeight="1" x14ac:dyDescent="0.2">
      <c r="A25" s="1" t="s">
        <v>31</v>
      </c>
      <c r="B25" s="1" t="s">
        <v>20</v>
      </c>
      <c r="C25" s="1"/>
      <c r="D25" s="1"/>
      <c r="E25" s="1"/>
      <c r="F25" s="1"/>
      <c r="G25" s="1"/>
      <c r="H25" s="1"/>
      <c r="I25" s="1"/>
      <c r="J25" s="1"/>
      <c r="K25" s="1">
        <v>6</v>
      </c>
      <c r="L25" s="1"/>
      <c r="M25" s="2">
        <f t="shared" si="1"/>
        <v>120</v>
      </c>
      <c r="N25" s="1"/>
      <c r="O25" s="1" t="s">
        <v>38</v>
      </c>
      <c r="P25" s="3">
        <v>120</v>
      </c>
    </row>
    <row r="26" spans="1:16" ht="15.75" customHeight="1" x14ac:dyDescent="0.2">
      <c r="A26" s="1"/>
      <c r="B26" s="1" t="s">
        <v>20</v>
      </c>
      <c r="C26" s="1"/>
      <c r="D26" s="1"/>
      <c r="E26" s="1"/>
      <c r="F26" s="1"/>
      <c r="G26" s="1"/>
      <c r="H26" s="1"/>
      <c r="I26" s="1"/>
      <c r="J26" s="1"/>
      <c r="K26" s="1"/>
      <c r="L26" s="1">
        <v>1</v>
      </c>
      <c r="M26" s="2">
        <f t="shared" si="1"/>
        <v>50</v>
      </c>
      <c r="N26" s="1"/>
      <c r="O26" s="1" t="s">
        <v>39</v>
      </c>
      <c r="P26" s="3">
        <v>50</v>
      </c>
    </row>
    <row r="27" spans="1:16" ht="15.75" customHeight="1" x14ac:dyDescent="0.2">
      <c r="A27" s="1"/>
      <c r="B27" s="1" t="s">
        <v>20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.75" customHeight="1" x14ac:dyDescent="0.2"/>
    <row r="29" spans="1:16" ht="15.75" customHeight="1" x14ac:dyDescent="0.2"/>
    <row r="30" spans="1:16" ht="15.75" customHeight="1" x14ac:dyDescent="0.2"/>
    <row r="31" spans="1:16" ht="15.75" customHeight="1" x14ac:dyDescent="0.2"/>
    <row r="32" spans="1:1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tabSelected="1" workbookViewId="0">
      <selection activeCell="B29" sqref="B29"/>
    </sheetView>
  </sheetViews>
  <sheetFormatPr baseColWidth="10" defaultColWidth="11.1640625" defaultRowHeight="15" customHeight="1" x14ac:dyDescent="0.2"/>
  <cols>
    <col min="1" max="1" width="16.5" customWidth="1"/>
    <col min="2" max="2" width="18" customWidth="1"/>
    <col min="3" max="12" width="10.5" customWidth="1"/>
    <col min="13" max="15" width="13.5" customWidth="1"/>
    <col min="16" max="16" width="14.83203125" customWidth="1"/>
    <col min="17" max="28" width="11.1640625" customWidth="1"/>
  </cols>
  <sheetData>
    <row r="1" spans="1:16" ht="15.75" customHeight="1" x14ac:dyDescent="0.2">
      <c r="A1" s="1" t="s">
        <v>0</v>
      </c>
    </row>
    <row r="2" spans="1:16" ht="15.75" customHeight="1" x14ac:dyDescent="0.2"/>
    <row r="3" spans="1:16" ht="15.75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9">
        <v>100</v>
      </c>
      <c r="N3" s="9">
        <v>200</v>
      </c>
      <c r="O3" s="1" t="s">
        <v>40</v>
      </c>
      <c r="P3" s="1"/>
    </row>
    <row r="4" spans="1:16" ht="15.75" customHeight="1" x14ac:dyDescent="0.2">
      <c r="A4" s="1" t="s">
        <v>17</v>
      </c>
      <c r="B4" s="1" t="s">
        <v>20</v>
      </c>
      <c r="C4" s="1">
        <v>20</v>
      </c>
      <c r="D4" s="1">
        <v>60</v>
      </c>
      <c r="E4" s="1">
        <v>89</v>
      </c>
      <c r="F4" s="1">
        <v>509</v>
      </c>
      <c r="G4" s="1">
        <v>242</v>
      </c>
      <c r="H4" s="1">
        <v>25</v>
      </c>
      <c r="I4" s="1">
        <v>68</v>
      </c>
      <c r="J4" s="1">
        <v>9</v>
      </c>
      <c r="K4" s="1">
        <v>40</v>
      </c>
      <c r="L4" s="1">
        <v>1</v>
      </c>
      <c r="M4" s="2"/>
      <c r="N4" s="2"/>
      <c r="O4" s="2">
        <f t="shared" ref="O4:O7" si="0">(D4*D$3+E4*E$3+F4*F$3+G4*G$3+H4*H$3+I4*I$3+J4*J$3+K4*K$3+L4*L$3+C4*C$3+M4*M$3+N$3*N4)*IF(B4 = "Entrée",1,-1)</f>
        <v>1851.3</v>
      </c>
      <c r="P4" s="2"/>
    </row>
    <row r="5" spans="1:16" ht="15.75" customHeight="1" x14ac:dyDescent="0.2">
      <c r="A5" s="10" t="s">
        <v>41</v>
      </c>
      <c r="B5" s="11" t="s">
        <v>18</v>
      </c>
      <c r="C5" s="11">
        <v>20</v>
      </c>
      <c r="D5" s="12">
        <v>40</v>
      </c>
      <c r="E5" s="12">
        <v>67</v>
      </c>
      <c r="F5" s="12">
        <v>251</v>
      </c>
      <c r="G5" s="2"/>
      <c r="H5" s="2"/>
      <c r="I5" s="12">
        <v>24</v>
      </c>
      <c r="J5" s="2"/>
      <c r="K5" s="2"/>
      <c r="L5" s="4"/>
      <c r="M5" s="2"/>
      <c r="N5" s="2"/>
      <c r="O5" s="2">
        <f t="shared" si="0"/>
        <v>-263.89999999999998</v>
      </c>
      <c r="P5" s="2"/>
    </row>
    <row r="6" spans="1:16" ht="15.75" customHeight="1" x14ac:dyDescent="0.2">
      <c r="A6" s="13">
        <v>45881</v>
      </c>
      <c r="B6" s="11" t="s">
        <v>20</v>
      </c>
      <c r="C6" s="5"/>
      <c r="D6" s="12">
        <v>24</v>
      </c>
      <c r="E6" s="12">
        <v>27</v>
      </c>
      <c r="F6" s="12">
        <v>257</v>
      </c>
      <c r="G6" s="12">
        <v>59</v>
      </c>
      <c r="H6" s="12">
        <v>100</v>
      </c>
      <c r="I6" s="12">
        <v>3</v>
      </c>
      <c r="J6" s="2"/>
      <c r="K6" s="12">
        <v>71</v>
      </c>
      <c r="L6" s="10">
        <v>23</v>
      </c>
      <c r="M6" s="12">
        <v>10</v>
      </c>
      <c r="N6" s="12">
        <v>1</v>
      </c>
      <c r="O6" s="2">
        <f t="shared" si="0"/>
        <v>4180.3</v>
      </c>
      <c r="P6" s="2"/>
    </row>
    <row r="7" spans="1:16" ht="15.75" customHeight="1" x14ac:dyDescent="0.2">
      <c r="A7" s="10" t="s">
        <v>42</v>
      </c>
      <c r="B7" s="9" t="s">
        <v>20</v>
      </c>
      <c r="C7" s="9">
        <v>3</v>
      </c>
      <c r="D7" s="9">
        <v>34</v>
      </c>
      <c r="E7" s="9">
        <v>59</v>
      </c>
      <c r="F7" s="9">
        <v>283</v>
      </c>
      <c r="G7" s="9">
        <v>107</v>
      </c>
      <c r="H7" s="9">
        <v>115</v>
      </c>
      <c r="I7" s="1"/>
      <c r="J7" s="1"/>
      <c r="K7" s="9">
        <v>104</v>
      </c>
      <c r="L7" s="9">
        <v>35</v>
      </c>
      <c r="M7" s="12">
        <v>14</v>
      </c>
      <c r="N7" s="12">
        <v>1</v>
      </c>
      <c r="O7" s="2">
        <f t="shared" si="0"/>
        <v>5923.8499999999995</v>
      </c>
      <c r="P7" s="2"/>
    </row>
    <row r="8" spans="1:16" ht="15.75" customHeight="1" x14ac:dyDescent="0.2">
      <c r="A8" s="4"/>
      <c r="B8" s="9" t="s">
        <v>43</v>
      </c>
      <c r="C8" s="1"/>
      <c r="D8" s="1"/>
      <c r="E8" s="1"/>
      <c r="F8" s="1"/>
      <c r="G8" s="1"/>
      <c r="H8" s="1"/>
      <c r="I8" s="1"/>
      <c r="J8" s="1"/>
      <c r="K8" s="1"/>
      <c r="L8" s="1"/>
      <c r="M8" s="2"/>
      <c r="N8" s="2"/>
      <c r="O8" s="12">
        <v>88.85</v>
      </c>
      <c r="P8" s="12"/>
    </row>
    <row r="9" spans="1:16" ht="15.75" customHeight="1" x14ac:dyDescent="0.2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2"/>
      <c r="N9" s="2"/>
      <c r="O9" s="2">
        <f t="shared" ref="O9:O23" si="1">(D9*D$3+E9*E$3+F9*F$3+G9*G$3+H9*H$3+I9*I$3+J9*J$3+K9*K$3+L9*L$3+C9*C$3+M9*M$3+N$3*N9)*IF(B9 = "Entrée",1,-1)</f>
        <v>0</v>
      </c>
      <c r="P9" s="2"/>
    </row>
    <row r="10" spans="1:16" ht="15.75" customHeight="1" x14ac:dyDescent="0.2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2"/>
      <c r="N10" s="2"/>
      <c r="O10" s="2">
        <f t="shared" si="1"/>
        <v>0</v>
      </c>
      <c r="P10" s="2"/>
    </row>
    <row r="11" spans="1:16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2"/>
      <c r="N11" s="2"/>
      <c r="O11" s="2">
        <f t="shared" si="1"/>
        <v>0</v>
      </c>
      <c r="P11" s="2"/>
    </row>
    <row r="12" spans="1:16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2"/>
      <c r="N12" s="2"/>
      <c r="O12" s="2">
        <f t="shared" si="1"/>
        <v>0</v>
      </c>
      <c r="P12" s="2"/>
    </row>
    <row r="13" spans="1:16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2"/>
      <c r="N13" s="2"/>
      <c r="O13" s="2">
        <f t="shared" si="1"/>
        <v>0</v>
      </c>
      <c r="P13" s="2"/>
    </row>
    <row r="14" spans="1:16" ht="15.75" customHeight="1" x14ac:dyDescent="0.2">
      <c r="A14" s="1"/>
      <c r="B14" s="1"/>
      <c r="C14" s="1"/>
      <c r="D14" s="6"/>
      <c r="E14" s="6"/>
      <c r="F14" s="6"/>
      <c r="G14" s="6"/>
      <c r="H14" s="6"/>
      <c r="I14" s="6"/>
      <c r="J14" s="6"/>
      <c r="K14" s="6"/>
      <c r="L14" s="6"/>
      <c r="M14" s="2"/>
      <c r="N14" s="2"/>
      <c r="O14" s="2">
        <f t="shared" si="1"/>
        <v>0</v>
      </c>
      <c r="P14" s="2"/>
    </row>
    <row r="15" spans="1:16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2"/>
      <c r="N15" s="2"/>
      <c r="O15" s="2">
        <f t="shared" si="1"/>
        <v>0</v>
      </c>
      <c r="P15" s="2"/>
    </row>
    <row r="16" spans="1:16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2"/>
      <c r="N16" s="2"/>
      <c r="O16" s="2">
        <f t="shared" si="1"/>
        <v>0</v>
      </c>
      <c r="P16" s="2"/>
    </row>
    <row r="17" spans="1:16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2"/>
      <c r="N17" s="2"/>
      <c r="O17" s="2">
        <f t="shared" si="1"/>
        <v>0</v>
      </c>
      <c r="P17" s="2"/>
    </row>
    <row r="18" spans="1:16" ht="15.75" customHeight="1" x14ac:dyDescent="0.2">
      <c r="A18" s="14">
        <v>46124</v>
      </c>
      <c r="B18" s="9" t="s">
        <v>44</v>
      </c>
      <c r="C18" s="9">
        <v>1</v>
      </c>
      <c r="D18" s="9">
        <v>5</v>
      </c>
      <c r="E18" s="9">
        <v>13</v>
      </c>
      <c r="F18" s="9">
        <v>9</v>
      </c>
      <c r="G18" s="9">
        <v>35</v>
      </c>
      <c r="H18" s="9">
        <v>17</v>
      </c>
      <c r="I18" s="9">
        <v>5</v>
      </c>
      <c r="J18" s="9">
        <v>2</v>
      </c>
      <c r="K18" s="9">
        <v>1</v>
      </c>
      <c r="L18" s="1"/>
      <c r="M18" s="2"/>
      <c r="N18" s="2"/>
      <c r="O18" s="2">
        <f t="shared" si="1"/>
        <v>-141.65</v>
      </c>
      <c r="P18" s="2"/>
    </row>
    <row r="19" spans="1:16" ht="15.75" customHeight="1" x14ac:dyDescent="0.2">
      <c r="A19" s="1"/>
      <c r="B19" s="9" t="s">
        <v>45</v>
      </c>
      <c r="C19" s="1"/>
      <c r="D19" s="1"/>
      <c r="E19" s="1"/>
      <c r="F19" s="1"/>
      <c r="G19" s="1"/>
      <c r="H19" s="1"/>
      <c r="I19" s="9">
        <v>7</v>
      </c>
      <c r="J19" s="9">
        <v>7</v>
      </c>
      <c r="K19" s="9">
        <v>13</v>
      </c>
      <c r="L19" s="9">
        <v>2</v>
      </c>
      <c r="M19" s="2"/>
      <c r="N19" s="2"/>
      <c r="O19" s="2">
        <f t="shared" si="1"/>
        <v>-465</v>
      </c>
      <c r="P19" s="2"/>
    </row>
    <row r="20" spans="1:16" ht="15.75" customHeight="1" x14ac:dyDescent="0.2">
      <c r="A20" s="7"/>
      <c r="B20" s="9" t="s">
        <v>46</v>
      </c>
      <c r="C20" s="1"/>
      <c r="D20" s="9">
        <v>2</v>
      </c>
      <c r="E20" s="9">
        <v>12</v>
      </c>
      <c r="F20" s="9">
        <v>4</v>
      </c>
      <c r="G20" s="9">
        <v>22</v>
      </c>
      <c r="H20" s="9">
        <v>29</v>
      </c>
      <c r="I20" s="9">
        <v>12</v>
      </c>
      <c r="J20" s="9">
        <v>7</v>
      </c>
      <c r="K20" s="9">
        <v>2</v>
      </c>
      <c r="L20" s="9">
        <v>5</v>
      </c>
      <c r="M20" s="2"/>
      <c r="N20" s="2"/>
      <c r="O20" s="2">
        <f t="shared" si="1"/>
        <v>-504.6</v>
      </c>
      <c r="P20" s="2"/>
    </row>
    <row r="21" spans="1:16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"/>
      <c r="N21" s="2"/>
      <c r="O21" s="2">
        <f t="shared" si="1"/>
        <v>0</v>
      </c>
      <c r="P21" s="2"/>
    </row>
    <row r="22" spans="1:16" ht="15.75" customHeight="1" x14ac:dyDescent="0.2">
      <c r="A22" s="14">
        <v>46124</v>
      </c>
      <c r="B22" s="9" t="s">
        <v>20</v>
      </c>
      <c r="C22" s="1"/>
      <c r="D22" s="9">
        <v>41</v>
      </c>
      <c r="E22" s="9">
        <v>84</v>
      </c>
      <c r="F22" s="9">
        <v>296</v>
      </c>
      <c r="G22" s="9">
        <v>163</v>
      </c>
      <c r="H22" s="9">
        <v>161</v>
      </c>
      <c r="I22" s="9">
        <v>24</v>
      </c>
      <c r="J22" s="9">
        <v>16</v>
      </c>
      <c r="K22" s="9">
        <v>120</v>
      </c>
      <c r="L22" s="9">
        <v>42</v>
      </c>
      <c r="M22" s="12">
        <v>14</v>
      </c>
      <c r="N22" s="12">
        <v>1</v>
      </c>
      <c r="O22" s="2">
        <f t="shared" si="1"/>
        <v>7033.9</v>
      </c>
      <c r="P22" s="12" t="s">
        <v>47</v>
      </c>
    </row>
    <row r="23" spans="1:16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"/>
      <c r="N23" s="2"/>
      <c r="O23" s="2">
        <f t="shared" si="1"/>
        <v>0</v>
      </c>
      <c r="P23" s="2"/>
    </row>
    <row r="24" spans="1:16" ht="15.75" customHeight="1" x14ac:dyDescent="0.2">
      <c r="A24" s="1"/>
      <c r="B24" s="9" t="s">
        <v>48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2"/>
      <c r="N24" s="2"/>
      <c r="O24" s="12">
        <v>40</v>
      </c>
      <c r="P24" s="2"/>
    </row>
    <row r="25" spans="1:16" ht="15.75" customHeight="1" x14ac:dyDescent="0.2">
      <c r="A25" s="1"/>
      <c r="B25" s="9" t="s">
        <v>49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2"/>
      <c r="N25" s="2"/>
      <c r="O25" s="12">
        <v>325</v>
      </c>
      <c r="P25" s="2"/>
    </row>
    <row r="26" spans="1:16" ht="1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"/>
      <c r="N26" s="2"/>
      <c r="O26" s="2">
        <f t="shared" ref="O26:O27" si="2">(D26*D$3+E26*E$3+F26*F$3+G26*G$3+H26*H$3+I26*I$3+J26*J$3+K26*K$3+L26*L$3+C26*C$3+M26*M$3+N$3*N26)*IF(B26 = "Entrée",1,-1)</f>
        <v>0</v>
      </c>
      <c r="P26" s="2"/>
    </row>
    <row r="27" spans="1:16" ht="15.75" customHeight="1" x14ac:dyDescent="0.2">
      <c r="A27" s="1" t="s">
        <v>50</v>
      </c>
      <c r="B27" s="1" t="s">
        <v>20</v>
      </c>
      <c r="C27" s="1"/>
      <c r="D27" s="1"/>
      <c r="E27" s="1"/>
      <c r="F27" s="1"/>
      <c r="G27" s="1"/>
      <c r="H27" s="1"/>
      <c r="I27" s="1"/>
      <c r="J27" s="1">
        <v>69</v>
      </c>
      <c r="K27" s="1">
        <f>97+98</f>
        <v>195</v>
      </c>
      <c r="L27" s="1">
        <f>21+51</f>
        <v>72</v>
      </c>
      <c r="M27" s="1">
        <v>8</v>
      </c>
      <c r="N27" s="1"/>
      <c r="O27" s="2">
        <f t="shared" si="2"/>
        <v>8990</v>
      </c>
      <c r="P27" s="2"/>
    </row>
    <row r="28" spans="1:16" ht="15.75" customHeight="1" x14ac:dyDescent="0.2"/>
    <row r="29" spans="1:16" ht="15.75" customHeight="1" x14ac:dyDescent="0.2"/>
    <row r="30" spans="1:16" ht="15.75" customHeight="1" x14ac:dyDescent="0.2"/>
    <row r="31" spans="1:16" ht="15.75" customHeight="1" x14ac:dyDescent="0.2"/>
    <row r="32" spans="1:1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ht="15.75" customHeight="1" x14ac:dyDescent="0.2"/>
    <row r="2" ht="15.75" customHeight="1" x14ac:dyDescent="0.2"/>
    <row r="3" ht="15.75" customHeight="1" x14ac:dyDescent="0.2"/>
    <row r="4" ht="15.75" customHeight="1" x14ac:dyDescent="0.2"/>
    <row r="5" ht="15.75" customHeight="1" x14ac:dyDescent="0.2"/>
    <row r="6" ht="15.75" customHeight="1" x14ac:dyDescent="0.2"/>
    <row r="7" ht="15.75" customHeight="1" x14ac:dyDescent="0.2"/>
    <row r="8" ht="15.75" customHeight="1" x14ac:dyDescent="0.2"/>
    <row r="9" ht="15.75" customHeight="1" x14ac:dyDescent="0.2"/>
    <row r="10" ht="15.75" customHeight="1" x14ac:dyDescent="0.2"/>
    <row r="11" ht="15.75" customHeight="1" x14ac:dyDescent="0.2"/>
    <row r="12" ht="15.75" customHeight="1" x14ac:dyDescent="0.2"/>
    <row r="13" ht="15.75" customHeight="1" x14ac:dyDescent="0.2"/>
    <row r="14" ht="15.75" customHeight="1" x14ac:dyDescent="0.2"/>
    <row r="15" ht="15.75" customHeight="1" x14ac:dyDescent="0.2"/>
    <row r="1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Fonds de caisse 2025-2026</vt:lpstr>
      <vt:lpstr>Comptage caisse (machine)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Cabras</dc:creator>
  <cp:lastModifiedBy>Cabras Manuel</cp:lastModifiedBy>
  <dcterms:created xsi:type="dcterms:W3CDTF">2025-09-11T06:43:49Z</dcterms:created>
  <dcterms:modified xsi:type="dcterms:W3CDTF">2026-05-05T10:53:52Z</dcterms:modified>
</cp:coreProperties>
</file>
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DC" sheetId="1" r:id="rId4"/>
    <sheet state="visible" name="Données" sheetId="2" r:id="rId5"/>
    <sheet state="visible" name="Gainsetdépenses" sheetId="3" r:id="rId6"/>
    <sheet state="visible" name="Présentation pour Ville" sheetId="4" r:id="rId7"/>
    <sheet state="visible" name="Copie de FDC" sheetId="5" r:id="rId8"/>
  </sheets>
  <definedNames/>
  <calcPr/>
  <extLst>
    <ext uri="GoogleSheetsCustomDataVersion2">
      <go:sheetsCustomData xmlns:go="http://customooxmlschemas.google.com/" r:id="rId9" roundtripDataChecksum="+QYtt0ZqqO3+h3IpRJdEw3KIBYxbBxySWZwC/3k84/s="/>
    </ext>
  </extLst>
</workbook>
</file>

<file path=xl/sharedStrings.xml><?xml version="1.0" encoding="utf-8"?>
<sst xmlns="http://schemas.openxmlformats.org/spreadsheetml/2006/main" count="377" uniqueCount="114">
  <si>
    <t>MDN</t>
  </si>
  <si>
    <t>29.11.2025 au jsp</t>
  </si>
  <si>
    <t>Fonds de caisse et comptage gain par jour</t>
  </si>
  <si>
    <t>samedi</t>
  </si>
  <si>
    <t>dimanche</t>
  </si>
  <si>
    <t>lundi</t>
  </si>
  <si>
    <t>mardi</t>
  </si>
  <si>
    <t>Mercedi</t>
  </si>
  <si>
    <t>Jeudi</t>
  </si>
  <si>
    <t>vendredi</t>
  </si>
  <si>
    <t>Dimanche</t>
  </si>
  <si>
    <t>FDC</t>
  </si>
  <si>
    <t>Monnaies</t>
  </si>
  <si>
    <t>NB</t>
  </si>
  <si>
    <t>ajout</t>
  </si>
  <si>
    <t>Tot</t>
  </si>
  <si>
    <t>Total fdc</t>
  </si>
  <si>
    <t>Gains</t>
  </si>
  <si>
    <t>Comptages clôture de chaque jours de ventes</t>
  </si>
  <si>
    <t>Total</t>
  </si>
  <si>
    <t xml:space="preserve">Caisse intermédiaire </t>
  </si>
  <si>
    <t>3 bons boissons</t>
  </si>
  <si>
    <t>Durant journée</t>
  </si>
  <si>
    <t>Vole 4 bouteilles de Calvados, 1 plaque à induction (40-50 CHF) et jambon</t>
  </si>
  <si>
    <t>Dons : gains totaux - prélèvemnts totaux</t>
  </si>
  <si>
    <t>Fin journée</t>
  </si>
  <si>
    <t>Perte de de 8 bières ambrée, 6 eklat, 3 Nonnes et 7 pinot gris</t>
  </si>
  <si>
    <t>Liste des coûts effectifs</t>
  </si>
  <si>
    <t>Vin chaud</t>
  </si>
  <si>
    <t>ID</t>
  </si>
  <si>
    <t>Prix</t>
  </si>
  <si>
    <t>1 casserole permet de faire :</t>
  </si>
  <si>
    <t>verres</t>
  </si>
  <si>
    <t>Total :</t>
  </si>
  <si>
    <t>1 casserole contient :</t>
  </si>
  <si>
    <t>L</t>
  </si>
  <si>
    <t>bouteille vin chaud de 1L permet de faire 1,2 L de vin chaud</t>
  </si>
  <si>
    <t>n°ecri :</t>
  </si>
  <si>
    <t>20 oranges pour Vin Chaud</t>
  </si>
  <si>
    <t>Donc</t>
  </si>
  <si>
    <t>l</t>
  </si>
  <si>
    <t>permet de faire</t>
  </si>
  <si>
    <t>n° ecri :</t>
  </si>
  <si>
    <t>50 sachets Thé</t>
  </si>
  <si>
    <t>1 verre est vendu :</t>
  </si>
  <si>
    <t xml:space="preserve"> 20 fûts</t>
  </si>
  <si>
    <t>Aligro : courses</t>
  </si>
  <si>
    <t>Ecomanif</t>
  </si>
  <si>
    <t>Total période</t>
  </si>
  <si>
    <t>Boxer</t>
  </si>
  <si>
    <t>Qtité de vin (l)</t>
  </si>
  <si>
    <t>Bonvillars</t>
  </si>
  <si>
    <t>Nb de verres</t>
  </si>
  <si>
    <t>Gain</t>
  </si>
  <si>
    <t>Taxe ville</t>
  </si>
  <si>
    <t>Différence</t>
  </si>
  <si>
    <t>Thé Noël/rhum</t>
  </si>
  <si>
    <t>Bernycool</t>
  </si>
  <si>
    <t>chf</t>
  </si>
  <si>
    <t>cautions grognasses</t>
  </si>
  <si>
    <t>Lucas : courses</t>
  </si>
  <si>
    <t>Lucie : anis</t>
  </si>
  <si>
    <t>patent alcool</t>
  </si>
  <si>
    <t>200.00 CHF</t>
  </si>
  <si>
    <t>Casseroles utilisées</t>
  </si>
  <si>
    <t>Gain estimé</t>
  </si>
  <si>
    <t>Calcul gains totaux</t>
  </si>
  <si>
    <t>Gain cash</t>
  </si>
  <si>
    <t>Gain Twint</t>
  </si>
  <si>
    <t>Gain banque</t>
  </si>
  <si>
    <t>Totaux</t>
  </si>
  <si>
    <t>Gain sans vin ni thé</t>
  </si>
  <si>
    <t>n° gains Twint</t>
  </si>
  <si>
    <t>Twints 1,2,3,4</t>
  </si>
  <si>
    <t>Twints 7</t>
  </si>
  <si>
    <t>Twints 8,9</t>
  </si>
  <si>
    <t>Twints 5,6</t>
  </si>
  <si>
    <t>Twints 10,11,12</t>
  </si>
  <si>
    <t>Twints 13,14</t>
  </si>
  <si>
    <t>Twints 15,16</t>
  </si>
  <si>
    <t>Twints 17,18</t>
  </si>
  <si>
    <t>Twints 19,20</t>
  </si>
  <si>
    <t>Recettes et coûts de Baleinev</t>
  </si>
  <si>
    <t>Marché de Noël 2023 du 24.11.23 au 03.12.23</t>
  </si>
  <si>
    <t>Yverdon-les-bains</t>
  </si>
  <si>
    <t>Créé par Nicolas Baud</t>
  </si>
  <si>
    <t>Chiffres d'affaires totaux</t>
  </si>
  <si>
    <t>Taxe ville 20% gains autres</t>
  </si>
  <si>
    <t>Taxe ville verres de vin chaud</t>
  </si>
  <si>
    <t>Taxe ville thé de Noël</t>
  </si>
  <si>
    <t>Sous-total</t>
  </si>
  <si>
    <t>Charges d'exploitation</t>
  </si>
  <si>
    <t>Bénéfices/pertes</t>
  </si>
  <si>
    <t>Taxe ville 20% gains autres produits</t>
  </si>
  <si>
    <t>Part vin chaud (1CHF/verre)</t>
  </si>
  <si>
    <t>Part thé de Noël (1CHF/verre)</t>
  </si>
  <si>
    <t>Totaux taxe ville</t>
  </si>
  <si>
    <t>Gains après taxe</t>
  </si>
  <si>
    <t>Marché de Noël</t>
  </si>
  <si>
    <t>30.11.2023 au 08.12.2023</t>
  </si>
  <si>
    <t>2 caisses combinées</t>
  </si>
  <si>
    <t xml:space="preserve">50 euro </t>
  </si>
  <si>
    <t>Coffre intermédiaire vidé</t>
  </si>
  <si>
    <t>Ajout de 125 pièces de 5.-</t>
  </si>
  <si>
    <t>Ajout 33 billets de 10.-</t>
  </si>
  <si>
    <t>Ajout de 1250 pièces de 2.-</t>
  </si>
  <si>
    <t>transformation 14 billets 20.- -&gt; 140x2.-</t>
  </si>
  <si>
    <t>transformation billet 100.- -&gt; 50x2.-</t>
  </si>
  <si>
    <t>Ajout 200 pièces de 5.-</t>
  </si>
  <si>
    <t>Ajout de 700 pièces de 1.-</t>
  </si>
  <si>
    <t>Ajout de 800 pièces de 2.-</t>
  </si>
  <si>
    <t>total ajout</t>
  </si>
  <si>
    <t>don 13,15</t>
  </si>
  <si>
    <t>Ajout de 400 pièces de 1.-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</si>
</sst>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\ &quot;CHF&quot;"/>
    <numFmt numFmtId="166" formatCode="[$-100C]ddd\,\ d/\ mm\ yy"/>
  </numFmts>
  <fonts count="20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2.0"/>
      <color rgb="FFF27B13"/>
      <name val="Calibri"/>
    </font>
    <font>
      <b/>
      <sz val="16.0"/>
      <color rgb="FFF27B13"/>
      <name val="Calibri"/>
    </font>
    <font>
      <i/>
      <sz val="8.0"/>
      <color theme="1"/>
      <name val="Calibri"/>
    </font>
    <font>
      <sz val="11.0"/>
      <color rgb="FF548135"/>
      <name val="Calibri"/>
    </font>
    <font>
      <b/>
      <sz val="11.0"/>
      <color rgb="FF548135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8.0"/>
      <color rgb="FFF27B13"/>
      <name val="Calibri"/>
    </font>
    <font>
      <b/>
      <sz val="11.0"/>
      <color rgb="FFF27B13"/>
      <name val="Calibri"/>
    </font>
    <font>
      <sz val="8.0"/>
      <color rgb="FFF27B13"/>
      <name val="Calibri"/>
    </font>
    <font>
      <color rgb="FFFF0000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</fills>
  <borders count="19">
    <border/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1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5" numFmtId="164" xfId="0" applyAlignment="1" applyFont="1" applyNumberFormat="1">
      <alignment readingOrder="0"/>
    </xf>
    <xf borderId="1" fillId="0" fontId="5" numFmtId="0" xfId="0" applyBorder="1" applyFont="1"/>
    <xf borderId="0" fillId="0" fontId="5" numFmtId="164" xfId="0" applyFont="1" applyNumberFormat="1"/>
    <xf borderId="0" fillId="0" fontId="6" numFmtId="0" xfId="0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2" fillId="2" fontId="5" numFmtId="0" xfId="0" applyBorder="1" applyFill="1" applyFont="1"/>
    <xf borderId="3" fillId="2" fontId="5" numFmtId="0" xfId="0" applyBorder="1" applyFont="1"/>
    <xf borderId="2" fillId="3" fontId="5" numFmtId="0" xfId="0" applyBorder="1" applyFill="1" applyFont="1"/>
    <xf borderId="3" fillId="3" fontId="5" numFmtId="0" xfId="0" applyBorder="1" applyFont="1"/>
    <xf borderId="2" fillId="2" fontId="3" numFmtId="0" xfId="0" applyBorder="1" applyFont="1"/>
    <xf borderId="4" fillId="0" fontId="3" numFmtId="0" xfId="0" applyBorder="1" applyFont="1"/>
    <xf borderId="5" fillId="0" fontId="8" numFmtId="0" xfId="0" applyBorder="1" applyFont="1"/>
    <xf borderId="6" fillId="0" fontId="3" numFmtId="165" xfId="0" applyBorder="1" applyFont="1" applyNumberFormat="1"/>
    <xf borderId="0" fillId="0" fontId="9" numFmtId="0" xfId="0" applyFont="1"/>
    <xf borderId="7" fillId="0" fontId="5" numFmtId="0" xfId="0" applyBorder="1" applyFont="1"/>
    <xf borderId="4" fillId="0" fontId="10" numFmtId="0" xfId="0" applyBorder="1" applyFont="1"/>
    <xf borderId="6" fillId="0" fontId="5" numFmtId="165" xfId="0" applyBorder="1" applyFont="1" applyNumberFormat="1"/>
    <xf borderId="8" fillId="0" fontId="3" numFmtId="0" xfId="0" applyBorder="1" applyFont="1"/>
    <xf borderId="5" fillId="0" fontId="5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165" xfId="0" applyBorder="1" applyFont="1" applyNumberFormat="1"/>
    <xf borderId="5" fillId="0" fontId="3" numFmtId="0" xfId="0" applyBorder="1" applyFont="1"/>
    <xf borderId="8" fillId="0" fontId="3" numFmtId="165" xfId="0" applyBorder="1" applyFont="1" applyNumberFormat="1"/>
    <xf borderId="5" fillId="0" fontId="3" numFmtId="0" xfId="0" applyAlignment="1" applyBorder="1" applyFont="1">
      <alignment readingOrder="0"/>
    </xf>
    <xf borderId="6" fillId="0" fontId="3" numFmtId="165" xfId="0" applyAlignment="1" applyBorder="1" applyFont="1" applyNumberFormat="1">
      <alignment readingOrder="0"/>
    </xf>
    <xf borderId="9" fillId="0" fontId="5" numFmtId="166" xfId="0" applyBorder="1" applyFont="1" applyNumberFormat="1"/>
    <xf borderId="9" fillId="0" fontId="3" numFmtId="0" xfId="0" applyBorder="1" applyFont="1"/>
    <xf borderId="7" fillId="0" fontId="3" numFmtId="4" xfId="0" applyBorder="1" applyFont="1" applyNumberFormat="1"/>
    <xf borderId="7" fillId="0" fontId="5" numFmtId="4" xfId="0" applyBorder="1" applyFont="1" applyNumberFormat="1"/>
    <xf borderId="7" fillId="0" fontId="3" numFmtId="0" xfId="0" applyBorder="1" applyFont="1"/>
    <xf borderId="8" fillId="0" fontId="11" numFmtId="0" xfId="0" applyBorder="1" applyFont="1"/>
    <xf borderId="8" fillId="0" fontId="11" numFmtId="165" xfId="0" applyBorder="1" applyFont="1" applyNumberFormat="1"/>
    <xf borderId="8" fillId="0" fontId="12" numFmtId="165" xfId="0" applyBorder="1" applyFont="1" applyNumberFormat="1"/>
    <xf borderId="8" fillId="0" fontId="13" numFmtId="0" xfId="0" applyBorder="1" applyFont="1"/>
    <xf borderId="8" fillId="0" fontId="13" numFmtId="165" xfId="0" applyBorder="1" applyFont="1" applyNumberFormat="1"/>
    <xf borderId="8" fillId="0" fontId="6" numFmtId="165" xfId="0" applyBorder="1" applyFont="1" applyNumberFormat="1"/>
    <xf borderId="8" fillId="0" fontId="5" numFmtId="165" xfId="0" applyBorder="1" applyFont="1" applyNumberFormat="1"/>
    <xf borderId="1" fillId="0" fontId="14" numFmtId="0" xfId="0" applyAlignment="1" applyBorder="1" applyFon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  <xf borderId="10" fillId="0" fontId="14" numFmtId="165" xfId="0" applyAlignment="1" applyBorder="1" applyFont="1" applyNumberFormat="1">
      <alignment horizontal="right" shrinkToFit="0" vertical="bottom" wrapText="0"/>
    </xf>
    <xf borderId="7" fillId="2" fontId="3" numFmtId="165" xfId="0" applyBorder="1" applyFont="1" applyNumberFormat="1"/>
    <xf borderId="7" fillId="0" fontId="5" numFmtId="165" xfId="0" applyBorder="1" applyFont="1" applyNumberFormat="1"/>
    <xf borderId="7" fillId="0" fontId="3" numFmtId="165" xfId="0" applyBorder="1" applyFont="1" applyNumberFormat="1"/>
    <xf borderId="11" fillId="0" fontId="3" numFmtId="0" xfId="0" applyBorder="1" applyFont="1"/>
    <xf borderId="11" fillId="0" fontId="3" numFmtId="165" xfId="0" applyBorder="1" applyFont="1" applyNumberFormat="1"/>
    <xf borderId="11" fillId="0" fontId="5" numFmtId="165" xfId="0" applyBorder="1" applyFont="1" applyNumberFormat="1"/>
    <xf borderId="0" fillId="0" fontId="2" numFmtId="4" xfId="0" applyFont="1" applyNumberFormat="1"/>
    <xf borderId="8" fillId="0" fontId="5" numFmtId="0" xfId="0" applyBorder="1" applyFont="1"/>
    <xf borderId="8" fillId="2" fontId="5" numFmtId="165" xfId="0" applyBorder="1" applyFont="1" applyNumberForma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12" fillId="0" fontId="5" numFmtId="166" xfId="0" applyBorder="1" applyFont="1" applyNumberFormat="1"/>
    <xf borderId="8" fillId="0" fontId="16" numFmtId="0" xfId="0" applyBorder="1" applyFont="1"/>
    <xf borderId="8" fillId="0" fontId="2" numFmtId="165" xfId="0" applyBorder="1" applyFont="1" applyNumberFormat="1"/>
    <xf borderId="8" fillId="0" fontId="19" numFmtId="165" xfId="0" applyBorder="1" applyFont="1" applyNumberFormat="1"/>
    <xf borderId="13" fillId="0" fontId="2" numFmtId="0" xfId="0" applyBorder="1" applyFont="1"/>
    <xf borderId="13" fillId="0" fontId="2" numFmtId="165" xfId="0" applyBorder="1" applyFont="1" applyNumberFormat="1"/>
    <xf borderId="13" fillId="0" fontId="19" numFmtId="165" xfId="0" applyBorder="1" applyFont="1" applyNumberFormat="1"/>
    <xf borderId="14" fillId="0" fontId="2" numFmtId="0" xfId="0" applyBorder="1" applyFont="1"/>
    <xf borderId="15" fillId="0" fontId="2" numFmtId="0" xfId="0" applyBorder="1" applyFont="1"/>
    <xf borderId="15" fillId="0" fontId="19" numFmtId="165" xfId="0" applyBorder="1" applyFont="1" applyNumberFormat="1"/>
    <xf borderId="16" fillId="0" fontId="2" numFmtId="0" xfId="0" applyBorder="1" applyFont="1"/>
    <xf borderId="17" fillId="0" fontId="2" numFmtId="0" xfId="0" applyBorder="1" applyFont="1"/>
    <xf borderId="0" fillId="0" fontId="2" numFmtId="165" xfId="0" applyFont="1" applyNumberFormat="1"/>
    <xf borderId="18" fillId="0" fontId="16" numFmtId="0" xfId="0" applyBorder="1" applyFont="1"/>
    <xf borderId="18" fillId="0" fontId="19" numFmtId="165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71925" cy="619125"/>
    <xdr:pic>
      <xdr:nvPicPr>
        <xdr:cNvPr descr="Une image contenant Police, texte, Graphique, logo&#10;&#10;Description générée automatiquement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71925" cy="619125"/>
    <xdr:pic>
      <xdr:nvPicPr>
        <xdr:cNvPr descr="Une image contenant Police, texte, Graphique, logo&#10;&#10;Description générée automatiquement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44" width="10.71"/>
  </cols>
  <sheetData>
    <row r="1" ht="14.2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3"/>
      <c r="L1" s="2"/>
      <c r="M1" s="2"/>
      <c r="N1" s="2"/>
      <c r="O1" s="2"/>
      <c r="P1" s="3"/>
      <c r="Q1" s="2"/>
      <c r="R1" s="2"/>
      <c r="S1" s="2"/>
      <c r="T1" s="2"/>
      <c r="U1" s="3"/>
      <c r="V1" s="2"/>
      <c r="W1" s="2"/>
      <c r="X1" s="2"/>
      <c r="Y1" s="3"/>
      <c r="Z1" s="2"/>
      <c r="AA1" s="2"/>
      <c r="AB1" s="2"/>
      <c r="AC1" s="3"/>
      <c r="AD1" s="2"/>
      <c r="AE1" s="2"/>
      <c r="AF1" s="2"/>
      <c r="AG1" s="3"/>
      <c r="AH1" s="2"/>
      <c r="AI1" s="2"/>
      <c r="AJ1" s="2"/>
      <c r="AK1" s="3"/>
      <c r="AL1" s="2"/>
      <c r="AM1" s="2"/>
      <c r="AN1" s="2"/>
      <c r="AO1" s="3"/>
      <c r="AP1" s="2"/>
      <c r="AQ1" s="2"/>
      <c r="AR1" s="2"/>
    </row>
    <row r="2" ht="14.25" customHeight="1">
      <c r="A2" s="1" t="s">
        <v>1</v>
      </c>
      <c r="B2" s="2"/>
      <c r="C2" s="2"/>
      <c r="D2" s="2"/>
      <c r="E2" s="2"/>
      <c r="F2" s="3"/>
      <c r="G2" s="2"/>
      <c r="H2" s="2"/>
      <c r="I2" s="2"/>
      <c r="J2" s="2"/>
      <c r="K2" s="3"/>
      <c r="L2" s="2"/>
      <c r="M2" s="2"/>
      <c r="N2" s="2"/>
      <c r="O2" s="2"/>
      <c r="P2" s="3"/>
      <c r="Q2" s="2"/>
      <c r="R2" s="2"/>
      <c r="S2" s="2"/>
      <c r="T2" s="2"/>
      <c r="U2" s="3"/>
      <c r="V2" s="2"/>
      <c r="W2" s="2"/>
      <c r="X2" s="2"/>
      <c r="Y2" s="3"/>
      <c r="Z2" s="2"/>
      <c r="AA2" s="2"/>
      <c r="AB2" s="2"/>
      <c r="AC2" s="3"/>
      <c r="AD2" s="2"/>
      <c r="AE2" s="2"/>
      <c r="AF2" s="2"/>
      <c r="AG2" s="3"/>
      <c r="AH2" s="2"/>
      <c r="AI2" s="2"/>
      <c r="AJ2" s="2"/>
      <c r="AK2" s="3"/>
      <c r="AL2" s="2"/>
      <c r="AM2" s="2"/>
      <c r="AN2" s="2"/>
      <c r="AO2" s="3"/>
      <c r="AP2" s="2"/>
      <c r="AQ2" s="2"/>
      <c r="AR2" s="2"/>
    </row>
    <row r="3" ht="14.25" customHeight="1">
      <c r="A3" s="4" t="s">
        <v>2</v>
      </c>
      <c r="F3" s="5"/>
      <c r="K3" s="5"/>
      <c r="P3" s="5"/>
      <c r="U3" s="5"/>
      <c r="Y3" s="5"/>
      <c r="AC3" s="5"/>
      <c r="AG3" s="5"/>
      <c r="AK3" s="5"/>
      <c r="AO3" s="5"/>
    </row>
    <row r="4" ht="14.25" customHeight="1">
      <c r="A4" s="6"/>
      <c r="F4" s="5"/>
      <c r="K4" s="5"/>
      <c r="P4" s="5"/>
      <c r="U4" s="5"/>
      <c r="Y4" s="5"/>
      <c r="AC4" s="5"/>
      <c r="AG4" s="5"/>
      <c r="AK4" s="5"/>
      <c r="AO4" s="5"/>
    </row>
    <row r="5" ht="14.25" customHeight="1">
      <c r="A5" s="7" t="s">
        <v>3</v>
      </c>
      <c r="B5" s="8">
        <v>45990.0</v>
      </c>
      <c r="C5" s="7"/>
      <c r="D5" s="7"/>
      <c r="E5" s="7"/>
      <c r="F5" s="9" t="s">
        <v>4</v>
      </c>
      <c r="G5" s="10">
        <f>B5+1</f>
        <v>45991</v>
      </c>
      <c r="H5" s="7"/>
      <c r="I5" s="7"/>
      <c r="J5" s="7"/>
      <c r="K5" s="9" t="s">
        <v>5</v>
      </c>
      <c r="L5" s="10">
        <f>G5+1</f>
        <v>45992</v>
      </c>
      <c r="M5" s="7"/>
      <c r="N5" s="7"/>
      <c r="O5" s="7"/>
      <c r="P5" s="9" t="s">
        <v>6</v>
      </c>
      <c r="Q5" s="10">
        <f>L5+1</f>
        <v>45993</v>
      </c>
      <c r="R5" s="7"/>
      <c r="S5" s="7"/>
      <c r="T5" s="7"/>
      <c r="U5" s="9" t="s">
        <v>7</v>
      </c>
      <c r="V5" s="10">
        <f>Q5+1</f>
        <v>45994</v>
      </c>
      <c r="W5" s="7"/>
      <c r="X5" s="7"/>
      <c r="Y5" s="9" t="s">
        <v>8</v>
      </c>
      <c r="Z5" s="10">
        <f>V5+1</f>
        <v>45995</v>
      </c>
      <c r="AA5" s="7"/>
      <c r="AB5" s="7"/>
      <c r="AC5" s="9" t="s">
        <v>9</v>
      </c>
      <c r="AD5" s="10">
        <f>Z5+1</f>
        <v>45996</v>
      </c>
      <c r="AE5" s="7"/>
      <c r="AF5" s="7"/>
      <c r="AG5" s="9" t="s">
        <v>3</v>
      </c>
      <c r="AH5" s="10">
        <f>AD5+1</f>
        <v>45997</v>
      </c>
      <c r="AI5" s="7"/>
      <c r="AJ5" s="7"/>
      <c r="AK5" s="9" t="s">
        <v>4</v>
      </c>
      <c r="AL5" s="10">
        <f>AH5+1</f>
        <v>45998</v>
      </c>
      <c r="AM5" s="7"/>
      <c r="AN5" s="7"/>
      <c r="AO5" s="9" t="s">
        <v>10</v>
      </c>
      <c r="AP5" s="10">
        <f>AL5+1</f>
        <v>45999</v>
      </c>
      <c r="AQ5" s="7"/>
      <c r="AR5" s="7"/>
    </row>
    <row r="6" ht="14.25" customHeight="1">
      <c r="A6" s="11" t="s">
        <v>11</v>
      </c>
      <c r="F6" s="5"/>
      <c r="K6" s="5"/>
      <c r="P6" s="5"/>
      <c r="U6" s="5"/>
      <c r="Y6" s="5"/>
      <c r="AC6" s="5"/>
      <c r="AG6" s="5"/>
      <c r="AK6" s="5"/>
      <c r="AO6" s="5"/>
    </row>
    <row r="7" ht="14.25" customHeight="1">
      <c r="A7" s="4" t="s">
        <v>12</v>
      </c>
      <c r="B7" s="4" t="s">
        <v>13</v>
      </c>
      <c r="C7" s="4" t="s">
        <v>14</v>
      </c>
      <c r="D7" s="4" t="s">
        <v>15</v>
      </c>
      <c r="F7" s="5" t="s">
        <v>12</v>
      </c>
      <c r="G7" s="4" t="s">
        <v>13</v>
      </c>
      <c r="H7" s="4" t="s">
        <v>14</v>
      </c>
      <c r="I7" s="4" t="s">
        <v>15</v>
      </c>
      <c r="K7" s="5" t="s">
        <v>12</v>
      </c>
      <c r="L7" s="4" t="s">
        <v>13</v>
      </c>
      <c r="M7" s="4" t="s">
        <v>14</v>
      </c>
      <c r="N7" s="4" t="s">
        <v>15</v>
      </c>
      <c r="P7" s="5" t="s">
        <v>12</v>
      </c>
      <c r="Q7" s="4" t="s">
        <v>13</v>
      </c>
      <c r="R7" s="4" t="s">
        <v>14</v>
      </c>
      <c r="S7" s="4" t="s">
        <v>15</v>
      </c>
      <c r="U7" s="5" t="s">
        <v>12</v>
      </c>
      <c r="V7" s="4" t="s">
        <v>13</v>
      </c>
      <c r="W7" s="4" t="s">
        <v>14</v>
      </c>
      <c r="X7" s="4" t="s">
        <v>15</v>
      </c>
      <c r="Y7" s="5" t="s">
        <v>12</v>
      </c>
      <c r="Z7" s="4" t="s">
        <v>13</v>
      </c>
      <c r="AA7" s="4" t="s">
        <v>14</v>
      </c>
      <c r="AB7" s="4" t="s">
        <v>15</v>
      </c>
      <c r="AC7" s="5" t="s">
        <v>12</v>
      </c>
      <c r="AD7" s="4" t="s">
        <v>13</v>
      </c>
      <c r="AE7" s="4" t="s">
        <v>14</v>
      </c>
      <c r="AF7" s="4" t="s">
        <v>15</v>
      </c>
      <c r="AG7" s="5" t="s">
        <v>12</v>
      </c>
      <c r="AH7" s="4" t="s">
        <v>13</v>
      </c>
      <c r="AI7" s="4" t="s">
        <v>14</v>
      </c>
      <c r="AJ7" s="4" t="s">
        <v>15</v>
      </c>
      <c r="AK7" s="5" t="s">
        <v>12</v>
      </c>
      <c r="AL7" s="4" t="s">
        <v>13</v>
      </c>
      <c r="AM7" s="4" t="s">
        <v>14</v>
      </c>
      <c r="AN7" s="4" t="s">
        <v>15</v>
      </c>
      <c r="AO7" s="5" t="s">
        <v>12</v>
      </c>
      <c r="AP7" s="4" t="s">
        <v>13</v>
      </c>
      <c r="AQ7" s="4" t="s">
        <v>14</v>
      </c>
      <c r="AR7" s="4" t="s">
        <v>15</v>
      </c>
    </row>
    <row r="8" ht="14.25" customHeight="1">
      <c r="A8" s="4">
        <v>200.0</v>
      </c>
      <c r="B8" s="4"/>
      <c r="F8" s="5"/>
      <c r="G8" s="4">
        <v>0.0</v>
      </c>
      <c r="K8" s="12">
        <v>200.0</v>
      </c>
      <c r="L8" s="4">
        <v>0.0</v>
      </c>
      <c r="P8" s="5"/>
      <c r="Q8" s="4">
        <v>0.0</v>
      </c>
      <c r="U8" s="5"/>
      <c r="Y8" s="5"/>
      <c r="AC8" s="5"/>
      <c r="AD8" s="13"/>
      <c r="AG8" s="5"/>
      <c r="AK8" s="5"/>
      <c r="AO8" s="5"/>
    </row>
    <row r="9" ht="14.25" customHeight="1">
      <c r="A9" s="4">
        <v>100.0</v>
      </c>
      <c r="B9" s="4">
        <v>1.0</v>
      </c>
      <c r="D9" s="4">
        <f t="shared" ref="D9:D19" si="1">A9*(B9+C9)</f>
        <v>100</v>
      </c>
      <c r="F9" s="5">
        <v>100.0</v>
      </c>
      <c r="G9" s="14">
        <v>3.0</v>
      </c>
      <c r="H9" s="15">
        <v>-2.0</v>
      </c>
      <c r="I9" s="4">
        <f t="shared" ref="I9:I19" si="2">F9*(G9+H9)</f>
        <v>100</v>
      </c>
      <c r="K9" s="5">
        <v>100.0</v>
      </c>
      <c r="L9" s="14">
        <v>2.0</v>
      </c>
      <c r="M9" s="15">
        <v>-1.0</v>
      </c>
      <c r="N9" s="4">
        <f t="shared" ref="N9:N19" si="3">K9*(L9+M9)</f>
        <v>100</v>
      </c>
      <c r="P9" s="5">
        <v>100.0</v>
      </c>
      <c r="Q9" s="14">
        <v>2.0</v>
      </c>
      <c r="R9" s="15">
        <v>-1.0</v>
      </c>
      <c r="S9" s="4">
        <f t="shared" ref="S9:S19" si="4">P9*(Q9+R9)</f>
        <v>100</v>
      </c>
      <c r="U9" s="5">
        <v>100.0</v>
      </c>
      <c r="V9" s="14">
        <v>1.0</v>
      </c>
      <c r="X9" s="4">
        <f t="shared" ref="X9:X19" si="5">U9*(V9+W9)</f>
        <v>100</v>
      </c>
      <c r="Y9" s="5">
        <v>100.0</v>
      </c>
      <c r="Z9" s="14">
        <v>1.0</v>
      </c>
      <c r="AB9" s="4">
        <f t="shared" ref="AB9:AB19" si="6">Y9*(Z9+AA9)</f>
        <v>100</v>
      </c>
      <c r="AC9" s="5">
        <v>100.0</v>
      </c>
      <c r="AD9" s="14">
        <v>2.0</v>
      </c>
      <c r="AF9" s="4">
        <f t="shared" ref="AF9:AF19" si="7">AC9*(AD9+AE9)</f>
        <v>200</v>
      </c>
      <c r="AG9" s="5">
        <v>100.0</v>
      </c>
      <c r="AH9" s="14">
        <v>6.0</v>
      </c>
      <c r="AI9" s="15">
        <v>-5.0</v>
      </c>
      <c r="AJ9" s="4">
        <f t="shared" ref="AJ9:AJ19" si="8">AG9*(AH9+AI9)</f>
        <v>100</v>
      </c>
      <c r="AK9" s="5">
        <v>100.0</v>
      </c>
      <c r="AL9" s="14">
        <v>2.0</v>
      </c>
      <c r="AM9" s="15">
        <v>-1.0</v>
      </c>
      <c r="AN9" s="4">
        <f t="shared" ref="AN9:AN19" si="9">AK9*(AL9+AM9)</f>
        <v>100</v>
      </c>
      <c r="AO9" s="5">
        <v>100.0</v>
      </c>
      <c r="AP9" s="4"/>
      <c r="AR9" s="4">
        <f t="shared" ref="AR9:AR19" si="10">AO9*(AP9+AQ9)</f>
        <v>0</v>
      </c>
    </row>
    <row r="10" ht="14.25" customHeight="1">
      <c r="A10" s="4">
        <v>50.0</v>
      </c>
      <c r="B10" s="14">
        <v>3.0</v>
      </c>
      <c r="D10" s="4">
        <f t="shared" si="1"/>
        <v>150</v>
      </c>
      <c r="F10" s="5">
        <v>50.0</v>
      </c>
      <c r="G10" s="14">
        <v>10.0</v>
      </c>
      <c r="H10" s="15">
        <v>-7.0</v>
      </c>
      <c r="I10" s="4">
        <f t="shared" si="2"/>
        <v>150</v>
      </c>
      <c r="K10" s="5">
        <v>50.0</v>
      </c>
      <c r="L10" s="14">
        <v>3.0</v>
      </c>
      <c r="N10" s="4">
        <f t="shared" si="3"/>
        <v>150</v>
      </c>
      <c r="P10" s="5">
        <v>50.0</v>
      </c>
      <c r="Q10" s="14">
        <v>4.0</v>
      </c>
      <c r="R10" s="15">
        <v>-1.0</v>
      </c>
      <c r="S10" s="4">
        <f t="shared" si="4"/>
        <v>150</v>
      </c>
      <c r="U10" s="5">
        <v>50.0</v>
      </c>
      <c r="V10" s="14">
        <v>3.0</v>
      </c>
      <c r="X10" s="4">
        <f t="shared" si="5"/>
        <v>150</v>
      </c>
      <c r="Y10" s="5">
        <v>50.0</v>
      </c>
      <c r="Z10" s="14">
        <v>5.0</v>
      </c>
      <c r="AA10" s="15">
        <v>-2.0</v>
      </c>
      <c r="AB10" s="4">
        <f t="shared" si="6"/>
        <v>150</v>
      </c>
      <c r="AC10" s="5">
        <v>50.0</v>
      </c>
      <c r="AD10" s="14">
        <v>4.0</v>
      </c>
      <c r="AF10" s="4">
        <f t="shared" si="7"/>
        <v>200</v>
      </c>
      <c r="AG10" s="5">
        <v>50.0</v>
      </c>
      <c r="AH10" s="14">
        <v>8.0</v>
      </c>
      <c r="AI10" s="15">
        <v>-5.0</v>
      </c>
      <c r="AJ10" s="4">
        <f t="shared" si="8"/>
        <v>150</v>
      </c>
      <c r="AK10" s="5">
        <v>50.0</v>
      </c>
      <c r="AL10" s="14">
        <v>9.0</v>
      </c>
      <c r="AM10" s="15">
        <v>-4.0</v>
      </c>
      <c r="AN10" s="4">
        <f t="shared" si="9"/>
        <v>250</v>
      </c>
      <c r="AO10" s="5">
        <v>50.0</v>
      </c>
      <c r="AP10" s="4"/>
      <c r="AR10" s="4">
        <f t="shared" si="10"/>
        <v>0</v>
      </c>
    </row>
    <row r="11" ht="14.25" customHeight="1">
      <c r="A11" s="4">
        <v>20.0</v>
      </c>
      <c r="B11" s="4">
        <v>10.0</v>
      </c>
      <c r="D11" s="4">
        <f t="shared" si="1"/>
        <v>200</v>
      </c>
      <c r="F11" s="5">
        <v>20.0</v>
      </c>
      <c r="G11" s="14">
        <v>19.0</v>
      </c>
      <c r="H11" s="15">
        <v>-10.0</v>
      </c>
      <c r="I11" s="4">
        <f t="shared" si="2"/>
        <v>180</v>
      </c>
      <c r="K11" s="5">
        <v>20.0</v>
      </c>
      <c r="L11" s="14">
        <v>17.0</v>
      </c>
      <c r="M11" s="15">
        <v>-7.0</v>
      </c>
      <c r="N11" s="4">
        <f t="shared" si="3"/>
        <v>200</v>
      </c>
      <c r="P11" s="5">
        <v>20.0</v>
      </c>
      <c r="Q11" s="14">
        <v>13.0</v>
      </c>
      <c r="R11" s="15">
        <v>-3.0</v>
      </c>
      <c r="S11" s="4">
        <f t="shared" si="4"/>
        <v>200</v>
      </c>
      <c r="U11" s="5">
        <v>20.0</v>
      </c>
      <c r="V11" s="14">
        <v>15.0</v>
      </c>
      <c r="W11" s="15">
        <v>-4.0</v>
      </c>
      <c r="X11" s="4">
        <f t="shared" si="5"/>
        <v>220</v>
      </c>
      <c r="Y11" s="5">
        <v>20.0</v>
      </c>
      <c r="Z11" s="14">
        <v>12.0</v>
      </c>
      <c r="AA11" s="15">
        <v>-2.0</v>
      </c>
      <c r="AB11" s="4">
        <f t="shared" si="6"/>
        <v>200</v>
      </c>
      <c r="AC11" s="5">
        <v>20.0</v>
      </c>
      <c r="AD11" s="14">
        <v>9.0</v>
      </c>
      <c r="AF11" s="4">
        <f t="shared" si="7"/>
        <v>180</v>
      </c>
      <c r="AG11" s="5">
        <v>20.0</v>
      </c>
      <c r="AH11" s="14">
        <v>21.0</v>
      </c>
      <c r="AI11" s="15">
        <v>-11.0</v>
      </c>
      <c r="AJ11" s="4">
        <f t="shared" si="8"/>
        <v>200</v>
      </c>
      <c r="AK11" s="5">
        <v>20.0</v>
      </c>
      <c r="AL11" s="14">
        <v>18.0</v>
      </c>
      <c r="AM11" s="15">
        <v>-5.0</v>
      </c>
      <c r="AN11" s="4">
        <f t="shared" si="9"/>
        <v>260</v>
      </c>
      <c r="AO11" s="5">
        <v>20.0</v>
      </c>
      <c r="AP11" s="4"/>
      <c r="AR11" s="4">
        <f t="shared" si="10"/>
        <v>0</v>
      </c>
    </row>
    <row r="12" ht="14.25" customHeight="1">
      <c r="A12" s="4">
        <v>10.0</v>
      </c>
      <c r="B12" s="14">
        <v>9.0</v>
      </c>
      <c r="D12" s="4">
        <f t="shared" si="1"/>
        <v>90</v>
      </c>
      <c r="F12" s="5">
        <v>10.0</v>
      </c>
      <c r="G12" s="14">
        <v>17.0</v>
      </c>
      <c r="H12" s="15">
        <v>-9.0</v>
      </c>
      <c r="I12" s="4">
        <f t="shared" si="2"/>
        <v>80</v>
      </c>
      <c r="K12" s="5">
        <v>10.0</v>
      </c>
      <c r="L12" s="14">
        <v>7.0</v>
      </c>
      <c r="N12" s="4">
        <f t="shared" si="3"/>
        <v>70</v>
      </c>
      <c r="P12" s="5">
        <v>10.0</v>
      </c>
      <c r="Q12" s="14">
        <v>5.0</v>
      </c>
      <c r="R12" s="15">
        <v>5.0</v>
      </c>
      <c r="S12" s="4">
        <f t="shared" si="4"/>
        <v>100</v>
      </c>
      <c r="U12" s="5">
        <v>10.0</v>
      </c>
      <c r="V12" s="14">
        <v>9.0</v>
      </c>
      <c r="X12" s="4">
        <f t="shared" si="5"/>
        <v>90</v>
      </c>
      <c r="Y12" s="5">
        <v>10.0</v>
      </c>
      <c r="Z12" s="14">
        <v>5.0</v>
      </c>
      <c r="AB12" s="4">
        <f t="shared" si="6"/>
        <v>50</v>
      </c>
      <c r="AC12" s="5">
        <v>10.0</v>
      </c>
      <c r="AD12" s="14">
        <v>7.0</v>
      </c>
      <c r="AE12" s="16">
        <f>2</f>
        <v>2</v>
      </c>
      <c r="AF12" s="4">
        <f t="shared" si="7"/>
        <v>90</v>
      </c>
      <c r="AG12" s="5">
        <v>10.0</v>
      </c>
      <c r="AH12" s="14">
        <v>7.0</v>
      </c>
      <c r="AJ12" s="4">
        <f t="shared" si="8"/>
        <v>70</v>
      </c>
      <c r="AK12" s="5">
        <v>10.0</v>
      </c>
      <c r="AL12" s="14">
        <v>4.0</v>
      </c>
      <c r="AN12" s="4">
        <f t="shared" si="9"/>
        <v>40</v>
      </c>
      <c r="AO12" s="5">
        <v>10.0</v>
      </c>
      <c r="AP12" s="4"/>
      <c r="AR12" s="4">
        <f t="shared" si="10"/>
        <v>0</v>
      </c>
    </row>
    <row r="13" ht="14.25" customHeight="1">
      <c r="A13" s="4">
        <v>5.0</v>
      </c>
      <c r="B13" s="4">
        <v>25.0</v>
      </c>
      <c r="C13" s="4"/>
      <c r="D13" s="4">
        <f t="shared" si="1"/>
        <v>125</v>
      </c>
      <c r="F13" s="5">
        <v>5.0</v>
      </c>
      <c r="G13" s="14">
        <v>13.0</v>
      </c>
      <c r="H13" s="4"/>
      <c r="I13" s="4">
        <f t="shared" si="2"/>
        <v>65</v>
      </c>
      <c r="K13" s="5">
        <v>5.0</v>
      </c>
      <c r="L13" s="14">
        <v>9.0</v>
      </c>
      <c r="M13" s="4"/>
      <c r="N13" s="4">
        <f t="shared" si="3"/>
        <v>45</v>
      </c>
      <c r="P13" s="5">
        <v>5.0</v>
      </c>
      <c r="Q13" s="14">
        <v>6.0</v>
      </c>
      <c r="S13" s="4">
        <f t="shared" si="4"/>
        <v>30</v>
      </c>
      <c r="U13" s="5">
        <v>5.0</v>
      </c>
      <c r="V13" s="14">
        <v>11.0</v>
      </c>
      <c r="X13" s="4">
        <f t="shared" si="5"/>
        <v>55</v>
      </c>
      <c r="Y13" s="5">
        <v>5.0</v>
      </c>
      <c r="Z13" s="14">
        <v>6.0</v>
      </c>
      <c r="AA13" s="15">
        <v>4.0</v>
      </c>
      <c r="AB13" s="4">
        <f t="shared" si="6"/>
        <v>50</v>
      </c>
      <c r="AC13" s="5">
        <v>5.0</v>
      </c>
      <c r="AD13" s="14">
        <v>9.0</v>
      </c>
      <c r="AF13" s="4">
        <f t="shared" si="7"/>
        <v>45</v>
      </c>
      <c r="AG13" s="5">
        <v>5.0</v>
      </c>
      <c r="AH13" s="14">
        <v>0.0</v>
      </c>
      <c r="AI13" s="15">
        <v>6.0</v>
      </c>
      <c r="AJ13" s="4">
        <f t="shared" si="8"/>
        <v>30</v>
      </c>
      <c r="AK13" s="5">
        <v>5.0</v>
      </c>
      <c r="AL13" s="14">
        <v>0.0</v>
      </c>
      <c r="AN13" s="4">
        <f t="shared" si="9"/>
        <v>0</v>
      </c>
      <c r="AO13" s="5">
        <v>5.0</v>
      </c>
      <c r="AP13" s="4"/>
      <c r="AR13" s="4">
        <f t="shared" si="10"/>
        <v>0</v>
      </c>
    </row>
    <row r="14" ht="14.25" customHeight="1">
      <c r="A14" s="4">
        <v>2.0</v>
      </c>
      <c r="B14" s="14">
        <v>275.0</v>
      </c>
      <c r="C14" s="4"/>
      <c r="D14" s="4">
        <f t="shared" si="1"/>
        <v>550</v>
      </c>
      <c r="F14" s="5">
        <v>2.0</v>
      </c>
      <c r="G14" s="14">
        <v>190.0</v>
      </c>
      <c r="H14" s="14">
        <v>0.0</v>
      </c>
      <c r="I14" s="4">
        <f t="shared" si="2"/>
        <v>380</v>
      </c>
      <c r="K14" s="5">
        <v>2.0</v>
      </c>
      <c r="L14" s="14">
        <v>162.0</v>
      </c>
      <c r="M14" s="4"/>
      <c r="N14" s="4">
        <f t="shared" si="3"/>
        <v>324</v>
      </c>
      <c r="P14" s="5">
        <v>2.0</v>
      </c>
      <c r="Q14" s="14">
        <v>144.0</v>
      </c>
      <c r="S14" s="4">
        <f t="shared" si="4"/>
        <v>288</v>
      </c>
      <c r="U14" s="5">
        <v>2.0</v>
      </c>
      <c r="V14" s="14">
        <v>123.0</v>
      </c>
      <c r="W14" s="14"/>
      <c r="X14" s="4">
        <f t="shared" si="5"/>
        <v>246</v>
      </c>
      <c r="Y14" s="5">
        <v>2.0</v>
      </c>
      <c r="Z14" s="14">
        <v>104.0</v>
      </c>
      <c r="AB14" s="4">
        <f t="shared" si="6"/>
        <v>208</v>
      </c>
      <c r="AC14" s="5">
        <v>2.0</v>
      </c>
      <c r="AD14" s="14">
        <v>64.0</v>
      </c>
      <c r="AE14" s="14">
        <v>50.0</v>
      </c>
      <c r="AF14" s="4">
        <f t="shared" si="7"/>
        <v>228</v>
      </c>
      <c r="AG14" s="5">
        <v>2.0</v>
      </c>
      <c r="AH14" s="14">
        <v>60.0</v>
      </c>
      <c r="AI14" s="15">
        <v>150.0</v>
      </c>
      <c r="AJ14" s="4">
        <f t="shared" si="8"/>
        <v>420</v>
      </c>
      <c r="AK14" s="5">
        <v>2.0</v>
      </c>
      <c r="AL14" s="14">
        <v>131.0</v>
      </c>
      <c r="AN14" s="4">
        <f t="shared" si="9"/>
        <v>262</v>
      </c>
      <c r="AO14" s="5">
        <v>2.0</v>
      </c>
      <c r="AP14" s="4"/>
      <c r="AR14" s="4">
        <f t="shared" si="10"/>
        <v>0</v>
      </c>
    </row>
    <row r="15" ht="14.25" customHeight="1">
      <c r="A15" s="4">
        <v>1.0</v>
      </c>
      <c r="B15" s="14">
        <v>150.0</v>
      </c>
      <c r="C15" s="4"/>
      <c r="D15" s="4">
        <f t="shared" si="1"/>
        <v>150</v>
      </c>
      <c r="F15" s="5">
        <v>1.0</v>
      </c>
      <c r="G15" s="14">
        <v>129.0</v>
      </c>
      <c r="H15" s="14">
        <v>0.0</v>
      </c>
      <c r="I15" s="4">
        <f t="shared" si="2"/>
        <v>129</v>
      </c>
      <c r="K15" s="5">
        <v>1.0</v>
      </c>
      <c r="L15" s="14">
        <v>84.0</v>
      </c>
      <c r="M15" s="4"/>
      <c r="N15" s="4">
        <f t="shared" si="3"/>
        <v>84</v>
      </c>
      <c r="P15" s="5">
        <v>1.0</v>
      </c>
      <c r="Q15" s="14">
        <v>65.0</v>
      </c>
      <c r="S15" s="4">
        <f t="shared" si="4"/>
        <v>65</v>
      </c>
      <c r="U15" s="5">
        <v>1.0</v>
      </c>
      <c r="V15" s="14">
        <v>65.0</v>
      </c>
      <c r="X15" s="4">
        <f t="shared" si="5"/>
        <v>65</v>
      </c>
      <c r="Y15" s="5">
        <v>1.0</v>
      </c>
      <c r="Z15" s="14">
        <v>39.0</v>
      </c>
      <c r="AB15" s="4">
        <f t="shared" si="6"/>
        <v>39</v>
      </c>
      <c r="AC15" s="5">
        <v>1.0</v>
      </c>
      <c r="AD15" s="14">
        <v>33.0</v>
      </c>
      <c r="AF15" s="4">
        <f t="shared" si="7"/>
        <v>33</v>
      </c>
      <c r="AG15" s="5">
        <v>1.0</v>
      </c>
      <c r="AH15" s="14">
        <v>23.0</v>
      </c>
      <c r="AI15" s="14">
        <v>22.0</v>
      </c>
      <c r="AJ15" s="4">
        <f t="shared" si="8"/>
        <v>45</v>
      </c>
      <c r="AK15" s="5">
        <v>1.0</v>
      </c>
      <c r="AL15" s="14">
        <v>16.0</v>
      </c>
      <c r="AN15" s="4">
        <f t="shared" si="9"/>
        <v>16</v>
      </c>
      <c r="AO15" s="5">
        <v>1.0</v>
      </c>
      <c r="AP15" s="4"/>
      <c r="AR15" s="4">
        <f t="shared" si="10"/>
        <v>0</v>
      </c>
    </row>
    <row r="16" ht="14.25" customHeight="1">
      <c r="A16" s="4">
        <v>0.5</v>
      </c>
      <c r="B16" s="4">
        <v>50.0</v>
      </c>
      <c r="D16" s="4">
        <f t="shared" si="1"/>
        <v>25</v>
      </c>
      <c r="F16" s="5">
        <v>0.5</v>
      </c>
      <c r="G16" s="14">
        <v>53.0</v>
      </c>
      <c r="I16" s="4">
        <f t="shared" si="2"/>
        <v>26.5</v>
      </c>
      <c r="K16" s="5">
        <v>0.5</v>
      </c>
      <c r="L16" s="14">
        <v>51.0</v>
      </c>
      <c r="M16" s="4"/>
      <c r="N16" s="4">
        <f t="shared" si="3"/>
        <v>25.5</v>
      </c>
      <c r="P16" s="5">
        <v>0.5</v>
      </c>
      <c r="Q16" s="14">
        <v>51.0</v>
      </c>
      <c r="S16" s="4">
        <f t="shared" si="4"/>
        <v>25.5</v>
      </c>
      <c r="U16" s="5">
        <v>0.5</v>
      </c>
      <c r="V16" s="14">
        <v>49.0</v>
      </c>
      <c r="X16" s="4">
        <f t="shared" si="5"/>
        <v>24.5</v>
      </c>
      <c r="Y16" s="5">
        <v>0.5</v>
      </c>
      <c r="Z16" s="14">
        <v>45.0</v>
      </c>
      <c r="AB16" s="4">
        <f t="shared" si="6"/>
        <v>22.5</v>
      </c>
      <c r="AC16" s="5">
        <v>0.5</v>
      </c>
      <c r="AD16" s="14">
        <v>47.0</v>
      </c>
      <c r="AF16" s="4">
        <f t="shared" si="7"/>
        <v>23.5</v>
      </c>
      <c r="AG16" s="5">
        <v>0.5</v>
      </c>
      <c r="AH16" s="14">
        <v>48.0</v>
      </c>
      <c r="AJ16" s="4">
        <f t="shared" si="8"/>
        <v>24</v>
      </c>
      <c r="AK16" s="5">
        <v>0.5</v>
      </c>
      <c r="AL16" s="14">
        <v>49.0</v>
      </c>
      <c r="AN16" s="4">
        <f t="shared" si="9"/>
        <v>24.5</v>
      </c>
      <c r="AO16" s="5">
        <v>0.5</v>
      </c>
      <c r="AP16" s="4"/>
      <c r="AR16" s="4">
        <f t="shared" si="10"/>
        <v>0</v>
      </c>
    </row>
    <row r="17" ht="14.25" customHeight="1">
      <c r="A17" s="4">
        <v>0.2</v>
      </c>
      <c r="B17" s="4"/>
      <c r="D17" s="4">
        <f t="shared" si="1"/>
        <v>0</v>
      </c>
      <c r="F17" s="5">
        <v>0.2</v>
      </c>
      <c r="G17" s="14">
        <v>12.0</v>
      </c>
      <c r="I17" s="4">
        <f t="shared" si="2"/>
        <v>2.4</v>
      </c>
      <c r="K17" s="5">
        <v>0.2</v>
      </c>
      <c r="L17" s="14">
        <v>12.0</v>
      </c>
      <c r="N17" s="4">
        <f t="shared" si="3"/>
        <v>2.4</v>
      </c>
      <c r="P17" s="5">
        <v>0.2</v>
      </c>
      <c r="Q17" s="14">
        <v>12.0</v>
      </c>
      <c r="S17" s="4">
        <f t="shared" si="4"/>
        <v>2.4</v>
      </c>
      <c r="U17" s="5">
        <v>0.2</v>
      </c>
      <c r="V17" s="14">
        <v>10.0</v>
      </c>
      <c r="X17" s="4">
        <f t="shared" si="5"/>
        <v>2</v>
      </c>
      <c r="Y17" s="5">
        <v>0.2</v>
      </c>
      <c r="Z17" s="14">
        <v>11.0</v>
      </c>
      <c r="AB17" s="4">
        <f t="shared" si="6"/>
        <v>2.2</v>
      </c>
      <c r="AC17" s="5">
        <v>0.2</v>
      </c>
      <c r="AD17" s="14">
        <v>11.0</v>
      </c>
      <c r="AF17" s="4">
        <f t="shared" si="7"/>
        <v>2.2</v>
      </c>
      <c r="AG17" s="5">
        <v>0.2</v>
      </c>
      <c r="AH17" s="14">
        <v>11.0</v>
      </c>
      <c r="AJ17" s="4">
        <f t="shared" si="8"/>
        <v>2.2</v>
      </c>
      <c r="AK17" s="5">
        <v>0.2</v>
      </c>
      <c r="AL17" s="14">
        <v>15.0</v>
      </c>
      <c r="AN17" s="4">
        <f t="shared" si="9"/>
        <v>3</v>
      </c>
      <c r="AO17" s="5">
        <v>0.2</v>
      </c>
      <c r="AP17" s="4"/>
      <c r="AR17" s="4">
        <f t="shared" si="10"/>
        <v>0</v>
      </c>
    </row>
    <row r="18" ht="14.25" customHeight="1">
      <c r="A18" s="4">
        <v>0.1</v>
      </c>
      <c r="B18" s="4"/>
      <c r="D18" s="4">
        <f t="shared" si="1"/>
        <v>0</v>
      </c>
      <c r="F18" s="5">
        <v>0.1</v>
      </c>
      <c r="G18" s="14">
        <v>11.0</v>
      </c>
      <c r="I18" s="4">
        <f t="shared" si="2"/>
        <v>1.1</v>
      </c>
      <c r="K18" s="5">
        <v>0.1</v>
      </c>
      <c r="L18" s="14">
        <v>11.0</v>
      </c>
      <c r="N18" s="4">
        <f t="shared" si="3"/>
        <v>1.1</v>
      </c>
      <c r="P18" s="5">
        <v>0.1</v>
      </c>
      <c r="Q18" s="14">
        <v>11.0</v>
      </c>
      <c r="S18" s="4">
        <f t="shared" si="4"/>
        <v>1.1</v>
      </c>
      <c r="U18" s="5">
        <v>0.1</v>
      </c>
      <c r="V18" s="14">
        <v>11.0</v>
      </c>
      <c r="X18" s="4">
        <f t="shared" si="5"/>
        <v>1.1</v>
      </c>
      <c r="Y18" s="5">
        <v>0.1</v>
      </c>
      <c r="Z18" s="14">
        <v>11.0</v>
      </c>
      <c r="AB18" s="4">
        <f t="shared" si="6"/>
        <v>1.1</v>
      </c>
      <c r="AC18" s="5">
        <v>0.1</v>
      </c>
      <c r="AD18" s="14">
        <v>11.0</v>
      </c>
      <c r="AF18" s="4">
        <f t="shared" si="7"/>
        <v>1.1</v>
      </c>
      <c r="AG18" s="5">
        <v>0.1</v>
      </c>
      <c r="AH18" s="14">
        <v>11.0</v>
      </c>
      <c r="AJ18" s="4">
        <f t="shared" si="8"/>
        <v>1.1</v>
      </c>
      <c r="AK18" s="5">
        <v>0.1</v>
      </c>
      <c r="AL18" s="14">
        <v>12.0</v>
      </c>
      <c r="AN18" s="4">
        <f t="shared" si="9"/>
        <v>1.2</v>
      </c>
      <c r="AO18" s="5">
        <v>0.1</v>
      </c>
      <c r="AP18" s="4"/>
      <c r="AR18" s="4">
        <f t="shared" si="10"/>
        <v>0</v>
      </c>
    </row>
    <row r="19" ht="14.25" customHeight="1">
      <c r="A19" s="4">
        <v>0.05</v>
      </c>
      <c r="D19" s="4">
        <f t="shared" si="1"/>
        <v>0</v>
      </c>
      <c r="F19" s="5">
        <v>0.05</v>
      </c>
      <c r="G19" s="14">
        <v>0.0</v>
      </c>
      <c r="I19" s="4">
        <f t="shared" si="2"/>
        <v>0</v>
      </c>
      <c r="K19" s="5">
        <v>0.05</v>
      </c>
      <c r="L19" s="14">
        <v>0.0</v>
      </c>
      <c r="N19" s="4">
        <f t="shared" si="3"/>
        <v>0</v>
      </c>
      <c r="P19" s="5">
        <v>0.05</v>
      </c>
      <c r="Q19" s="14">
        <v>0.0</v>
      </c>
      <c r="S19" s="4">
        <f t="shared" si="4"/>
        <v>0</v>
      </c>
      <c r="U19" s="5">
        <v>0.05</v>
      </c>
      <c r="V19" s="14">
        <v>0.0</v>
      </c>
      <c r="X19" s="4">
        <f t="shared" si="5"/>
        <v>0</v>
      </c>
      <c r="Y19" s="5">
        <v>0.05</v>
      </c>
      <c r="Z19" s="14">
        <v>0.0</v>
      </c>
      <c r="AB19" s="4">
        <f t="shared" si="6"/>
        <v>0</v>
      </c>
      <c r="AC19" s="5">
        <v>0.05</v>
      </c>
      <c r="AD19" s="14">
        <v>0.0</v>
      </c>
      <c r="AF19" s="4">
        <f t="shared" si="7"/>
        <v>0</v>
      </c>
      <c r="AG19" s="5">
        <v>0.05</v>
      </c>
      <c r="AH19" s="14">
        <v>1.0</v>
      </c>
      <c r="AJ19" s="4">
        <f t="shared" si="8"/>
        <v>0.05</v>
      </c>
      <c r="AK19" s="5">
        <v>0.05</v>
      </c>
      <c r="AL19" s="14">
        <v>1.0</v>
      </c>
      <c r="AN19" s="4">
        <f t="shared" si="9"/>
        <v>0.05</v>
      </c>
      <c r="AO19" s="5">
        <v>0.05</v>
      </c>
      <c r="AP19" s="4"/>
      <c r="AR19" s="4">
        <f t="shared" si="10"/>
        <v>0</v>
      </c>
    </row>
    <row r="20" ht="14.25" customHeight="1">
      <c r="F20" s="5"/>
      <c r="K20" s="5"/>
      <c r="P20" s="5"/>
      <c r="U20" s="5"/>
      <c r="V20" s="14">
        <v>0.0</v>
      </c>
      <c r="Y20" s="5"/>
      <c r="Z20" s="14">
        <v>0.0</v>
      </c>
      <c r="AC20" s="5"/>
      <c r="AD20" s="14">
        <v>0.0</v>
      </c>
      <c r="AG20" s="5"/>
      <c r="AH20" s="14">
        <v>0.0</v>
      </c>
      <c r="AK20" s="5"/>
      <c r="AL20" s="14">
        <v>0.0</v>
      </c>
      <c r="AO20" s="5"/>
    </row>
    <row r="21" ht="14.25" customHeight="1">
      <c r="A21" s="17" t="s">
        <v>16</v>
      </c>
      <c r="B21" s="17"/>
      <c r="C21" s="17"/>
      <c r="D21" s="17">
        <f>SUM(D8:D19)</f>
        <v>1390</v>
      </c>
      <c r="E21" s="17"/>
      <c r="F21" s="18" t="s">
        <v>16</v>
      </c>
      <c r="G21" s="17"/>
      <c r="H21" s="17"/>
      <c r="I21" s="17">
        <f>SUM(I9:I20)</f>
        <v>1114</v>
      </c>
      <c r="J21" s="17"/>
      <c r="K21" s="18" t="s">
        <v>16</v>
      </c>
      <c r="L21" s="17"/>
      <c r="M21" s="17"/>
      <c r="N21" s="17">
        <f>SUM(N9:N19)</f>
        <v>1002</v>
      </c>
      <c r="O21" s="17"/>
      <c r="P21" s="18" t="s">
        <v>16</v>
      </c>
      <c r="Q21" s="17"/>
      <c r="R21" s="17"/>
      <c r="S21" s="17">
        <f>SUM(S9:S19)</f>
        <v>962</v>
      </c>
      <c r="T21" s="17"/>
      <c r="U21" s="18" t="s">
        <v>16</v>
      </c>
      <c r="V21" s="17"/>
      <c r="W21" s="17"/>
      <c r="X21" s="17">
        <f>SUM(X9:X19)</f>
        <v>953.6</v>
      </c>
      <c r="Y21" s="18" t="s">
        <v>16</v>
      </c>
      <c r="Z21" s="17"/>
      <c r="AA21" s="17"/>
      <c r="AB21" s="17">
        <f>SUM(AB9:AB19)</f>
        <v>822.8</v>
      </c>
      <c r="AC21" s="18" t="s">
        <v>16</v>
      </c>
      <c r="AD21" s="17"/>
      <c r="AE21" s="17"/>
      <c r="AF21" s="17">
        <f>SUM(AF9:AF19)</f>
        <v>1002.8</v>
      </c>
      <c r="AG21" s="18" t="s">
        <v>16</v>
      </c>
      <c r="AH21" s="17"/>
      <c r="AI21" s="17"/>
      <c r="AJ21" s="17">
        <f>SUM(AJ9:AJ19)</f>
        <v>1042.35</v>
      </c>
      <c r="AK21" s="18" t="s">
        <v>16</v>
      </c>
      <c r="AL21" s="17"/>
      <c r="AM21" s="17"/>
      <c r="AN21" s="17">
        <f>SUM(AN9:AN19)</f>
        <v>956.75</v>
      </c>
      <c r="AO21" s="18" t="s">
        <v>16</v>
      </c>
      <c r="AP21" s="17"/>
      <c r="AQ21" s="17"/>
      <c r="AR21" s="17">
        <f>SUM(AR9:AR19)</f>
        <v>0</v>
      </c>
    </row>
    <row r="22" ht="14.25" customHeight="1">
      <c r="F22" s="5"/>
      <c r="K22" s="5"/>
      <c r="P22" s="5"/>
      <c r="U22" s="5"/>
      <c r="Y22" s="5"/>
      <c r="AC22" s="5"/>
      <c r="AG22" s="5"/>
      <c r="AK22" s="5"/>
      <c r="AO22" s="5"/>
    </row>
    <row r="23" ht="14.25" customHeight="1">
      <c r="F23" s="5"/>
      <c r="K23" s="5"/>
      <c r="P23" s="5"/>
      <c r="U23" s="5"/>
      <c r="Y23" s="5"/>
      <c r="AC23" s="5"/>
      <c r="AG23" s="5"/>
      <c r="AK23" s="5"/>
      <c r="AO23" s="5"/>
    </row>
    <row r="24" ht="14.25" customHeight="1">
      <c r="A24" s="19" t="s">
        <v>17</v>
      </c>
      <c r="B24" s="19"/>
      <c r="C24" s="19"/>
      <c r="D24" s="19">
        <f>D41-D21</f>
        <v>564</v>
      </c>
      <c r="E24" s="19"/>
      <c r="F24" s="20" t="s">
        <v>17</v>
      </c>
      <c r="G24" s="19"/>
      <c r="H24" s="19"/>
      <c r="I24" s="19">
        <f>I41-I21</f>
        <v>128</v>
      </c>
      <c r="J24" s="19"/>
      <c r="K24" s="20" t="s">
        <v>17</v>
      </c>
      <c r="L24" s="19"/>
      <c r="M24" s="19"/>
      <c r="N24" s="19">
        <f>N41-N21</f>
        <v>120</v>
      </c>
      <c r="O24" s="19"/>
      <c r="P24" s="20" t="s">
        <v>17</v>
      </c>
      <c r="Q24" s="19"/>
      <c r="R24" s="19"/>
      <c r="S24" s="19">
        <f>S41-S21</f>
        <v>71.6</v>
      </c>
      <c r="T24" s="19"/>
      <c r="U24" s="20" t="s">
        <v>17</v>
      </c>
      <c r="V24" s="19"/>
      <c r="W24" s="19"/>
      <c r="X24" s="19">
        <f>X41-X21</f>
        <v>-10.8</v>
      </c>
      <c r="Y24" s="20" t="s">
        <v>17</v>
      </c>
      <c r="Z24" s="19"/>
      <c r="AA24" s="19"/>
      <c r="AB24" s="19">
        <f>AB41-AB21</f>
        <v>60</v>
      </c>
      <c r="AC24" s="20" t="s">
        <v>17</v>
      </c>
      <c r="AD24" s="19"/>
      <c r="AE24" s="19"/>
      <c r="AF24" s="19">
        <f>AF41-AF21</f>
        <v>657.55</v>
      </c>
      <c r="AG24" s="20" t="s">
        <v>17</v>
      </c>
      <c r="AH24" s="19"/>
      <c r="AI24" s="19"/>
      <c r="AJ24" s="19">
        <f>AJ41-AJ21</f>
        <v>314.4</v>
      </c>
      <c r="AK24" s="20" t="s">
        <v>17</v>
      </c>
      <c r="AL24" s="19"/>
      <c r="AM24" s="19"/>
      <c r="AN24" s="19">
        <f>AN41-AN21</f>
        <v>81.05</v>
      </c>
      <c r="AO24" s="20" t="s">
        <v>17</v>
      </c>
      <c r="AP24" s="19"/>
      <c r="AQ24" s="19"/>
      <c r="AR24" s="19">
        <f>AR41-AR21</f>
        <v>0</v>
      </c>
    </row>
    <row r="25" ht="14.25" customHeight="1">
      <c r="F25" s="5"/>
      <c r="K25" s="5"/>
      <c r="P25" s="5"/>
      <c r="U25" s="5"/>
      <c r="Y25" s="5"/>
      <c r="AC25" s="5"/>
      <c r="AG25" s="5"/>
      <c r="AK25" s="5"/>
      <c r="AO25" s="5"/>
    </row>
    <row r="26" ht="14.25" customHeight="1">
      <c r="A26" s="11" t="s">
        <v>18</v>
      </c>
      <c r="F26" s="5"/>
      <c r="K26" s="5"/>
      <c r="P26" s="5"/>
      <c r="U26" s="5"/>
      <c r="Y26" s="5"/>
      <c r="AC26" s="5"/>
      <c r="AG26" s="5"/>
      <c r="AK26" s="5"/>
      <c r="AO26" s="5"/>
    </row>
    <row r="27" ht="14.25" customHeight="1">
      <c r="A27" s="4" t="s">
        <v>12</v>
      </c>
      <c r="B27" s="4" t="s">
        <v>13</v>
      </c>
      <c r="C27" s="4" t="s">
        <v>14</v>
      </c>
      <c r="D27" s="4" t="s">
        <v>15</v>
      </c>
      <c r="F27" s="5" t="s">
        <v>12</v>
      </c>
      <c r="G27" s="4" t="s">
        <v>13</v>
      </c>
      <c r="H27" s="4" t="s">
        <v>14</v>
      </c>
      <c r="I27" s="4" t="s">
        <v>15</v>
      </c>
      <c r="K27" s="5" t="s">
        <v>12</v>
      </c>
      <c r="L27" s="4" t="s">
        <v>13</v>
      </c>
      <c r="M27" s="4" t="s">
        <v>14</v>
      </c>
      <c r="N27" s="4" t="s">
        <v>15</v>
      </c>
      <c r="P27" s="5" t="s">
        <v>12</v>
      </c>
      <c r="Q27" s="4" t="s">
        <v>13</v>
      </c>
      <c r="R27" s="4" t="s">
        <v>14</v>
      </c>
      <c r="S27" s="4" t="s">
        <v>15</v>
      </c>
      <c r="U27" s="5" t="s">
        <v>12</v>
      </c>
      <c r="V27" s="4" t="s">
        <v>13</v>
      </c>
      <c r="W27" s="4" t="s">
        <v>14</v>
      </c>
      <c r="X27" s="4" t="s">
        <v>15</v>
      </c>
      <c r="Y27" s="5" t="s">
        <v>12</v>
      </c>
      <c r="Z27" s="4" t="s">
        <v>13</v>
      </c>
      <c r="AA27" s="4" t="s">
        <v>14</v>
      </c>
      <c r="AB27" s="4" t="s">
        <v>15</v>
      </c>
      <c r="AC27" s="5" t="s">
        <v>12</v>
      </c>
      <c r="AD27" s="4" t="s">
        <v>13</v>
      </c>
      <c r="AE27" s="4" t="s">
        <v>14</v>
      </c>
      <c r="AF27" s="4" t="s">
        <v>15</v>
      </c>
      <c r="AG27" s="5" t="s">
        <v>12</v>
      </c>
      <c r="AH27" s="4" t="s">
        <v>13</v>
      </c>
      <c r="AI27" s="4" t="s">
        <v>14</v>
      </c>
      <c r="AJ27" s="4" t="s">
        <v>15</v>
      </c>
      <c r="AK27" s="5" t="s">
        <v>12</v>
      </c>
      <c r="AL27" s="4" t="s">
        <v>13</v>
      </c>
      <c r="AM27" s="4" t="s">
        <v>14</v>
      </c>
      <c r="AN27" s="4" t="s">
        <v>15</v>
      </c>
      <c r="AO27" s="5" t="s">
        <v>12</v>
      </c>
      <c r="AP27" s="4" t="s">
        <v>13</v>
      </c>
      <c r="AQ27" s="4" t="s">
        <v>14</v>
      </c>
      <c r="AR27" s="4" t="s">
        <v>15</v>
      </c>
    </row>
    <row r="28" ht="14.25" customHeight="1">
      <c r="A28" s="4">
        <v>200.0</v>
      </c>
      <c r="B28" s="4">
        <v>0.0</v>
      </c>
      <c r="D28" s="4">
        <f t="shared" ref="D28:D39" si="11">A28*(B28+C28)</f>
        <v>0</v>
      </c>
      <c r="F28" s="5">
        <v>200.0</v>
      </c>
      <c r="G28" s="4">
        <v>0.0</v>
      </c>
      <c r="I28" s="4">
        <f>G28*F28</f>
        <v>0</v>
      </c>
      <c r="K28" s="5"/>
      <c r="L28" s="4">
        <v>0.0</v>
      </c>
      <c r="P28" s="5"/>
      <c r="Q28" s="4">
        <v>0.0</v>
      </c>
      <c r="U28" s="5">
        <v>200.0</v>
      </c>
      <c r="V28" s="4">
        <v>0.0</v>
      </c>
      <c r="X28" s="4">
        <f>U28*V28</f>
        <v>0</v>
      </c>
      <c r="Y28" s="5">
        <v>200.0</v>
      </c>
      <c r="Z28" s="4">
        <v>0.0</v>
      </c>
      <c r="AB28" s="4">
        <f>Y28*Z28</f>
        <v>0</v>
      </c>
      <c r="AC28" s="5">
        <v>200.0</v>
      </c>
      <c r="AD28" s="4">
        <v>0.0</v>
      </c>
      <c r="AF28" s="4">
        <f t="shared" ref="AF28:AF39" si="12">AC28*(AD28+AE28)</f>
        <v>0</v>
      </c>
      <c r="AG28" s="5">
        <v>200.0</v>
      </c>
      <c r="AH28" s="4">
        <v>0.0</v>
      </c>
      <c r="AJ28" s="4">
        <f t="shared" ref="AJ28:AJ39" si="13">AG28*(AH28+AI28)</f>
        <v>0</v>
      </c>
      <c r="AK28" s="5">
        <v>200.0</v>
      </c>
      <c r="AL28" s="14">
        <v>1.0</v>
      </c>
      <c r="AN28" s="4">
        <f t="shared" ref="AN28:AN39" si="14">AK28*(AL28+AM28)</f>
        <v>200</v>
      </c>
      <c r="AO28" s="5">
        <v>200.0</v>
      </c>
      <c r="AP28" s="4"/>
      <c r="AR28" s="4">
        <f t="shared" ref="AR28:AR39" si="15">AO28*(AP28+AQ28)</f>
        <v>0</v>
      </c>
    </row>
    <row r="29" ht="14.25" customHeight="1">
      <c r="A29" s="4">
        <v>100.0</v>
      </c>
      <c r="B29" s="14">
        <v>3.0</v>
      </c>
      <c r="D29" s="4">
        <f t="shared" si="11"/>
        <v>300</v>
      </c>
      <c r="F29" s="5">
        <v>100.0</v>
      </c>
      <c r="G29" s="14">
        <v>2.0</v>
      </c>
      <c r="I29" s="4">
        <f t="shared" ref="I29:I39" si="16">F29*(G29+H29)</f>
        <v>200</v>
      </c>
      <c r="K29" s="5">
        <v>100.0</v>
      </c>
      <c r="L29" s="14">
        <v>2.0</v>
      </c>
      <c r="N29" s="4">
        <f>K29*(L29+M29)</f>
        <v>200</v>
      </c>
      <c r="P29" s="5">
        <v>100.0</v>
      </c>
      <c r="Q29" s="14">
        <v>1.0</v>
      </c>
      <c r="S29" s="4">
        <f t="shared" ref="S29:S39" si="17">P29*(Q29+R29)</f>
        <v>100</v>
      </c>
      <c r="U29" s="5">
        <v>100.0</v>
      </c>
      <c r="V29" s="14">
        <v>1.0</v>
      </c>
      <c r="X29" s="4">
        <f t="shared" ref="X29:X39" si="18">U29*(V29+W29)</f>
        <v>100</v>
      </c>
      <c r="Y29" s="5">
        <v>100.0</v>
      </c>
      <c r="Z29" s="14">
        <v>2.0</v>
      </c>
      <c r="AB29" s="4">
        <f t="shared" ref="AB29:AB39" si="19">Y29*(Z29+AA29)</f>
        <v>200</v>
      </c>
      <c r="AC29" s="5">
        <v>100.0</v>
      </c>
      <c r="AD29" s="14">
        <v>6.0</v>
      </c>
      <c r="AE29" s="4"/>
      <c r="AF29" s="4">
        <f t="shared" si="12"/>
        <v>600</v>
      </c>
      <c r="AG29" s="5">
        <v>100.0</v>
      </c>
      <c r="AH29" s="14">
        <v>2.0</v>
      </c>
      <c r="AJ29" s="4">
        <f t="shared" si="13"/>
        <v>200</v>
      </c>
      <c r="AK29" s="5">
        <v>100.0</v>
      </c>
      <c r="AL29" s="14">
        <v>1.0</v>
      </c>
      <c r="AN29" s="4">
        <f t="shared" si="14"/>
        <v>100</v>
      </c>
      <c r="AO29" s="5">
        <v>100.0</v>
      </c>
      <c r="AP29" s="4"/>
      <c r="AR29" s="4">
        <f t="shared" si="15"/>
        <v>0</v>
      </c>
    </row>
    <row r="30" ht="14.25" customHeight="1">
      <c r="A30" s="4">
        <v>50.0</v>
      </c>
      <c r="B30" s="14">
        <v>10.0</v>
      </c>
      <c r="D30" s="4">
        <f t="shared" si="11"/>
        <v>500</v>
      </c>
      <c r="F30" s="5">
        <v>50.0</v>
      </c>
      <c r="G30" s="14">
        <v>3.0</v>
      </c>
      <c r="I30" s="4">
        <f t="shared" si="16"/>
        <v>150</v>
      </c>
      <c r="K30" s="5">
        <v>50.0</v>
      </c>
      <c r="L30" s="14">
        <v>4.0</v>
      </c>
      <c r="N30" s="4">
        <f>K30*(L30)</f>
        <v>200</v>
      </c>
      <c r="P30" s="5">
        <v>50.0</v>
      </c>
      <c r="Q30" s="14">
        <v>3.0</v>
      </c>
      <c r="S30" s="4">
        <f t="shared" si="17"/>
        <v>150</v>
      </c>
      <c r="U30" s="5">
        <v>50.0</v>
      </c>
      <c r="V30" s="14">
        <v>5.0</v>
      </c>
      <c r="X30" s="4">
        <f t="shared" si="18"/>
        <v>250</v>
      </c>
      <c r="Y30" s="5">
        <v>50.0</v>
      </c>
      <c r="Z30" s="14">
        <v>4.0</v>
      </c>
      <c r="AB30" s="4">
        <f t="shared" si="19"/>
        <v>200</v>
      </c>
      <c r="AC30" s="5">
        <v>50.0</v>
      </c>
      <c r="AD30" s="14">
        <v>8.0</v>
      </c>
      <c r="AF30" s="4">
        <f t="shared" si="12"/>
        <v>400</v>
      </c>
      <c r="AG30" s="5">
        <v>50.0</v>
      </c>
      <c r="AH30" s="14">
        <v>9.0</v>
      </c>
      <c r="AJ30" s="4">
        <f t="shared" si="13"/>
        <v>450</v>
      </c>
      <c r="AK30" s="5">
        <v>50.0</v>
      </c>
      <c r="AL30" s="14">
        <v>4.0</v>
      </c>
      <c r="AN30" s="4">
        <f t="shared" si="14"/>
        <v>200</v>
      </c>
      <c r="AO30" s="5">
        <v>50.0</v>
      </c>
      <c r="AP30" s="4"/>
      <c r="AR30" s="4">
        <f t="shared" si="15"/>
        <v>0</v>
      </c>
    </row>
    <row r="31" ht="14.25" customHeight="1">
      <c r="A31" s="4">
        <v>20.0</v>
      </c>
      <c r="B31" s="14">
        <v>19.0</v>
      </c>
      <c r="D31" s="4">
        <f t="shared" si="11"/>
        <v>380</v>
      </c>
      <c r="F31" s="5">
        <v>20.0</v>
      </c>
      <c r="G31" s="14">
        <v>17.0</v>
      </c>
      <c r="I31" s="4">
        <f t="shared" si="16"/>
        <v>340</v>
      </c>
      <c r="K31" s="5">
        <v>20.0</v>
      </c>
      <c r="L31" s="14">
        <v>13.0</v>
      </c>
      <c r="N31" s="4">
        <f t="shared" ref="N31:N39" si="20">K31*(L31+M31)</f>
        <v>260</v>
      </c>
      <c r="P31" s="5">
        <v>20.0</v>
      </c>
      <c r="Q31" s="14">
        <v>15.0</v>
      </c>
      <c r="S31" s="4">
        <f t="shared" si="17"/>
        <v>300</v>
      </c>
      <c r="U31" s="5">
        <v>20.0</v>
      </c>
      <c r="V31" s="14">
        <v>12.0</v>
      </c>
      <c r="X31" s="4">
        <f t="shared" si="18"/>
        <v>240</v>
      </c>
      <c r="Y31" s="5">
        <v>20.0</v>
      </c>
      <c r="Z31" s="14">
        <v>9.0</v>
      </c>
      <c r="AB31" s="4">
        <f t="shared" si="19"/>
        <v>180</v>
      </c>
      <c r="AC31" s="5">
        <v>20.0</v>
      </c>
      <c r="AD31" s="14">
        <v>21.0</v>
      </c>
      <c r="AF31" s="4">
        <f t="shared" si="12"/>
        <v>420</v>
      </c>
      <c r="AG31" s="5">
        <v>20.0</v>
      </c>
      <c r="AH31" s="14">
        <v>18.0</v>
      </c>
      <c r="AJ31" s="4">
        <f t="shared" si="13"/>
        <v>360</v>
      </c>
      <c r="AK31" s="5">
        <v>20.0</v>
      </c>
      <c r="AL31" s="14">
        <v>15.0</v>
      </c>
      <c r="AN31" s="4">
        <f t="shared" si="14"/>
        <v>300</v>
      </c>
      <c r="AO31" s="5">
        <v>20.0</v>
      </c>
      <c r="AP31" s="4"/>
      <c r="AR31" s="4">
        <f t="shared" si="15"/>
        <v>0</v>
      </c>
    </row>
    <row r="32" ht="14.25" customHeight="1">
      <c r="A32" s="4">
        <v>10.0</v>
      </c>
      <c r="B32" s="14">
        <v>17.0</v>
      </c>
      <c r="D32" s="4">
        <f t="shared" si="11"/>
        <v>170</v>
      </c>
      <c r="F32" s="5">
        <v>10.0</v>
      </c>
      <c r="G32" s="14">
        <v>7.0</v>
      </c>
      <c r="I32" s="4">
        <f t="shared" si="16"/>
        <v>70</v>
      </c>
      <c r="K32" s="5">
        <v>10.0</v>
      </c>
      <c r="L32" s="14">
        <v>5.0</v>
      </c>
      <c r="N32" s="4">
        <f t="shared" si="20"/>
        <v>50</v>
      </c>
      <c r="P32" s="5">
        <v>10.0</v>
      </c>
      <c r="Q32" s="14">
        <v>9.0</v>
      </c>
      <c r="S32" s="4">
        <f t="shared" si="17"/>
        <v>90</v>
      </c>
      <c r="U32" s="5">
        <v>10.0</v>
      </c>
      <c r="V32" s="14">
        <v>5.0</v>
      </c>
      <c r="X32" s="4">
        <f t="shared" si="18"/>
        <v>50</v>
      </c>
      <c r="Y32" s="5">
        <v>10.0</v>
      </c>
      <c r="Z32" s="14">
        <v>7.0</v>
      </c>
      <c r="AB32" s="4">
        <f t="shared" si="19"/>
        <v>70</v>
      </c>
      <c r="AC32" s="5">
        <v>10.0</v>
      </c>
      <c r="AD32" s="14">
        <v>7.0</v>
      </c>
      <c r="AF32" s="4">
        <f t="shared" si="12"/>
        <v>70</v>
      </c>
      <c r="AG32" s="5">
        <v>10.0</v>
      </c>
      <c r="AH32" s="14">
        <v>4.0</v>
      </c>
      <c r="AJ32" s="4">
        <f t="shared" si="13"/>
        <v>40</v>
      </c>
      <c r="AK32" s="5">
        <v>10.0</v>
      </c>
      <c r="AL32" s="14">
        <v>0.0</v>
      </c>
      <c r="AN32" s="4">
        <f t="shared" si="14"/>
        <v>0</v>
      </c>
      <c r="AO32" s="5">
        <v>10.0</v>
      </c>
      <c r="AP32" s="4"/>
      <c r="AR32" s="4">
        <f t="shared" si="15"/>
        <v>0</v>
      </c>
    </row>
    <row r="33" ht="14.25" customHeight="1">
      <c r="A33" s="4">
        <v>5.0</v>
      </c>
      <c r="B33" s="14">
        <v>13.0</v>
      </c>
      <c r="D33" s="4">
        <f t="shared" si="11"/>
        <v>65</v>
      </c>
      <c r="F33" s="5">
        <v>5.0</v>
      </c>
      <c r="G33" s="14">
        <v>9.0</v>
      </c>
      <c r="I33" s="4">
        <f t="shared" si="16"/>
        <v>45</v>
      </c>
      <c r="K33" s="5">
        <v>5.0</v>
      </c>
      <c r="L33" s="14">
        <v>6.0</v>
      </c>
      <c r="N33" s="4">
        <f t="shared" si="20"/>
        <v>30</v>
      </c>
      <c r="P33" s="5">
        <v>5.0</v>
      </c>
      <c r="Q33" s="14">
        <v>11.0</v>
      </c>
      <c r="S33" s="4">
        <f t="shared" si="17"/>
        <v>55</v>
      </c>
      <c r="U33" s="5">
        <v>5.0</v>
      </c>
      <c r="V33" s="14">
        <v>6.0</v>
      </c>
      <c r="X33" s="4">
        <f t="shared" si="18"/>
        <v>30</v>
      </c>
      <c r="Y33" s="5">
        <v>5.0</v>
      </c>
      <c r="Z33" s="14">
        <v>9.0</v>
      </c>
      <c r="AB33" s="4">
        <f t="shared" si="19"/>
        <v>45</v>
      </c>
      <c r="AC33" s="5">
        <v>5.0</v>
      </c>
      <c r="AD33" s="14">
        <v>0.0</v>
      </c>
      <c r="AF33" s="4">
        <f t="shared" si="12"/>
        <v>0</v>
      </c>
      <c r="AG33" s="5">
        <v>5.0</v>
      </c>
      <c r="AH33" s="14">
        <v>0.0</v>
      </c>
      <c r="AJ33" s="4">
        <f t="shared" si="13"/>
        <v>0</v>
      </c>
      <c r="AK33" s="5">
        <v>5.0</v>
      </c>
      <c r="AL33" s="14">
        <v>0.0</v>
      </c>
      <c r="AN33" s="4">
        <f t="shared" si="14"/>
        <v>0</v>
      </c>
      <c r="AO33" s="5">
        <v>5.0</v>
      </c>
      <c r="AP33" s="4"/>
      <c r="AR33" s="4">
        <f t="shared" si="15"/>
        <v>0</v>
      </c>
    </row>
    <row r="34" ht="14.25" customHeight="1">
      <c r="A34" s="4">
        <v>2.0</v>
      </c>
      <c r="B34" s="14">
        <v>190.0</v>
      </c>
      <c r="D34" s="4">
        <f t="shared" si="11"/>
        <v>380</v>
      </c>
      <c r="F34" s="5">
        <v>2.0</v>
      </c>
      <c r="G34" s="14">
        <v>162.0</v>
      </c>
      <c r="I34" s="4">
        <f t="shared" si="16"/>
        <v>324</v>
      </c>
      <c r="K34" s="5">
        <v>2.0</v>
      </c>
      <c r="L34" s="14">
        <v>144.0</v>
      </c>
      <c r="N34" s="4">
        <f t="shared" si="20"/>
        <v>288</v>
      </c>
      <c r="P34" s="5">
        <v>2.0</v>
      </c>
      <c r="Q34" s="14">
        <v>123.0</v>
      </c>
      <c r="S34" s="4">
        <f t="shared" si="17"/>
        <v>246</v>
      </c>
      <c r="U34" s="5">
        <v>2.0</v>
      </c>
      <c r="V34" s="14">
        <v>104.0</v>
      </c>
      <c r="X34" s="4">
        <f t="shared" si="18"/>
        <v>208</v>
      </c>
      <c r="Y34" s="5">
        <v>2.0</v>
      </c>
      <c r="Z34" s="14">
        <v>64.0</v>
      </c>
      <c r="AB34" s="4">
        <f t="shared" si="19"/>
        <v>128</v>
      </c>
      <c r="AC34" s="5">
        <v>2.0</v>
      </c>
      <c r="AD34" s="14">
        <v>60.0</v>
      </c>
      <c r="AF34" s="4">
        <f t="shared" si="12"/>
        <v>120</v>
      </c>
      <c r="AG34" s="5">
        <v>2.0</v>
      </c>
      <c r="AH34" s="14">
        <v>131.0</v>
      </c>
      <c r="AJ34" s="4">
        <f t="shared" si="13"/>
        <v>262</v>
      </c>
      <c r="AK34" s="5">
        <v>2.0</v>
      </c>
      <c r="AL34" s="14">
        <v>100.0</v>
      </c>
      <c r="AN34" s="4">
        <f t="shared" si="14"/>
        <v>200</v>
      </c>
      <c r="AO34" s="5">
        <v>2.0</v>
      </c>
      <c r="AP34" s="4"/>
      <c r="AR34" s="4">
        <f t="shared" si="15"/>
        <v>0</v>
      </c>
    </row>
    <row r="35" ht="14.25" customHeight="1">
      <c r="A35" s="4">
        <v>1.0</v>
      </c>
      <c r="B35" s="14">
        <v>129.0</v>
      </c>
      <c r="D35" s="4">
        <f t="shared" si="11"/>
        <v>129</v>
      </c>
      <c r="F35" s="5">
        <v>1.0</v>
      </c>
      <c r="G35" s="14">
        <v>84.0</v>
      </c>
      <c r="I35" s="4">
        <f t="shared" si="16"/>
        <v>84</v>
      </c>
      <c r="K35" s="5">
        <v>1.0</v>
      </c>
      <c r="L35" s="14">
        <v>65.0</v>
      </c>
      <c r="N35" s="4">
        <f t="shared" si="20"/>
        <v>65</v>
      </c>
      <c r="P35" s="5">
        <v>1.0</v>
      </c>
      <c r="Q35" s="14">
        <v>65.0</v>
      </c>
      <c r="S35" s="4">
        <f t="shared" si="17"/>
        <v>65</v>
      </c>
      <c r="U35" s="5">
        <v>1.0</v>
      </c>
      <c r="V35" s="14">
        <v>39.0</v>
      </c>
      <c r="X35" s="4">
        <f t="shared" si="18"/>
        <v>39</v>
      </c>
      <c r="Y35" s="5">
        <v>1.0</v>
      </c>
      <c r="Z35" s="14">
        <v>33.0</v>
      </c>
      <c r="AB35" s="4">
        <f t="shared" si="19"/>
        <v>33</v>
      </c>
      <c r="AC35" s="5">
        <v>1.0</v>
      </c>
      <c r="AD35" s="14">
        <v>23.0</v>
      </c>
      <c r="AF35" s="4">
        <f t="shared" si="12"/>
        <v>23</v>
      </c>
      <c r="AG35" s="5">
        <v>1.0</v>
      </c>
      <c r="AH35" s="14">
        <v>16.0</v>
      </c>
      <c r="AJ35" s="4">
        <f t="shared" si="13"/>
        <v>16</v>
      </c>
      <c r="AK35" s="5">
        <v>1.0</v>
      </c>
      <c r="AL35" s="14">
        <v>9.0</v>
      </c>
      <c r="AN35" s="4">
        <f t="shared" si="14"/>
        <v>9</v>
      </c>
      <c r="AO35" s="5">
        <v>1.0</v>
      </c>
      <c r="AP35" s="4"/>
      <c r="AR35" s="4">
        <f t="shared" si="15"/>
        <v>0</v>
      </c>
    </row>
    <row r="36" ht="14.25" customHeight="1">
      <c r="A36" s="4">
        <v>0.5</v>
      </c>
      <c r="B36" s="14">
        <v>53.0</v>
      </c>
      <c r="D36" s="4">
        <f t="shared" si="11"/>
        <v>26.5</v>
      </c>
      <c r="F36" s="5">
        <v>0.5</v>
      </c>
      <c r="G36" s="14">
        <v>51.0</v>
      </c>
      <c r="I36" s="4">
        <f t="shared" si="16"/>
        <v>25.5</v>
      </c>
      <c r="K36" s="5">
        <v>0.5</v>
      </c>
      <c r="L36" s="14">
        <v>51.0</v>
      </c>
      <c r="N36" s="4">
        <f t="shared" si="20"/>
        <v>25.5</v>
      </c>
      <c r="P36" s="5">
        <v>0.5</v>
      </c>
      <c r="Q36" s="14">
        <v>49.0</v>
      </c>
      <c r="S36" s="4">
        <f t="shared" si="17"/>
        <v>24.5</v>
      </c>
      <c r="U36" s="5">
        <v>0.5</v>
      </c>
      <c r="V36" s="14">
        <v>45.0</v>
      </c>
      <c r="X36" s="4">
        <f t="shared" si="18"/>
        <v>22.5</v>
      </c>
      <c r="Y36" s="5">
        <v>0.5</v>
      </c>
      <c r="Z36" s="14">
        <v>47.0</v>
      </c>
      <c r="AB36" s="4">
        <f t="shared" si="19"/>
        <v>23.5</v>
      </c>
      <c r="AC36" s="5">
        <v>0.5</v>
      </c>
      <c r="AD36" s="14">
        <v>48.0</v>
      </c>
      <c r="AF36" s="4">
        <f t="shared" si="12"/>
        <v>24</v>
      </c>
      <c r="AG36" s="5">
        <v>0.5</v>
      </c>
      <c r="AH36" s="14">
        <v>49.0</v>
      </c>
      <c r="AJ36" s="4">
        <f t="shared" si="13"/>
        <v>24.5</v>
      </c>
      <c r="AK36" s="5">
        <v>0.5</v>
      </c>
      <c r="AL36" s="14">
        <v>49.0</v>
      </c>
      <c r="AN36" s="4">
        <f t="shared" si="14"/>
        <v>24.5</v>
      </c>
      <c r="AO36" s="5">
        <v>0.5</v>
      </c>
      <c r="AP36" s="4"/>
      <c r="AR36" s="4">
        <f t="shared" si="15"/>
        <v>0</v>
      </c>
    </row>
    <row r="37" ht="14.25" customHeight="1">
      <c r="A37" s="4">
        <v>0.2</v>
      </c>
      <c r="B37" s="14">
        <v>12.0</v>
      </c>
      <c r="D37" s="4">
        <f t="shared" si="11"/>
        <v>2.4</v>
      </c>
      <c r="F37" s="5">
        <v>0.2</v>
      </c>
      <c r="G37" s="14">
        <v>12.0</v>
      </c>
      <c r="I37" s="4">
        <f t="shared" si="16"/>
        <v>2.4</v>
      </c>
      <c r="K37" s="5">
        <v>0.2</v>
      </c>
      <c r="L37" s="14">
        <v>12.0</v>
      </c>
      <c r="N37" s="4">
        <f t="shared" si="20"/>
        <v>2.4</v>
      </c>
      <c r="P37" s="5">
        <v>0.2</v>
      </c>
      <c r="Q37" s="14">
        <v>10.0</v>
      </c>
      <c r="S37" s="4">
        <f t="shared" si="17"/>
        <v>2</v>
      </c>
      <c r="U37" s="5">
        <v>0.2</v>
      </c>
      <c r="V37" s="14">
        <v>11.0</v>
      </c>
      <c r="X37" s="4">
        <f t="shared" si="18"/>
        <v>2.2</v>
      </c>
      <c r="Y37" s="5">
        <v>0.2</v>
      </c>
      <c r="Z37" s="14">
        <v>11.0</v>
      </c>
      <c r="AB37" s="4">
        <f t="shared" si="19"/>
        <v>2.2</v>
      </c>
      <c r="AC37" s="5">
        <v>0.2</v>
      </c>
      <c r="AD37" s="14">
        <v>11.0</v>
      </c>
      <c r="AF37" s="4">
        <f t="shared" si="12"/>
        <v>2.2</v>
      </c>
      <c r="AG37" s="5">
        <v>0.2</v>
      </c>
      <c r="AH37" s="14">
        <v>15.0</v>
      </c>
      <c r="AJ37" s="4">
        <f t="shared" si="13"/>
        <v>3</v>
      </c>
      <c r="AK37" s="5">
        <v>0.2</v>
      </c>
      <c r="AL37" s="14">
        <v>15.0</v>
      </c>
      <c r="AN37" s="4">
        <f t="shared" si="14"/>
        <v>3</v>
      </c>
      <c r="AO37" s="5">
        <v>0.2</v>
      </c>
      <c r="AP37" s="4"/>
      <c r="AR37" s="4">
        <f t="shared" si="15"/>
        <v>0</v>
      </c>
    </row>
    <row r="38" ht="14.25" customHeight="1">
      <c r="A38" s="4">
        <v>0.1</v>
      </c>
      <c r="B38" s="14">
        <v>11.0</v>
      </c>
      <c r="D38" s="4">
        <f t="shared" si="11"/>
        <v>1.1</v>
      </c>
      <c r="F38" s="5">
        <v>0.1</v>
      </c>
      <c r="G38" s="14">
        <v>11.0</v>
      </c>
      <c r="I38" s="4">
        <f t="shared" si="16"/>
        <v>1.1</v>
      </c>
      <c r="K38" s="5">
        <v>0.1</v>
      </c>
      <c r="L38" s="14">
        <v>11.0</v>
      </c>
      <c r="N38" s="4">
        <f t="shared" si="20"/>
        <v>1.1</v>
      </c>
      <c r="P38" s="5">
        <v>0.1</v>
      </c>
      <c r="Q38" s="14">
        <v>11.0</v>
      </c>
      <c r="S38" s="4">
        <f t="shared" si="17"/>
        <v>1.1</v>
      </c>
      <c r="U38" s="5">
        <v>0.1</v>
      </c>
      <c r="V38" s="14">
        <v>11.0</v>
      </c>
      <c r="X38" s="4">
        <f t="shared" si="18"/>
        <v>1.1</v>
      </c>
      <c r="Y38" s="5">
        <v>0.1</v>
      </c>
      <c r="Z38" s="14">
        <v>11.0</v>
      </c>
      <c r="AB38" s="4">
        <f t="shared" si="19"/>
        <v>1.1</v>
      </c>
      <c r="AC38" s="5">
        <v>0.1</v>
      </c>
      <c r="AD38" s="14">
        <v>11.0</v>
      </c>
      <c r="AF38" s="4">
        <f t="shared" si="12"/>
        <v>1.1</v>
      </c>
      <c r="AG38" s="5">
        <v>0.1</v>
      </c>
      <c r="AH38" s="14">
        <v>12.0</v>
      </c>
      <c r="AJ38" s="4">
        <f t="shared" si="13"/>
        <v>1.2</v>
      </c>
      <c r="AK38" s="5">
        <v>0.1</v>
      </c>
      <c r="AL38" s="14">
        <v>13.0</v>
      </c>
      <c r="AN38" s="4">
        <f t="shared" si="14"/>
        <v>1.3</v>
      </c>
      <c r="AO38" s="5">
        <v>0.1</v>
      </c>
      <c r="AP38" s="4"/>
      <c r="AR38" s="4">
        <f t="shared" si="15"/>
        <v>0</v>
      </c>
    </row>
    <row r="39" ht="14.25" customHeight="1">
      <c r="A39" s="4">
        <v>0.05</v>
      </c>
      <c r="B39" s="14">
        <v>0.0</v>
      </c>
      <c r="D39" s="4">
        <f t="shared" si="11"/>
        <v>0</v>
      </c>
      <c r="F39" s="5">
        <v>0.05</v>
      </c>
      <c r="G39" s="14">
        <v>0.0</v>
      </c>
      <c r="I39" s="4">
        <f t="shared" si="16"/>
        <v>0</v>
      </c>
      <c r="K39" s="5">
        <v>0.05</v>
      </c>
      <c r="L39" s="14">
        <v>0.0</v>
      </c>
      <c r="N39" s="4">
        <f t="shared" si="20"/>
        <v>0</v>
      </c>
      <c r="P39" s="5">
        <v>0.05</v>
      </c>
      <c r="Q39" s="14">
        <v>0.0</v>
      </c>
      <c r="S39" s="4">
        <f t="shared" si="17"/>
        <v>0</v>
      </c>
      <c r="U39" s="5">
        <v>0.05</v>
      </c>
      <c r="V39" s="14">
        <v>0.0</v>
      </c>
      <c r="X39" s="4">
        <f t="shared" si="18"/>
        <v>0</v>
      </c>
      <c r="Y39" s="5">
        <v>0.05</v>
      </c>
      <c r="Z39" s="14">
        <v>0.0</v>
      </c>
      <c r="AB39" s="4">
        <f t="shared" si="19"/>
        <v>0</v>
      </c>
      <c r="AC39" s="5">
        <v>0.05</v>
      </c>
      <c r="AD39" s="14">
        <v>1.0</v>
      </c>
      <c r="AF39" s="4">
        <f t="shared" si="12"/>
        <v>0.05</v>
      </c>
      <c r="AG39" s="5">
        <v>0.05</v>
      </c>
      <c r="AH39" s="14">
        <v>1.0</v>
      </c>
      <c r="AJ39" s="4">
        <f t="shared" si="13"/>
        <v>0.05</v>
      </c>
      <c r="AK39" s="5">
        <v>0.05</v>
      </c>
      <c r="AL39" s="14">
        <v>0.0</v>
      </c>
      <c r="AN39" s="4">
        <f t="shared" si="14"/>
        <v>0</v>
      </c>
      <c r="AO39" s="5">
        <v>0.05</v>
      </c>
      <c r="AR39" s="4">
        <f t="shared" si="15"/>
        <v>0</v>
      </c>
    </row>
    <row r="40" ht="14.25" customHeight="1">
      <c r="F40" s="5"/>
      <c r="G40" s="14">
        <v>0.0</v>
      </c>
      <c r="I40" s="14">
        <v>0.0</v>
      </c>
      <c r="K40" s="5"/>
      <c r="P40" s="5"/>
      <c r="U40" s="5"/>
      <c r="Y40" s="5"/>
      <c r="AC40" s="5"/>
      <c r="AG40" s="5"/>
      <c r="AK40" s="5"/>
      <c r="AO40" s="5"/>
    </row>
    <row r="41" ht="14.25" customHeight="1">
      <c r="A41" s="17" t="s">
        <v>19</v>
      </c>
      <c r="B41" s="17"/>
      <c r="C41" s="17"/>
      <c r="D41" s="17">
        <f>SUM(D28:D39)</f>
        <v>1954</v>
      </c>
      <c r="E41" s="21"/>
      <c r="F41" s="18" t="s">
        <v>19</v>
      </c>
      <c r="G41" s="17"/>
      <c r="H41" s="17"/>
      <c r="I41" s="17">
        <f>SUM(I28:I40)</f>
        <v>1242</v>
      </c>
      <c r="J41" s="21"/>
      <c r="K41" s="18" t="s">
        <v>19</v>
      </c>
      <c r="L41" s="17"/>
      <c r="M41" s="17"/>
      <c r="N41" s="17">
        <f>SUM(N29:N39)</f>
        <v>1122</v>
      </c>
      <c r="O41" s="21"/>
      <c r="P41" s="18" t="s">
        <v>19</v>
      </c>
      <c r="Q41" s="17"/>
      <c r="R41" s="17"/>
      <c r="S41" s="17">
        <f>SUM(S29:S39)</f>
        <v>1033.6</v>
      </c>
      <c r="T41" s="21"/>
      <c r="U41" s="18" t="s">
        <v>19</v>
      </c>
      <c r="V41" s="17"/>
      <c r="W41" s="17"/>
      <c r="X41" s="17">
        <f>SUM(X28:X39)</f>
        <v>942.8</v>
      </c>
      <c r="Y41" s="18" t="s">
        <v>19</v>
      </c>
      <c r="Z41" s="17"/>
      <c r="AA41" s="17"/>
      <c r="AB41" s="17">
        <f>SUM(AB28:AB39)</f>
        <v>882.8</v>
      </c>
      <c r="AC41" s="18" t="s">
        <v>19</v>
      </c>
      <c r="AD41" s="17"/>
      <c r="AE41" s="17"/>
      <c r="AF41" s="17">
        <f>SUM(AF28:AF39)</f>
        <v>1660.35</v>
      </c>
      <c r="AG41" s="18" t="s">
        <v>19</v>
      </c>
      <c r="AH41" s="17"/>
      <c r="AI41" s="17"/>
      <c r="AJ41" s="17">
        <f>SUM(AJ28:AJ39)</f>
        <v>1356.75</v>
      </c>
      <c r="AK41" s="18" t="s">
        <v>19</v>
      </c>
      <c r="AL41" s="17"/>
      <c r="AM41" s="17"/>
      <c r="AN41" s="17">
        <f>SUM(AN28:AN39)</f>
        <v>1037.8</v>
      </c>
      <c r="AO41" s="18" t="s">
        <v>19</v>
      </c>
      <c r="AP41" s="17"/>
      <c r="AQ41" s="17"/>
      <c r="AR41" s="17">
        <f>SUM(AR28:AR39)</f>
        <v>0</v>
      </c>
    </row>
    <row r="42" ht="14.25" customHeight="1"/>
    <row r="43" ht="14.25" customHeight="1">
      <c r="A43" s="11" t="s">
        <v>20</v>
      </c>
      <c r="AC43" s="4" t="s">
        <v>21</v>
      </c>
      <c r="AG43" s="4"/>
    </row>
    <row r="44" ht="16.5" customHeight="1">
      <c r="A44" s="4" t="s">
        <v>22</v>
      </c>
      <c r="F44" s="5" t="s">
        <v>22</v>
      </c>
      <c r="K44" s="5" t="s">
        <v>22</v>
      </c>
      <c r="P44" s="5"/>
      <c r="U44" s="5"/>
      <c r="Y44" s="5"/>
      <c r="AC44" s="5"/>
      <c r="AG44" s="5"/>
      <c r="AK44" s="5"/>
      <c r="AO44" s="5" t="s">
        <v>23</v>
      </c>
    </row>
    <row r="45" ht="14.25" customHeight="1">
      <c r="F45" s="5"/>
      <c r="K45" s="5"/>
      <c r="P45" s="5"/>
      <c r="U45" s="5"/>
      <c r="Y45" s="5"/>
      <c r="AC45" s="5"/>
      <c r="AG45" s="5"/>
      <c r="AK45" s="5"/>
      <c r="AO45" s="5"/>
    </row>
    <row r="46" ht="14.25" customHeight="1">
      <c r="F46" s="5">
        <f>32-18</f>
        <v>14</v>
      </c>
      <c r="K46" s="5"/>
      <c r="P46" s="5"/>
      <c r="U46" s="5"/>
      <c r="Y46" s="5"/>
      <c r="AC46" s="5"/>
      <c r="AG46" s="5"/>
      <c r="AK46" s="5"/>
      <c r="AO46" s="5"/>
    </row>
    <row r="47" ht="14.25" customHeight="1">
      <c r="F47" s="5"/>
      <c r="H47" s="4">
        <v>350.0</v>
      </c>
      <c r="K47" s="5"/>
      <c r="P47" s="5"/>
      <c r="U47" s="5"/>
      <c r="Y47" s="5"/>
      <c r="AC47" s="5"/>
      <c r="AG47" s="5"/>
      <c r="AH47" s="4"/>
      <c r="AK47" s="5"/>
      <c r="AO47" s="5"/>
    </row>
    <row r="48" ht="14.25" customHeight="1">
      <c r="F48" s="5"/>
      <c r="H48" s="4">
        <v>300.0</v>
      </c>
      <c r="K48" s="5"/>
      <c r="P48" s="5"/>
      <c r="U48" s="5"/>
      <c r="Y48" s="5"/>
      <c r="AC48" s="5"/>
      <c r="AG48" s="5"/>
      <c r="AK48" s="5"/>
      <c r="AO48" s="5"/>
    </row>
    <row r="49" ht="14.25" customHeight="1">
      <c r="F49" s="5"/>
      <c r="H49" s="4">
        <v>360.0</v>
      </c>
      <c r="K49" s="5"/>
      <c r="P49" s="5"/>
      <c r="Q49" s="4"/>
      <c r="U49" s="5"/>
      <c r="Y49" s="5"/>
      <c r="AC49" s="5"/>
      <c r="AG49" s="5"/>
      <c r="AK49" s="5"/>
      <c r="AO49" s="5"/>
    </row>
    <row r="50" ht="14.25" customHeight="1">
      <c r="F50" s="5"/>
      <c r="H50" s="4">
        <v>50.0</v>
      </c>
      <c r="K50" s="5"/>
      <c r="P50" s="5"/>
      <c r="U50" s="5"/>
      <c r="Y50" s="5"/>
      <c r="AC50" s="5"/>
      <c r="AG50" s="5"/>
      <c r="AK50" s="5"/>
    </row>
    <row r="51" ht="14.25" customHeight="1">
      <c r="F51" s="5"/>
      <c r="H51" s="4">
        <f>SUM(H47:H50)</f>
        <v>1060</v>
      </c>
      <c r="K51" s="5"/>
      <c r="P51" s="5"/>
      <c r="U51" s="5"/>
      <c r="Y51" s="5"/>
      <c r="AC51" s="5"/>
      <c r="AG51" s="5"/>
      <c r="AK51" s="5"/>
      <c r="AO51" s="5"/>
    </row>
    <row r="52" ht="14.25" customHeight="1">
      <c r="F52" s="5"/>
      <c r="K52" s="5"/>
      <c r="P52" s="5"/>
      <c r="U52" s="5"/>
      <c r="Y52" s="5"/>
      <c r="AC52" s="5"/>
      <c r="AG52" s="5"/>
      <c r="AK52" s="5"/>
      <c r="AO52" s="5"/>
    </row>
    <row r="53" ht="14.25" customHeight="1">
      <c r="F53" s="5"/>
      <c r="K53" s="5"/>
      <c r="P53" s="5"/>
      <c r="U53" s="5"/>
      <c r="Y53" s="5"/>
      <c r="AC53" s="5"/>
      <c r="AG53" s="5"/>
      <c r="AK53" s="5"/>
      <c r="AO53" s="5"/>
    </row>
    <row r="54" ht="14.25" customHeight="1">
      <c r="F54" s="5"/>
      <c r="K54" s="5"/>
      <c r="P54" s="5"/>
      <c r="U54" s="5"/>
      <c r="Y54" s="5"/>
      <c r="AC54" s="5"/>
      <c r="AG54" s="5"/>
      <c r="AK54" s="5"/>
      <c r="AO54" s="5"/>
    </row>
    <row r="55" ht="14.25" customHeight="1">
      <c r="F55" s="5"/>
      <c r="K55" s="5"/>
      <c r="P55" s="5"/>
      <c r="U55" s="5"/>
      <c r="Y55" s="5"/>
      <c r="AC55" s="5"/>
      <c r="AG55" s="5"/>
      <c r="AK55" s="5"/>
      <c r="AO55" s="5"/>
    </row>
    <row r="56" ht="14.25" customHeight="1">
      <c r="F56" s="5"/>
      <c r="K56" s="5"/>
      <c r="P56" s="5"/>
      <c r="U56" s="5"/>
      <c r="Y56" s="5"/>
      <c r="AC56" s="5"/>
      <c r="AG56" s="5"/>
      <c r="AK56" s="5"/>
      <c r="AO56" s="5" t="s">
        <v>24</v>
      </c>
    </row>
    <row r="57" ht="14.25" customHeight="1">
      <c r="F57" s="5"/>
      <c r="K57" s="5"/>
      <c r="P57" s="5"/>
      <c r="U57" s="5"/>
      <c r="Y57" s="5"/>
      <c r="AC57" s="5"/>
      <c r="AG57" s="5"/>
      <c r="AK57" s="5"/>
      <c r="AO57" s="5"/>
    </row>
    <row r="58" ht="14.25" customHeight="1">
      <c r="A58" s="17" t="s">
        <v>25</v>
      </c>
      <c r="B58" s="17"/>
      <c r="C58" s="17"/>
      <c r="D58" s="17">
        <v>904.2</v>
      </c>
      <c r="E58" s="21"/>
      <c r="F58" s="18" t="s">
        <v>25</v>
      </c>
      <c r="G58" s="17"/>
      <c r="H58" s="17"/>
      <c r="I58" s="17">
        <f>1342.3+13.15+904.2</f>
        <v>2259.65</v>
      </c>
      <c r="J58" s="21"/>
      <c r="K58" s="18" t="s">
        <v>25</v>
      </c>
      <c r="L58" s="17"/>
      <c r="M58" s="17"/>
      <c r="N58" s="17"/>
      <c r="O58" s="21"/>
      <c r="P58" s="18"/>
      <c r="Q58" s="17"/>
      <c r="R58" s="17"/>
      <c r="S58" s="17"/>
      <c r="T58" s="21"/>
      <c r="U58" s="18"/>
      <c r="V58" s="17"/>
      <c r="W58" s="17"/>
      <c r="X58" s="17"/>
      <c r="Y58" s="18"/>
      <c r="Z58" s="17"/>
      <c r="AA58" s="17"/>
      <c r="AB58" s="17"/>
      <c r="AC58" s="18"/>
      <c r="AD58" s="17"/>
      <c r="AE58" s="17"/>
      <c r="AF58" s="17"/>
      <c r="AG58" s="18"/>
      <c r="AH58" s="17"/>
      <c r="AI58" s="17"/>
      <c r="AJ58" s="17"/>
      <c r="AK58" s="18"/>
      <c r="AL58" s="17"/>
      <c r="AM58" s="17"/>
      <c r="AN58" s="17"/>
      <c r="AO58" s="18"/>
      <c r="AP58" s="17"/>
      <c r="AQ58" s="17"/>
      <c r="AR58" s="17"/>
    </row>
    <row r="59" ht="14.25" customHeight="1">
      <c r="P59" s="4">
        <v>65.0</v>
      </c>
    </row>
    <row r="60" ht="14.25" customHeight="1"/>
    <row r="61" ht="14.25" customHeight="1"/>
    <row r="62" ht="14.25" customHeight="1"/>
    <row r="63" ht="14.25" customHeight="1">
      <c r="P63" s="4" t="s">
        <v>26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1.29"/>
    <col customWidth="1" min="3" max="3" width="11.57"/>
    <col customWidth="1" min="4" max="4" width="10.71"/>
    <col customWidth="1" min="5" max="5" width="17.71"/>
    <col customWidth="1" min="6" max="6" width="14.14"/>
    <col customWidth="1" min="7" max="7" width="15.29"/>
    <col customWidth="1" min="8" max="8" width="14.29"/>
    <col customWidth="1" min="9" max="9" width="13.71"/>
    <col customWidth="1" min="10" max="11" width="14.29"/>
    <col customWidth="1" min="12" max="12" width="13.71"/>
    <col customWidth="1" min="13" max="13" width="13.0"/>
    <col customWidth="1" min="14" max="14" width="13.43"/>
    <col customWidth="1" min="15" max="15" width="14.14"/>
    <col customWidth="1" min="16" max="16" width="10.71"/>
    <col customWidth="1" min="17" max="17" width="12.14"/>
    <col customWidth="1" min="18" max="25" width="10.71"/>
  </cols>
  <sheetData>
    <row r="1">
      <c r="A1" s="22"/>
      <c r="B1" s="23" t="s">
        <v>27</v>
      </c>
      <c r="C1" s="24"/>
      <c r="E1" s="25" t="s">
        <v>28</v>
      </c>
    </row>
    <row r="2" ht="14.25" customHeight="1">
      <c r="A2" s="26" t="s">
        <v>29</v>
      </c>
      <c r="B2" s="27"/>
      <c r="C2" s="28" t="s">
        <v>30</v>
      </c>
      <c r="E2" s="4" t="s">
        <v>31</v>
      </c>
      <c r="G2" s="29">
        <f>G3*5</f>
        <v>65</v>
      </c>
      <c r="H2" s="4" t="s">
        <v>32</v>
      </c>
    </row>
    <row r="3" ht="14.25" customHeight="1">
      <c r="A3" s="22"/>
      <c r="B3" s="30" t="s">
        <v>33</v>
      </c>
      <c r="C3" s="28">
        <f>SUM(C4:C49)</f>
        <v>4144.95</v>
      </c>
      <c r="E3" s="4" t="s">
        <v>34</v>
      </c>
      <c r="G3" s="29">
        <f>AVERAGE((14),(12))</f>
        <v>13</v>
      </c>
      <c r="H3" s="4" t="s">
        <v>35</v>
      </c>
      <c r="I3" s="4" t="s">
        <v>36</v>
      </c>
    </row>
    <row r="4" ht="14.25" customHeight="1">
      <c r="A4" s="31" t="s">
        <v>37</v>
      </c>
      <c r="B4" s="32" t="s">
        <v>38</v>
      </c>
      <c r="C4" s="33">
        <v>0.0</v>
      </c>
      <c r="I4" s="4" t="s">
        <v>39</v>
      </c>
      <c r="J4" s="4">
        <v>1.4</v>
      </c>
      <c r="K4" s="4" t="s">
        <v>40</v>
      </c>
      <c r="L4" s="4" t="s">
        <v>41</v>
      </c>
      <c r="M4" s="4">
        <v>7.0</v>
      </c>
      <c r="N4" s="4" t="s">
        <v>32</v>
      </c>
    </row>
    <row r="5" ht="14.25" customHeight="1">
      <c r="A5" s="31" t="s">
        <v>42</v>
      </c>
      <c r="B5" s="32" t="s">
        <v>43</v>
      </c>
      <c r="C5" s="33">
        <v>0.0</v>
      </c>
      <c r="E5" s="4" t="s">
        <v>44</v>
      </c>
      <c r="G5" s="29">
        <v>6.0</v>
      </c>
    </row>
    <row r="6" ht="14.25" customHeight="1">
      <c r="A6" s="31" t="s">
        <v>42</v>
      </c>
      <c r="B6" s="32" t="s">
        <v>45</v>
      </c>
      <c r="C6" s="33">
        <v>0.0</v>
      </c>
      <c r="G6" s="29"/>
      <c r="H6" s="6"/>
    </row>
    <row r="7" ht="14.25" customHeight="1">
      <c r="A7" s="22"/>
      <c r="B7" s="34"/>
      <c r="C7" s="24"/>
      <c r="G7" s="35"/>
      <c r="H7" s="6"/>
    </row>
    <row r="8" ht="14.25" customHeight="1">
      <c r="A8" s="22"/>
      <c r="B8" s="36" t="s">
        <v>46</v>
      </c>
      <c r="C8" s="37">
        <v>740.0</v>
      </c>
    </row>
    <row r="9" ht="14.25" customHeight="1">
      <c r="A9" s="22"/>
      <c r="B9" s="34" t="s">
        <v>47</v>
      </c>
      <c r="C9" s="24"/>
      <c r="F9" s="38">
        <v>45626.0</v>
      </c>
      <c r="G9" s="38">
        <v>45627.0</v>
      </c>
      <c r="H9" s="38">
        <v>45628.0</v>
      </c>
      <c r="I9" s="38">
        <v>45629.0</v>
      </c>
      <c r="J9" s="38">
        <v>45630.0</v>
      </c>
      <c r="K9" s="38">
        <v>45631.0</v>
      </c>
      <c r="L9" s="38">
        <v>45632.0</v>
      </c>
      <c r="M9" s="38">
        <v>45633.0</v>
      </c>
      <c r="N9" s="38">
        <v>45634.0</v>
      </c>
      <c r="O9" s="38" t="s">
        <v>48</v>
      </c>
    </row>
    <row r="10" ht="14.25" customHeight="1">
      <c r="A10" s="22"/>
      <c r="B10" s="34" t="s">
        <v>49</v>
      </c>
      <c r="C10" s="24"/>
      <c r="E10" s="39" t="s">
        <v>50</v>
      </c>
      <c r="F10" s="40"/>
      <c r="G10" s="40"/>
      <c r="H10" s="40">
        <f>25*0.95</f>
        <v>23.75</v>
      </c>
      <c r="I10" s="40">
        <f>21*0.95</f>
        <v>19.95</v>
      </c>
      <c r="J10" s="40">
        <f t="shared" ref="J10:K10" si="1">25*0.95</f>
        <v>23.75</v>
      </c>
      <c r="K10" s="40">
        <f t="shared" si="1"/>
        <v>23.75</v>
      </c>
      <c r="L10" s="40">
        <v>16.0</v>
      </c>
      <c r="M10" s="40">
        <f>50*0.95</f>
        <v>47.5</v>
      </c>
      <c r="N10" s="40">
        <f>20*0.95</f>
        <v>19</v>
      </c>
      <c r="O10" s="41">
        <f t="shared" ref="O10:O12" si="3">SUM(F10:N10)</f>
        <v>173.7</v>
      </c>
    </row>
    <row r="11" ht="14.25" customHeight="1">
      <c r="A11" s="22"/>
      <c r="B11" s="34" t="s">
        <v>51</v>
      </c>
      <c r="C11" s="24"/>
      <c r="E11" s="42" t="s">
        <v>52</v>
      </c>
      <c r="F11" s="40">
        <f t="shared" ref="F11:N11" si="2">F10*$M$4</f>
        <v>0</v>
      </c>
      <c r="G11" s="40">
        <f t="shared" si="2"/>
        <v>0</v>
      </c>
      <c r="H11" s="40">
        <f t="shared" si="2"/>
        <v>166.25</v>
      </c>
      <c r="I11" s="40">
        <f t="shared" si="2"/>
        <v>139.65</v>
      </c>
      <c r="J11" s="40">
        <f t="shared" si="2"/>
        <v>166.25</v>
      </c>
      <c r="K11" s="40">
        <f t="shared" si="2"/>
        <v>166.25</v>
      </c>
      <c r="L11" s="40">
        <f t="shared" si="2"/>
        <v>112</v>
      </c>
      <c r="M11" s="40">
        <f t="shared" si="2"/>
        <v>332.5</v>
      </c>
      <c r="N11" s="40">
        <f t="shared" si="2"/>
        <v>133</v>
      </c>
      <c r="O11" s="41">
        <f t="shared" si="3"/>
        <v>1215.9</v>
      </c>
    </row>
    <row r="12" ht="14.25" customHeight="1">
      <c r="A12" s="22"/>
      <c r="B12" s="34"/>
      <c r="C12" s="24"/>
      <c r="E12" s="43" t="s">
        <v>53</v>
      </c>
      <c r="F12" s="44">
        <f t="shared" ref="F12:N12" si="4">F$11*$G$5</f>
        <v>0</v>
      </c>
      <c r="G12" s="44">
        <f t="shared" si="4"/>
        <v>0</v>
      </c>
      <c r="H12" s="44">
        <f t="shared" si="4"/>
        <v>997.5</v>
      </c>
      <c r="I12" s="44">
        <f t="shared" si="4"/>
        <v>837.9</v>
      </c>
      <c r="J12" s="44">
        <f t="shared" si="4"/>
        <v>997.5</v>
      </c>
      <c r="K12" s="44">
        <f t="shared" si="4"/>
        <v>997.5</v>
      </c>
      <c r="L12" s="44">
        <f t="shared" si="4"/>
        <v>672</v>
      </c>
      <c r="M12" s="44">
        <f t="shared" si="4"/>
        <v>1995</v>
      </c>
      <c r="N12" s="44">
        <f t="shared" si="4"/>
        <v>798</v>
      </c>
      <c r="O12" s="45">
        <f t="shared" si="3"/>
        <v>7295.4</v>
      </c>
    </row>
    <row r="13" ht="14.25" customHeight="1">
      <c r="A13" s="22"/>
      <c r="B13" s="34"/>
      <c r="C13" s="24"/>
      <c r="E13" s="46" t="s">
        <v>54</v>
      </c>
      <c r="F13" s="47">
        <f t="shared" ref="F13:O13" si="5">F11*1</f>
        <v>0</v>
      </c>
      <c r="G13" s="47">
        <f t="shared" si="5"/>
        <v>0</v>
      </c>
      <c r="H13" s="47">
        <f t="shared" si="5"/>
        <v>166.25</v>
      </c>
      <c r="I13" s="47">
        <f t="shared" si="5"/>
        <v>139.65</v>
      </c>
      <c r="J13" s="47">
        <f t="shared" si="5"/>
        <v>166.25</v>
      </c>
      <c r="K13" s="47">
        <f t="shared" si="5"/>
        <v>166.25</v>
      </c>
      <c r="L13" s="47">
        <f t="shared" si="5"/>
        <v>112</v>
      </c>
      <c r="M13" s="47">
        <f t="shared" si="5"/>
        <v>332.5</v>
      </c>
      <c r="N13" s="47">
        <f t="shared" si="5"/>
        <v>133</v>
      </c>
      <c r="O13" s="48">
        <f t="shared" si="5"/>
        <v>1215.9</v>
      </c>
    </row>
    <row r="14" ht="14.25" customHeight="1">
      <c r="A14" s="22"/>
      <c r="B14" s="34"/>
      <c r="C14" s="24"/>
      <c r="E14" s="29" t="s">
        <v>55</v>
      </c>
      <c r="F14" s="35">
        <f t="shared" ref="F14:N14" si="6">F12-F13</f>
        <v>0</v>
      </c>
      <c r="G14" s="35">
        <f t="shared" si="6"/>
        <v>0</v>
      </c>
      <c r="H14" s="35">
        <f t="shared" si="6"/>
        <v>831.25</v>
      </c>
      <c r="I14" s="35">
        <f t="shared" si="6"/>
        <v>698.25</v>
      </c>
      <c r="J14" s="35">
        <f t="shared" si="6"/>
        <v>831.25</v>
      </c>
      <c r="K14" s="35">
        <f t="shared" si="6"/>
        <v>831.25</v>
      </c>
      <c r="L14" s="35">
        <f t="shared" si="6"/>
        <v>560</v>
      </c>
      <c r="M14" s="35">
        <f t="shared" si="6"/>
        <v>1662.5</v>
      </c>
      <c r="N14" s="35">
        <f t="shared" si="6"/>
        <v>665</v>
      </c>
      <c r="O14" s="49">
        <f>SUM(F14:N14)</f>
        <v>6079.5</v>
      </c>
    </row>
    <row r="15" ht="14.25" customHeight="1">
      <c r="A15" s="22"/>
      <c r="B15" s="34"/>
      <c r="C15" s="24"/>
    </row>
    <row r="16" ht="14.25" customHeight="1">
      <c r="A16" s="22"/>
      <c r="B16" s="34"/>
      <c r="C16" s="24"/>
    </row>
    <row r="17" ht="14.25" customHeight="1">
      <c r="A17" s="22"/>
    </row>
    <row r="18" ht="14.25" customHeight="1">
      <c r="A18" s="22"/>
      <c r="B18" s="34"/>
      <c r="C18" s="24"/>
      <c r="E18" s="25" t="s">
        <v>56</v>
      </c>
    </row>
    <row r="19" ht="14.25" customHeight="1">
      <c r="A19" s="22"/>
      <c r="E19" s="4" t="s">
        <v>31</v>
      </c>
      <c r="G19" s="29">
        <f>G20*5</f>
        <v>65</v>
      </c>
      <c r="H19" s="4" t="s">
        <v>32</v>
      </c>
    </row>
    <row r="20" ht="14.25" customHeight="1">
      <c r="A20" s="22"/>
      <c r="E20" s="4" t="s">
        <v>34</v>
      </c>
      <c r="G20" s="29">
        <f>AVERAGE((14),(12))</f>
        <v>13</v>
      </c>
      <c r="H20" s="4" t="s">
        <v>35</v>
      </c>
    </row>
    <row r="21" ht="14.25" customHeight="1">
      <c r="A21" s="22"/>
      <c r="B21" s="34"/>
      <c r="C21" s="24"/>
    </row>
    <row r="22" ht="14.25" customHeight="1">
      <c r="A22" s="22"/>
      <c r="B22" s="34" t="s">
        <v>57</v>
      </c>
      <c r="C22" s="24">
        <v>3180.7</v>
      </c>
      <c r="E22" s="4" t="s">
        <v>44</v>
      </c>
      <c r="G22" s="29"/>
      <c r="H22" s="4" t="s">
        <v>58</v>
      </c>
    </row>
    <row r="23" ht="14.25" customHeight="1">
      <c r="A23" s="22"/>
      <c r="B23" s="34" t="s">
        <v>59</v>
      </c>
      <c r="C23" s="24">
        <v>42.0</v>
      </c>
      <c r="G23" s="29"/>
    </row>
    <row r="24" ht="14.25" customHeight="1">
      <c r="A24" s="22"/>
      <c r="B24" s="34" t="s">
        <v>60</v>
      </c>
      <c r="C24" s="24">
        <v>165.05</v>
      </c>
      <c r="G24" s="35"/>
    </row>
    <row r="25" ht="14.25" customHeight="1">
      <c r="A25" s="22"/>
      <c r="B25" s="34" t="s">
        <v>61</v>
      </c>
      <c r="C25" s="24">
        <v>17.2</v>
      </c>
    </row>
    <row r="26" ht="14.25" customHeight="1">
      <c r="A26" s="50"/>
      <c r="B26" s="51" t="s">
        <v>62</v>
      </c>
      <c r="C26" s="52" t="s">
        <v>63</v>
      </c>
      <c r="F26" s="38">
        <v>45254.0</v>
      </c>
      <c r="G26" s="38">
        <v>45255.0</v>
      </c>
      <c r="H26" s="38">
        <v>45256.0</v>
      </c>
      <c r="I26" s="38">
        <v>45257.0</v>
      </c>
      <c r="J26" s="38">
        <v>45258.0</v>
      </c>
      <c r="K26" s="38">
        <v>45259.0</v>
      </c>
      <c r="L26" s="38">
        <v>45260.0</v>
      </c>
      <c r="M26" s="38">
        <v>45261.0</v>
      </c>
      <c r="N26" s="38">
        <v>45262.0</v>
      </c>
      <c r="O26" s="38" t="s">
        <v>48</v>
      </c>
    </row>
    <row r="27" ht="14.25" customHeight="1">
      <c r="A27" s="22"/>
      <c r="B27" s="34"/>
      <c r="C27" s="24"/>
      <c r="E27" s="39" t="s">
        <v>64</v>
      </c>
      <c r="F27" s="40">
        <f t="shared" ref="F27:G27" si="7">1*0.95</f>
        <v>0.95</v>
      </c>
      <c r="G27" s="40">
        <f t="shared" si="7"/>
        <v>0.95</v>
      </c>
      <c r="H27" s="40">
        <f>2*0.95</f>
        <v>1.9</v>
      </c>
      <c r="I27" s="40">
        <f t="shared" ref="I27:K27" si="8">0.5*0.95</f>
        <v>0.475</v>
      </c>
      <c r="J27" s="40">
        <f t="shared" si="8"/>
        <v>0.475</v>
      </c>
      <c r="K27" s="40">
        <f t="shared" si="8"/>
        <v>0.475</v>
      </c>
      <c r="L27" s="40">
        <f>1.5*0.95</f>
        <v>1.425</v>
      </c>
      <c r="M27" s="40">
        <f>0.5*0.95</f>
        <v>0.475</v>
      </c>
      <c r="N27" s="40">
        <f>1.5*0.95</f>
        <v>1.425</v>
      </c>
      <c r="O27" s="41">
        <f t="shared" ref="O27:O31" si="10">SUM(F27:N27)</f>
        <v>8.55</v>
      </c>
    </row>
    <row r="28" ht="14.25" customHeight="1">
      <c r="A28" s="22"/>
      <c r="B28" s="34"/>
      <c r="C28" s="24"/>
      <c r="E28" s="42" t="s">
        <v>52</v>
      </c>
      <c r="F28" s="40">
        <f t="shared" ref="F28:N28" si="9">F27*$G$20/0.2</f>
        <v>61.75</v>
      </c>
      <c r="G28" s="40">
        <f t="shared" si="9"/>
        <v>61.75</v>
      </c>
      <c r="H28" s="40">
        <f t="shared" si="9"/>
        <v>123.5</v>
      </c>
      <c r="I28" s="40">
        <f t="shared" si="9"/>
        <v>30.875</v>
      </c>
      <c r="J28" s="40">
        <f t="shared" si="9"/>
        <v>30.875</v>
      </c>
      <c r="K28" s="40">
        <f t="shared" si="9"/>
        <v>30.875</v>
      </c>
      <c r="L28" s="40">
        <f t="shared" si="9"/>
        <v>92.625</v>
      </c>
      <c r="M28" s="40">
        <f t="shared" si="9"/>
        <v>30.875</v>
      </c>
      <c r="N28" s="40">
        <f t="shared" si="9"/>
        <v>92.625</v>
      </c>
      <c r="O28" s="41">
        <f t="shared" si="10"/>
        <v>555.75</v>
      </c>
    </row>
    <row r="29" ht="14.25" customHeight="1">
      <c r="A29" s="22"/>
      <c r="B29" s="34"/>
      <c r="C29" s="24"/>
      <c r="E29" s="43" t="s">
        <v>65</v>
      </c>
      <c r="F29" s="44">
        <f t="shared" ref="F29:N29" si="11">F28*$G$22</f>
        <v>0</v>
      </c>
      <c r="G29" s="44">
        <f t="shared" si="11"/>
        <v>0</v>
      </c>
      <c r="H29" s="44">
        <f t="shared" si="11"/>
        <v>0</v>
      </c>
      <c r="I29" s="44">
        <f t="shared" si="11"/>
        <v>0</v>
      </c>
      <c r="J29" s="44">
        <f t="shared" si="11"/>
        <v>0</v>
      </c>
      <c r="K29" s="44">
        <f t="shared" si="11"/>
        <v>0</v>
      </c>
      <c r="L29" s="44">
        <f t="shared" si="11"/>
        <v>0</v>
      </c>
      <c r="M29" s="44">
        <f t="shared" si="11"/>
        <v>0</v>
      </c>
      <c r="N29" s="44">
        <f t="shared" si="11"/>
        <v>0</v>
      </c>
      <c r="O29" s="45">
        <f t="shared" si="10"/>
        <v>0</v>
      </c>
    </row>
    <row r="30" ht="14.25" customHeight="1">
      <c r="A30" s="22"/>
      <c r="B30" s="34"/>
      <c r="C30" s="24"/>
      <c r="E30" s="46" t="s">
        <v>54</v>
      </c>
      <c r="F30" s="47">
        <f t="shared" ref="F30:N30" si="12">F$28*1</f>
        <v>61.75</v>
      </c>
      <c r="G30" s="47">
        <f t="shared" si="12"/>
        <v>61.75</v>
      </c>
      <c r="H30" s="47">
        <f t="shared" si="12"/>
        <v>123.5</v>
      </c>
      <c r="I30" s="47">
        <f t="shared" si="12"/>
        <v>30.875</v>
      </c>
      <c r="J30" s="47">
        <f t="shared" si="12"/>
        <v>30.875</v>
      </c>
      <c r="K30" s="47">
        <f t="shared" si="12"/>
        <v>30.875</v>
      </c>
      <c r="L30" s="47">
        <f t="shared" si="12"/>
        <v>92.625</v>
      </c>
      <c r="M30" s="47">
        <f t="shared" si="12"/>
        <v>30.875</v>
      </c>
      <c r="N30" s="47">
        <f t="shared" si="12"/>
        <v>92.625</v>
      </c>
      <c r="O30" s="48">
        <f t="shared" si="10"/>
        <v>555.75</v>
      </c>
    </row>
    <row r="31" ht="14.25" customHeight="1">
      <c r="A31" s="22"/>
      <c r="B31" s="34"/>
      <c r="C31" s="24"/>
      <c r="E31" s="29" t="s">
        <v>55</v>
      </c>
      <c r="F31" s="35">
        <f t="shared" ref="F31:N31" si="13">F29-F30</f>
        <v>-61.75</v>
      </c>
      <c r="G31" s="35">
        <f t="shared" si="13"/>
        <v>-61.75</v>
      </c>
      <c r="H31" s="35">
        <f t="shared" si="13"/>
        <v>-123.5</v>
      </c>
      <c r="I31" s="35">
        <f t="shared" si="13"/>
        <v>-30.875</v>
      </c>
      <c r="J31" s="35">
        <f t="shared" si="13"/>
        <v>-30.875</v>
      </c>
      <c r="K31" s="35">
        <f t="shared" si="13"/>
        <v>-30.875</v>
      </c>
      <c r="L31" s="35">
        <f t="shared" si="13"/>
        <v>-92.625</v>
      </c>
      <c r="M31" s="35">
        <f t="shared" si="13"/>
        <v>-30.875</v>
      </c>
      <c r="N31" s="35">
        <f t="shared" si="13"/>
        <v>-92.625</v>
      </c>
      <c r="O31" s="49">
        <f t="shared" si="10"/>
        <v>-555.75</v>
      </c>
    </row>
    <row r="32" ht="14.25" customHeight="1">
      <c r="A32" s="22"/>
      <c r="B32" s="34"/>
      <c r="C32" s="24"/>
    </row>
    <row r="33" ht="14.25" customHeight="1">
      <c r="A33" s="22"/>
      <c r="B33" s="34"/>
      <c r="C33" s="24"/>
    </row>
    <row r="34">
      <c r="A34" s="22"/>
      <c r="B34" s="34"/>
      <c r="C34" s="24"/>
      <c r="E34" s="25" t="s">
        <v>66</v>
      </c>
    </row>
    <row r="35" ht="14.25" customHeight="1">
      <c r="A35" s="22"/>
      <c r="B35" s="34"/>
      <c r="C35" s="24"/>
    </row>
    <row r="36" ht="14.25" customHeight="1">
      <c r="A36" s="22"/>
      <c r="B36" s="34"/>
      <c r="C36" s="24"/>
      <c r="F36" s="38">
        <v>45254.0</v>
      </c>
      <c r="G36" s="38">
        <v>45255.0</v>
      </c>
      <c r="H36" s="38">
        <v>45256.0</v>
      </c>
      <c r="I36" s="38">
        <v>45257.0</v>
      </c>
      <c r="J36" s="38">
        <v>45258.0</v>
      </c>
      <c r="K36" s="38">
        <v>45259.0</v>
      </c>
      <c r="L36" s="38">
        <v>45260.0</v>
      </c>
      <c r="M36" s="38">
        <v>45261.0</v>
      </c>
      <c r="N36" s="38">
        <v>45262.0</v>
      </c>
      <c r="O36" s="38" t="s">
        <v>48</v>
      </c>
    </row>
    <row r="37" ht="14.25" customHeight="1">
      <c r="A37" s="22"/>
      <c r="B37" s="34"/>
      <c r="C37" s="24"/>
      <c r="E37" s="39" t="s">
        <v>67</v>
      </c>
      <c r="F37" s="53">
        <f>FDC!D24</f>
        <v>564</v>
      </c>
      <c r="G37" s="53">
        <f>FDC!I24</f>
        <v>128</v>
      </c>
      <c r="H37" s="53">
        <f>FDC!N24</f>
        <v>120</v>
      </c>
      <c r="I37" s="53">
        <f>FDC!S24</f>
        <v>71.6</v>
      </c>
      <c r="J37" s="53">
        <f>FDC!X24</f>
        <v>-10.8</v>
      </c>
      <c r="K37" s="53">
        <f>FDC!AB24</f>
        <v>60</v>
      </c>
      <c r="L37" s="53">
        <f>FDC!AF24</f>
        <v>657.55</v>
      </c>
      <c r="M37" s="53">
        <f>FDC!AJ24</f>
        <v>314.4</v>
      </c>
      <c r="N37" s="53">
        <f>FDC!AN24</f>
        <v>81.05</v>
      </c>
      <c r="O37" s="54">
        <f t="shared" ref="O37:O39" si="14">SUM(F37:N37)</f>
        <v>1985.8</v>
      </c>
    </row>
    <row r="38" ht="14.25" customHeight="1">
      <c r="A38" s="22"/>
      <c r="B38" s="34"/>
      <c r="C38" s="24"/>
      <c r="E38" s="42" t="s">
        <v>68</v>
      </c>
      <c r="F38" s="55">
        <f>1.97+7.89+217.15+848.09</f>
        <v>1075.1</v>
      </c>
      <c r="G38" s="55">
        <v>1107.4</v>
      </c>
      <c r="H38" s="55">
        <f>882.37+29.61</f>
        <v>911.98</v>
      </c>
      <c r="I38" s="55">
        <f>237.87+288.2</f>
        <v>526.07</v>
      </c>
      <c r="J38" s="55">
        <f>18.75+252.65+448.12</f>
        <v>719.52</v>
      </c>
      <c r="K38" s="55">
        <f>47.38+800.45</f>
        <v>847.83</v>
      </c>
      <c r="L38" s="55">
        <f>19.74+740.21</f>
        <v>759.95</v>
      </c>
      <c r="M38" s="55">
        <f>92.78+953.43</f>
        <v>1046.21</v>
      </c>
      <c r="N38" s="55">
        <f>1103.45+122.39</f>
        <v>1225.84</v>
      </c>
      <c r="O38" s="54">
        <f t="shared" si="14"/>
        <v>8219.9</v>
      </c>
    </row>
    <row r="39" ht="14.25" customHeight="1">
      <c r="A39" s="22"/>
      <c r="B39" s="34"/>
      <c r="C39" s="24"/>
      <c r="E39" s="56" t="s">
        <v>69</v>
      </c>
      <c r="F39" s="57">
        <v>238.15</v>
      </c>
      <c r="G39" s="57">
        <v>377.21</v>
      </c>
      <c r="H39" s="57">
        <v>315.43</v>
      </c>
      <c r="I39" s="57">
        <v>99.47</v>
      </c>
      <c r="J39" s="57">
        <v>97.51</v>
      </c>
      <c r="K39" s="57">
        <v>136.82</v>
      </c>
      <c r="L39" s="57">
        <v>202.89</v>
      </c>
      <c r="M39" s="57">
        <v>367.23</v>
      </c>
      <c r="N39" s="57">
        <v>427.89</v>
      </c>
      <c r="O39" s="58">
        <f t="shared" si="14"/>
        <v>2262.6</v>
      </c>
      <c r="S39" s="59"/>
    </row>
    <row r="40" ht="14.25" customHeight="1">
      <c r="A40" s="22"/>
      <c r="B40" s="34"/>
      <c r="C40" s="24"/>
      <c r="E40" s="60" t="s">
        <v>70</v>
      </c>
      <c r="F40" s="61">
        <f t="shared" ref="F40:O40" si="15">SUM(F37:F39)</f>
        <v>1877.25</v>
      </c>
      <c r="G40" s="61">
        <f t="shared" si="15"/>
        <v>1612.61</v>
      </c>
      <c r="H40" s="61">
        <f t="shared" si="15"/>
        <v>1347.41</v>
      </c>
      <c r="I40" s="61">
        <f t="shared" si="15"/>
        <v>697.14</v>
      </c>
      <c r="J40" s="61">
        <f t="shared" si="15"/>
        <v>806.23</v>
      </c>
      <c r="K40" s="61">
        <f t="shared" si="15"/>
        <v>1044.65</v>
      </c>
      <c r="L40" s="61">
        <f t="shared" si="15"/>
        <v>1620.39</v>
      </c>
      <c r="M40" s="61">
        <f t="shared" si="15"/>
        <v>1727.84</v>
      </c>
      <c r="N40" s="61">
        <f t="shared" si="15"/>
        <v>1734.78</v>
      </c>
      <c r="O40" s="49">
        <f t="shared" si="15"/>
        <v>12468.3</v>
      </c>
    </row>
    <row r="41" ht="14.25" customHeight="1">
      <c r="A41" s="22"/>
      <c r="B41" s="34"/>
      <c r="C41" s="24"/>
      <c r="E41" s="29" t="s">
        <v>71</v>
      </c>
      <c r="F41" s="35">
        <f t="shared" ref="F41:N41" si="16">F40-F12-F29</f>
        <v>1877.25</v>
      </c>
      <c r="G41" s="35">
        <f t="shared" si="16"/>
        <v>1612.61</v>
      </c>
      <c r="H41" s="35">
        <f t="shared" si="16"/>
        <v>349.91</v>
      </c>
      <c r="I41" s="35">
        <f t="shared" si="16"/>
        <v>-140.76</v>
      </c>
      <c r="J41" s="35">
        <f t="shared" si="16"/>
        <v>-191.27</v>
      </c>
      <c r="K41" s="35">
        <f t="shared" si="16"/>
        <v>47.15</v>
      </c>
      <c r="L41" s="35">
        <f t="shared" si="16"/>
        <v>948.39</v>
      </c>
      <c r="M41" s="35">
        <f t="shared" si="16"/>
        <v>-267.16</v>
      </c>
      <c r="N41" s="35">
        <f t="shared" si="16"/>
        <v>936.78</v>
      </c>
      <c r="O41" s="49">
        <f>SUM(F41:N41)</f>
        <v>5172.9</v>
      </c>
    </row>
    <row r="42" ht="14.25" customHeight="1">
      <c r="A42" s="22"/>
      <c r="B42" s="34"/>
      <c r="C42" s="24"/>
    </row>
    <row r="43" ht="14.25" customHeight="1">
      <c r="A43" s="22"/>
      <c r="B43" s="34"/>
      <c r="C43" s="24"/>
    </row>
    <row r="44" ht="14.25" customHeight="1">
      <c r="A44" s="22"/>
      <c r="B44" s="34"/>
      <c r="C44" s="24"/>
      <c r="E44" s="4" t="s">
        <v>72</v>
      </c>
      <c r="F44" s="4" t="s">
        <v>73</v>
      </c>
      <c r="G44" s="4" t="s">
        <v>74</v>
      </c>
      <c r="H44" s="4" t="s">
        <v>75</v>
      </c>
      <c r="I44" s="4" t="s">
        <v>76</v>
      </c>
      <c r="J44" s="4" t="s">
        <v>77</v>
      </c>
      <c r="K44" s="4" t="s">
        <v>78</v>
      </c>
      <c r="L44" s="4" t="s">
        <v>79</v>
      </c>
      <c r="M44" s="4" t="s">
        <v>80</v>
      </c>
      <c r="N44" s="4" t="s">
        <v>81</v>
      </c>
    </row>
    <row r="45" ht="14.25" customHeight="1">
      <c r="A45" s="22"/>
      <c r="B45" s="34"/>
      <c r="C45" s="24"/>
    </row>
    <row r="46" ht="14.25" customHeight="1">
      <c r="A46" s="22"/>
      <c r="B46" s="34"/>
      <c r="C46" s="24"/>
    </row>
    <row r="47" ht="14.25" customHeight="1">
      <c r="A47" s="22"/>
      <c r="B47" s="34"/>
      <c r="C47" s="24"/>
    </row>
    <row r="48" ht="14.25" customHeight="1">
      <c r="A48" s="22"/>
      <c r="B48" s="34"/>
      <c r="C48" s="24"/>
    </row>
    <row r="49" ht="14.25" customHeight="1">
      <c r="A49" s="22"/>
      <c r="B49" s="34"/>
      <c r="C49" s="24"/>
    </row>
    <row r="50" ht="14.25" customHeight="1">
      <c r="A50" s="22"/>
      <c r="B50" s="34"/>
      <c r="C50" s="24"/>
    </row>
    <row r="51" ht="14.25" customHeight="1">
      <c r="A51" s="22"/>
      <c r="B51" s="34"/>
      <c r="C51" s="24"/>
    </row>
    <row r="52" ht="14.25" customHeight="1">
      <c r="A52" s="22"/>
      <c r="B52" s="34"/>
      <c r="C52" s="24"/>
    </row>
    <row r="53" ht="14.25" customHeight="1">
      <c r="A53" s="22"/>
      <c r="B53" s="34"/>
      <c r="C53" s="24"/>
    </row>
    <row r="54" ht="14.25" customHeight="1">
      <c r="A54" s="22"/>
      <c r="B54" s="34"/>
      <c r="C54" s="24"/>
    </row>
    <row r="55" ht="14.25" customHeight="1">
      <c r="A55" s="22"/>
      <c r="B55" s="34"/>
      <c r="C55" s="24"/>
    </row>
    <row r="56" ht="14.25" customHeight="1">
      <c r="A56" s="22"/>
      <c r="B56" s="34"/>
      <c r="C56" s="24"/>
    </row>
    <row r="57" ht="14.25" customHeight="1">
      <c r="A57" s="22"/>
      <c r="B57" s="34"/>
      <c r="C57" s="24"/>
    </row>
    <row r="58" ht="14.25" customHeight="1">
      <c r="A58" s="22"/>
      <c r="B58" s="34"/>
      <c r="C58" s="24"/>
    </row>
    <row r="59" ht="14.25" customHeight="1">
      <c r="A59" s="22"/>
      <c r="B59" s="34"/>
      <c r="C59" s="24"/>
    </row>
    <row r="60" ht="14.25" customHeight="1">
      <c r="A60" s="22"/>
      <c r="B60" s="34"/>
      <c r="C60" s="24"/>
    </row>
    <row r="61" ht="14.25" customHeight="1">
      <c r="A61" s="22"/>
      <c r="B61" s="34"/>
      <c r="C61" s="24"/>
    </row>
    <row r="62" ht="14.25" customHeight="1">
      <c r="A62" s="22"/>
      <c r="B62" s="34"/>
      <c r="C62" s="24"/>
    </row>
    <row r="63" ht="14.25" customHeight="1">
      <c r="A63" s="22"/>
      <c r="B63" s="34"/>
      <c r="C63" s="24"/>
    </row>
    <row r="64" ht="14.25" customHeight="1">
      <c r="A64" s="22"/>
      <c r="B64" s="34"/>
      <c r="C64" s="24"/>
    </row>
    <row r="65" ht="14.25" customHeight="1">
      <c r="A65" s="22"/>
      <c r="B65" s="34"/>
      <c r="C65" s="24"/>
    </row>
    <row r="66" ht="14.25" customHeight="1">
      <c r="A66" s="22"/>
      <c r="B66" s="34"/>
      <c r="C66" s="24"/>
    </row>
    <row r="67" ht="14.25" customHeight="1">
      <c r="A67" s="22"/>
      <c r="B67" s="34"/>
      <c r="C67" s="24"/>
    </row>
    <row r="68" ht="14.25" customHeight="1">
      <c r="A68" s="22"/>
      <c r="B68" s="34"/>
      <c r="C68" s="24"/>
    </row>
    <row r="69" ht="14.25" customHeight="1">
      <c r="A69" s="22"/>
      <c r="B69" s="34"/>
      <c r="C69" s="24"/>
    </row>
    <row r="70" ht="14.25" customHeight="1">
      <c r="A70" s="22"/>
      <c r="B70" s="34"/>
      <c r="C70" s="24"/>
    </row>
    <row r="71" ht="14.25" customHeight="1">
      <c r="A71" s="22"/>
      <c r="B71" s="34"/>
      <c r="C71" s="24"/>
    </row>
    <row r="72" ht="14.25" customHeight="1">
      <c r="A72" s="22"/>
      <c r="B72" s="34"/>
      <c r="C72" s="24"/>
    </row>
    <row r="73" ht="14.25" customHeight="1">
      <c r="A73" s="22"/>
      <c r="B73" s="34"/>
      <c r="C73" s="24"/>
    </row>
    <row r="74" ht="14.25" customHeight="1">
      <c r="A74" s="22"/>
      <c r="B74" s="34"/>
      <c r="C74" s="24"/>
    </row>
    <row r="75" ht="14.25" customHeight="1">
      <c r="A75" s="22"/>
      <c r="B75" s="34"/>
      <c r="C75" s="24"/>
    </row>
    <row r="76" ht="14.25" customHeight="1">
      <c r="A76" s="22"/>
      <c r="B76" s="34"/>
      <c r="C76" s="24"/>
    </row>
    <row r="77" ht="14.25" customHeight="1">
      <c r="A77" s="22"/>
      <c r="B77" s="34"/>
      <c r="C77" s="24"/>
    </row>
    <row r="78" ht="14.25" customHeight="1">
      <c r="A78" s="22"/>
      <c r="B78" s="34"/>
      <c r="C78" s="24"/>
    </row>
    <row r="79" ht="14.25" customHeight="1">
      <c r="A79" s="22"/>
      <c r="B79" s="34"/>
      <c r="C79" s="24"/>
    </row>
    <row r="80" ht="14.25" customHeight="1">
      <c r="A80" s="22"/>
      <c r="B80" s="34"/>
      <c r="C80" s="24"/>
    </row>
    <row r="81" ht="14.25" customHeight="1">
      <c r="A81" s="22"/>
      <c r="B81" s="34"/>
      <c r="C81" s="24"/>
    </row>
    <row r="82" ht="14.25" customHeight="1">
      <c r="A82" s="22"/>
      <c r="B82" s="34"/>
      <c r="C82" s="24"/>
    </row>
    <row r="83" ht="14.25" customHeight="1">
      <c r="A83" s="22"/>
      <c r="B83" s="34"/>
      <c r="C83" s="24"/>
    </row>
    <row r="84" ht="14.25" customHeight="1">
      <c r="A84" s="22"/>
      <c r="B84" s="34"/>
      <c r="C84" s="24"/>
    </row>
    <row r="85" ht="14.25" customHeight="1">
      <c r="A85" s="22"/>
      <c r="B85" s="34"/>
      <c r="C85" s="24"/>
    </row>
    <row r="86" ht="14.25" customHeight="1">
      <c r="A86" s="22"/>
      <c r="B86" s="34"/>
      <c r="C86" s="24"/>
    </row>
    <row r="87" ht="14.25" customHeight="1">
      <c r="A87" s="22"/>
      <c r="B87" s="34"/>
      <c r="C87" s="24"/>
    </row>
    <row r="88" ht="14.25" customHeight="1">
      <c r="A88" s="22"/>
      <c r="B88" s="34"/>
      <c r="C88" s="24"/>
    </row>
    <row r="89" ht="14.25" customHeight="1">
      <c r="A89" s="22"/>
      <c r="B89" s="34"/>
      <c r="C89" s="24"/>
    </row>
    <row r="90" ht="14.25" customHeight="1">
      <c r="A90" s="22"/>
      <c r="B90" s="34"/>
      <c r="C90" s="24"/>
    </row>
    <row r="91" ht="14.25" customHeight="1">
      <c r="A91" s="22"/>
      <c r="B91" s="34"/>
      <c r="C91" s="24"/>
    </row>
    <row r="92" ht="14.25" customHeight="1">
      <c r="A92" s="22"/>
      <c r="B92" s="34"/>
      <c r="C92" s="24"/>
    </row>
    <row r="93" ht="14.25" customHeight="1">
      <c r="A93" s="22"/>
      <c r="B93" s="34"/>
      <c r="C93" s="24"/>
    </row>
    <row r="94" ht="14.25" customHeight="1">
      <c r="A94" s="22"/>
      <c r="B94" s="34"/>
      <c r="C94" s="24"/>
    </row>
    <row r="95" ht="14.25" customHeight="1">
      <c r="A95" s="22"/>
      <c r="B95" s="34"/>
      <c r="C95" s="24"/>
    </row>
    <row r="96" ht="14.25" customHeight="1">
      <c r="A96" s="22"/>
      <c r="B96" s="34"/>
      <c r="C96" s="24"/>
    </row>
    <row r="97" ht="14.25" customHeight="1">
      <c r="A97" s="22"/>
      <c r="B97" s="34"/>
      <c r="C97" s="24"/>
    </row>
    <row r="98" ht="14.25" customHeight="1">
      <c r="A98" s="22"/>
      <c r="B98" s="34"/>
      <c r="C98" s="24"/>
    </row>
    <row r="99" ht="14.25" customHeight="1">
      <c r="A99" s="22"/>
      <c r="B99" s="34"/>
      <c r="C99" s="24"/>
    </row>
    <row r="100" ht="14.25" customHeight="1">
      <c r="A100" s="22"/>
      <c r="B100" s="34"/>
      <c r="C100" s="24"/>
    </row>
    <row r="101" ht="14.25" customHeight="1">
      <c r="A101" s="22"/>
      <c r="B101" s="34"/>
      <c r="C101" s="24"/>
    </row>
    <row r="102" ht="14.25" customHeight="1">
      <c r="A102" s="22"/>
      <c r="B102" s="34"/>
      <c r="C102" s="24"/>
    </row>
    <row r="103" ht="14.25" customHeight="1">
      <c r="A103" s="22"/>
      <c r="B103" s="34"/>
      <c r="C103" s="24"/>
    </row>
    <row r="104" ht="14.25" customHeight="1">
      <c r="A104" s="22"/>
      <c r="B104" s="34"/>
      <c r="C104" s="24"/>
    </row>
    <row r="105" ht="14.25" customHeight="1">
      <c r="A105" s="22"/>
      <c r="B105" s="34"/>
      <c r="C105" s="24"/>
    </row>
    <row r="106" ht="14.25" customHeight="1">
      <c r="A106" s="22"/>
      <c r="B106" s="34"/>
      <c r="C106" s="24"/>
    </row>
    <row r="107" ht="14.25" customHeight="1">
      <c r="A107" s="22"/>
      <c r="B107" s="34"/>
      <c r="C107" s="24"/>
    </row>
    <row r="108" ht="14.25" customHeight="1">
      <c r="A108" s="22"/>
      <c r="B108" s="34"/>
      <c r="C108" s="24"/>
    </row>
    <row r="109" ht="14.25" customHeight="1">
      <c r="A109" s="22"/>
      <c r="B109" s="34"/>
      <c r="C109" s="24"/>
    </row>
    <row r="110" ht="14.25" customHeight="1">
      <c r="A110" s="22"/>
      <c r="B110" s="34"/>
      <c r="C110" s="24"/>
    </row>
    <row r="111" ht="14.25" customHeight="1">
      <c r="A111" s="22"/>
      <c r="B111" s="34"/>
      <c r="C111" s="24"/>
    </row>
    <row r="112" ht="14.25" customHeight="1">
      <c r="A112" s="22"/>
      <c r="B112" s="34"/>
      <c r="C112" s="24"/>
    </row>
    <row r="113" ht="14.25" customHeight="1">
      <c r="A113" s="22"/>
      <c r="B113" s="34"/>
      <c r="C113" s="24"/>
    </row>
    <row r="114" ht="14.25" customHeight="1">
      <c r="A114" s="22"/>
      <c r="B114" s="34"/>
      <c r="C114" s="24"/>
    </row>
    <row r="115" ht="14.25" customHeight="1">
      <c r="A115" s="22"/>
      <c r="B115" s="34"/>
      <c r="C115" s="24"/>
    </row>
    <row r="116" ht="14.25" customHeight="1">
      <c r="A116" s="22"/>
      <c r="B116" s="34"/>
      <c r="C116" s="24"/>
    </row>
    <row r="117" ht="14.25" customHeight="1">
      <c r="A117" s="22"/>
      <c r="B117" s="34"/>
      <c r="C117" s="24"/>
    </row>
    <row r="118" ht="14.25" customHeight="1">
      <c r="A118" s="22"/>
      <c r="B118" s="34"/>
      <c r="C118" s="24"/>
    </row>
    <row r="119" ht="14.25" customHeight="1">
      <c r="A119" s="22"/>
      <c r="B119" s="34"/>
      <c r="C119" s="24"/>
    </row>
    <row r="120" ht="14.25" customHeight="1">
      <c r="A120" s="22"/>
      <c r="B120" s="34"/>
      <c r="C120" s="24"/>
    </row>
    <row r="121" ht="14.25" customHeight="1">
      <c r="A121" s="22"/>
      <c r="B121" s="34"/>
      <c r="C121" s="24"/>
    </row>
    <row r="122" ht="14.25" customHeight="1">
      <c r="A122" s="22"/>
      <c r="B122" s="34"/>
      <c r="C122" s="24"/>
    </row>
    <row r="123" ht="14.25" customHeight="1">
      <c r="A123" s="22"/>
      <c r="B123" s="34"/>
      <c r="C123" s="24"/>
    </row>
    <row r="124" ht="14.25" customHeight="1">
      <c r="A124" s="22"/>
      <c r="B124" s="34"/>
      <c r="C124" s="24"/>
    </row>
    <row r="125" ht="14.25" customHeight="1">
      <c r="A125" s="22"/>
      <c r="B125" s="34"/>
      <c r="C125" s="24"/>
    </row>
    <row r="126" ht="14.25" customHeight="1">
      <c r="A126" s="22"/>
      <c r="B126" s="34"/>
      <c r="C126" s="24"/>
    </row>
    <row r="127" ht="14.25" customHeight="1">
      <c r="A127" s="22"/>
      <c r="B127" s="34"/>
      <c r="C127" s="24"/>
    </row>
    <row r="128" ht="14.25" customHeight="1">
      <c r="A128" s="22"/>
      <c r="B128" s="34"/>
      <c r="C128" s="24"/>
    </row>
    <row r="129" ht="14.25" customHeight="1">
      <c r="A129" s="22"/>
      <c r="B129" s="34"/>
      <c r="C129" s="24"/>
    </row>
    <row r="130" ht="14.25" customHeight="1">
      <c r="A130" s="22"/>
      <c r="B130" s="34"/>
      <c r="C130" s="24"/>
    </row>
    <row r="131" ht="14.25" customHeight="1">
      <c r="A131" s="22"/>
      <c r="B131" s="34"/>
      <c r="C131" s="24"/>
    </row>
    <row r="132" ht="14.25" customHeight="1">
      <c r="A132" s="22"/>
      <c r="B132" s="34"/>
      <c r="C132" s="24"/>
    </row>
    <row r="133" ht="14.25" customHeight="1">
      <c r="A133" s="22"/>
      <c r="B133" s="34"/>
      <c r="C133" s="24"/>
    </row>
    <row r="134" ht="14.25" customHeight="1">
      <c r="A134" s="22"/>
      <c r="B134" s="34"/>
      <c r="C134" s="24"/>
    </row>
    <row r="135" ht="14.25" customHeight="1">
      <c r="A135" s="22"/>
      <c r="B135" s="34"/>
      <c r="C135" s="24"/>
    </row>
    <row r="136" ht="14.25" customHeight="1">
      <c r="A136" s="22"/>
      <c r="B136" s="34"/>
      <c r="C136" s="24"/>
    </row>
    <row r="137" ht="14.25" customHeight="1">
      <c r="A137" s="22"/>
      <c r="B137" s="34"/>
      <c r="C137" s="24"/>
    </row>
    <row r="138" ht="14.25" customHeight="1">
      <c r="A138" s="22"/>
      <c r="B138" s="34"/>
      <c r="C138" s="24"/>
    </row>
    <row r="139" ht="14.25" customHeight="1">
      <c r="A139" s="22"/>
      <c r="B139" s="34"/>
      <c r="C139" s="24"/>
    </row>
    <row r="140" ht="14.25" customHeight="1">
      <c r="A140" s="22"/>
      <c r="B140" s="34"/>
      <c r="C140" s="24"/>
    </row>
    <row r="141" ht="14.25" customHeight="1">
      <c r="A141" s="22"/>
      <c r="B141" s="34"/>
      <c r="C141" s="24"/>
    </row>
    <row r="142" ht="14.25" customHeight="1">
      <c r="A142" s="22"/>
      <c r="B142" s="34"/>
      <c r="C142" s="24"/>
    </row>
    <row r="143" ht="14.25" customHeight="1">
      <c r="A143" s="22"/>
      <c r="B143" s="34"/>
      <c r="C143" s="24"/>
    </row>
    <row r="144" ht="14.25" customHeight="1">
      <c r="A144" s="22"/>
      <c r="B144" s="34"/>
      <c r="C144" s="24"/>
    </row>
    <row r="145" ht="14.25" customHeight="1">
      <c r="A145" s="22"/>
      <c r="B145" s="34"/>
      <c r="C145" s="24"/>
    </row>
    <row r="146" ht="14.25" customHeight="1">
      <c r="A146" s="22"/>
      <c r="B146" s="34"/>
      <c r="C146" s="24"/>
    </row>
    <row r="147" ht="14.25" customHeight="1">
      <c r="A147" s="22"/>
      <c r="B147" s="34"/>
      <c r="C147" s="24"/>
    </row>
    <row r="148" ht="14.25" customHeight="1">
      <c r="A148" s="22"/>
      <c r="B148" s="34"/>
      <c r="C148" s="24"/>
    </row>
    <row r="149" ht="14.25" customHeight="1">
      <c r="A149" s="22"/>
      <c r="B149" s="34"/>
      <c r="C149" s="24"/>
    </row>
    <row r="150" ht="14.25" customHeight="1">
      <c r="A150" s="22"/>
      <c r="B150" s="34"/>
      <c r="C150" s="24"/>
    </row>
    <row r="151" ht="14.25" customHeight="1">
      <c r="A151" s="22"/>
      <c r="B151" s="34"/>
      <c r="C151" s="24"/>
    </row>
    <row r="152" ht="14.25" customHeight="1">
      <c r="A152" s="22"/>
      <c r="B152" s="34"/>
      <c r="C152" s="24"/>
    </row>
    <row r="153" ht="14.25" customHeight="1">
      <c r="A153" s="22"/>
      <c r="B153" s="34"/>
      <c r="C153" s="24"/>
    </row>
    <row r="154" ht="14.25" customHeight="1">
      <c r="A154" s="22"/>
      <c r="B154" s="34"/>
      <c r="C154" s="24"/>
    </row>
    <row r="155" ht="14.25" customHeight="1">
      <c r="A155" s="22"/>
      <c r="B155" s="34"/>
      <c r="C155" s="24"/>
    </row>
    <row r="156" ht="14.25" customHeight="1">
      <c r="A156" s="22"/>
      <c r="B156" s="34"/>
      <c r="C156" s="24"/>
    </row>
    <row r="157" ht="14.25" customHeight="1">
      <c r="A157" s="22"/>
      <c r="B157" s="34"/>
      <c r="C157" s="24"/>
    </row>
    <row r="158" ht="14.25" customHeight="1">
      <c r="A158" s="22"/>
      <c r="B158" s="34"/>
      <c r="C158" s="24"/>
    </row>
    <row r="159" ht="14.25" customHeight="1">
      <c r="A159" s="22"/>
      <c r="B159" s="34"/>
      <c r="C159" s="24"/>
    </row>
    <row r="160" ht="14.25" customHeight="1">
      <c r="A160" s="22"/>
      <c r="B160" s="34"/>
      <c r="C160" s="24"/>
    </row>
    <row r="161" ht="14.25" customHeight="1">
      <c r="A161" s="22"/>
      <c r="B161" s="34"/>
      <c r="C161" s="24"/>
    </row>
    <row r="162" ht="14.25" customHeight="1">
      <c r="A162" s="22"/>
      <c r="B162" s="34"/>
      <c r="C162" s="24"/>
    </row>
    <row r="163" ht="14.25" customHeight="1">
      <c r="A163" s="22"/>
      <c r="B163" s="34"/>
      <c r="C163" s="24"/>
    </row>
    <row r="164" ht="14.25" customHeight="1">
      <c r="A164" s="22"/>
      <c r="B164" s="34"/>
      <c r="C164" s="24"/>
    </row>
    <row r="165" ht="14.25" customHeight="1">
      <c r="A165" s="22"/>
      <c r="B165" s="34"/>
      <c r="C165" s="24"/>
    </row>
    <row r="166" ht="14.25" customHeight="1">
      <c r="A166" s="22"/>
      <c r="B166" s="34"/>
      <c r="C166" s="24"/>
    </row>
    <row r="167" ht="14.25" customHeight="1">
      <c r="A167" s="22"/>
      <c r="B167" s="34"/>
      <c r="C167" s="24"/>
    </row>
    <row r="168" ht="14.25" customHeight="1">
      <c r="A168" s="22"/>
      <c r="B168" s="34"/>
      <c r="C168" s="24"/>
    </row>
    <row r="169" ht="14.25" customHeight="1">
      <c r="A169" s="22"/>
      <c r="B169" s="34"/>
      <c r="C169" s="24"/>
    </row>
    <row r="170" ht="14.25" customHeight="1">
      <c r="A170" s="22"/>
      <c r="B170" s="34"/>
      <c r="C170" s="24"/>
    </row>
    <row r="171" ht="14.25" customHeight="1">
      <c r="A171" s="22"/>
      <c r="B171" s="34"/>
      <c r="C171" s="24"/>
    </row>
    <row r="172" ht="14.25" customHeight="1">
      <c r="A172" s="22"/>
      <c r="B172" s="34"/>
      <c r="C172" s="24"/>
    </row>
    <row r="173" ht="14.25" customHeight="1">
      <c r="A173" s="22"/>
      <c r="B173" s="34"/>
      <c r="C173" s="24"/>
    </row>
    <row r="174" ht="14.25" customHeight="1">
      <c r="A174" s="22"/>
      <c r="B174" s="34"/>
      <c r="C174" s="24"/>
    </row>
    <row r="175" ht="14.25" customHeight="1">
      <c r="A175" s="22"/>
      <c r="B175" s="34"/>
      <c r="C175" s="24"/>
    </row>
    <row r="176" ht="14.25" customHeight="1">
      <c r="A176" s="22"/>
      <c r="B176" s="34"/>
      <c r="C176" s="24"/>
    </row>
    <row r="177" ht="14.25" customHeight="1">
      <c r="A177" s="22"/>
      <c r="B177" s="34"/>
      <c r="C177" s="24"/>
    </row>
    <row r="178" ht="14.25" customHeight="1">
      <c r="A178" s="22"/>
      <c r="B178" s="34"/>
      <c r="C178" s="24"/>
    </row>
    <row r="179" ht="14.25" customHeight="1">
      <c r="A179" s="22"/>
      <c r="B179" s="34"/>
      <c r="C179" s="24"/>
    </row>
    <row r="180" ht="14.25" customHeight="1">
      <c r="A180" s="22"/>
      <c r="B180" s="34"/>
      <c r="C180" s="24"/>
    </row>
    <row r="181" ht="14.25" customHeight="1">
      <c r="A181" s="22"/>
      <c r="B181" s="34"/>
      <c r="C181" s="24"/>
    </row>
    <row r="182" ht="14.25" customHeight="1">
      <c r="A182" s="22"/>
      <c r="B182" s="34"/>
      <c r="C182" s="24"/>
    </row>
    <row r="183" ht="14.25" customHeight="1">
      <c r="A183" s="22"/>
      <c r="B183" s="34"/>
      <c r="C183" s="24"/>
    </row>
    <row r="184" ht="14.25" customHeight="1">
      <c r="A184" s="22"/>
      <c r="B184" s="34"/>
      <c r="C184" s="24"/>
    </row>
    <row r="185" ht="14.25" customHeight="1">
      <c r="A185" s="22"/>
      <c r="B185" s="34"/>
      <c r="C185" s="24"/>
    </row>
    <row r="186" ht="14.25" customHeight="1">
      <c r="A186" s="22"/>
      <c r="B186" s="34"/>
      <c r="C186" s="24"/>
    </row>
    <row r="187" ht="14.25" customHeight="1">
      <c r="A187" s="22"/>
      <c r="B187" s="34"/>
      <c r="C187" s="24"/>
    </row>
    <row r="188" ht="14.25" customHeight="1">
      <c r="A188" s="22"/>
      <c r="B188" s="34"/>
      <c r="C188" s="24"/>
    </row>
    <row r="189" ht="14.25" customHeight="1">
      <c r="A189" s="22"/>
      <c r="B189" s="34"/>
      <c r="C189" s="24"/>
    </row>
    <row r="190" ht="14.25" customHeight="1">
      <c r="A190" s="22"/>
      <c r="B190" s="34"/>
      <c r="C190" s="24"/>
    </row>
    <row r="191" ht="14.25" customHeight="1">
      <c r="A191" s="22"/>
      <c r="B191" s="34"/>
      <c r="C191" s="24"/>
    </row>
    <row r="192" ht="14.25" customHeight="1">
      <c r="A192" s="22"/>
      <c r="B192" s="34"/>
      <c r="C192" s="24"/>
    </row>
    <row r="193" ht="14.25" customHeight="1">
      <c r="A193" s="22"/>
      <c r="B193" s="34"/>
      <c r="C193" s="24"/>
    </row>
    <row r="194" ht="14.25" customHeight="1">
      <c r="A194" s="22"/>
      <c r="B194" s="34"/>
      <c r="C194" s="24"/>
    </row>
    <row r="195" ht="14.25" customHeight="1">
      <c r="A195" s="22"/>
      <c r="B195" s="34"/>
      <c r="C195" s="24"/>
    </row>
    <row r="196" ht="14.25" customHeight="1">
      <c r="A196" s="22"/>
      <c r="B196" s="34"/>
      <c r="C196" s="24"/>
    </row>
    <row r="197" ht="14.25" customHeight="1">
      <c r="A197" s="22"/>
      <c r="B197" s="34"/>
      <c r="C197" s="24"/>
    </row>
    <row r="198" ht="14.25" customHeight="1">
      <c r="A198" s="22"/>
      <c r="B198" s="34"/>
      <c r="C198" s="24"/>
    </row>
    <row r="199" ht="14.25" customHeight="1">
      <c r="A199" s="22"/>
      <c r="B199" s="34"/>
      <c r="C199" s="24"/>
    </row>
    <row r="200" ht="14.25" customHeight="1">
      <c r="A200" s="22"/>
      <c r="B200" s="34"/>
      <c r="C200" s="24"/>
    </row>
    <row r="201" ht="14.25" customHeight="1">
      <c r="A201" s="22"/>
      <c r="B201" s="34"/>
      <c r="C201" s="24"/>
    </row>
    <row r="202" ht="14.25" customHeight="1">
      <c r="A202" s="22"/>
      <c r="B202" s="34"/>
      <c r="C202" s="24"/>
    </row>
    <row r="203" ht="14.25" customHeight="1">
      <c r="A203" s="22"/>
      <c r="B203" s="34"/>
      <c r="C203" s="24"/>
    </row>
    <row r="204" ht="14.25" customHeight="1">
      <c r="A204" s="22"/>
      <c r="B204" s="34"/>
      <c r="C204" s="24"/>
    </row>
    <row r="205" ht="14.25" customHeight="1">
      <c r="A205" s="22"/>
      <c r="B205" s="34"/>
      <c r="C205" s="24"/>
    </row>
    <row r="206" ht="14.25" customHeight="1">
      <c r="A206" s="22"/>
      <c r="B206" s="34"/>
      <c r="C206" s="24"/>
    </row>
    <row r="207" ht="14.25" customHeight="1">
      <c r="A207" s="22"/>
      <c r="B207" s="34"/>
      <c r="C207" s="24"/>
    </row>
    <row r="208" ht="14.25" customHeight="1">
      <c r="A208" s="22"/>
      <c r="B208" s="34"/>
      <c r="C208" s="24"/>
    </row>
    <row r="209" ht="14.25" customHeight="1">
      <c r="A209" s="22"/>
      <c r="B209" s="34"/>
      <c r="C209" s="24"/>
    </row>
    <row r="210" ht="14.25" customHeight="1">
      <c r="A210" s="22"/>
      <c r="B210" s="34"/>
      <c r="C210" s="24"/>
    </row>
    <row r="211" ht="14.25" customHeight="1">
      <c r="A211" s="22"/>
      <c r="B211" s="34"/>
      <c r="C211" s="24"/>
    </row>
    <row r="212" ht="14.25" customHeight="1">
      <c r="A212" s="22"/>
      <c r="B212" s="34"/>
      <c r="C212" s="24"/>
    </row>
    <row r="213" ht="14.25" customHeight="1">
      <c r="A213" s="22"/>
      <c r="B213" s="34"/>
      <c r="C213" s="24"/>
    </row>
    <row r="214" ht="14.25" customHeight="1">
      <c r="A214" s="22"/>
      <c r="B214" s="34"/>
      <c r="C214" s="24"/>
    </row>
    <row r="215" ht="14.25" customHeight="1">
      <c r="A215" s="22"/>
      <c r="B215" s="34"/>
      <c r="C215" s="24"/>
    </row>
    <row r="216" ht="14.25" customHeight="1">
      <c r="A216" s="22"/>
      <c r="B216" s="34"/>
      <c r="C216" s="24"/>
    </row>
    <row r="217" ht="14.25" customHeight="1">
      <c r="A217" s="22"/>
      <c r="B217" s="34"/>
      <c r="C217" s="24"/>
    </row>
    <row r="218" ht="14.25" customHeight="1">
      <c r="A218" s="22"/>
      <c r="B218" s="34"/>
      <c r="C218" s="24"/>
    </row>
    <row r="219" ht="14.25" customHeight="1">
      <c r="A219" s="22"/>
      <c r="B219" s="34"/>
      <c r="C219" s="24"/>
    </row>
    <row r="220" ht="14.25" customHeight="1">
      <c r="A220" s="22"/>
      <c r="B220" s="34"/>
      <c r="C220" s="24"/>
    </row>
    <row r="221" ht="14.25" customHeight="1">
      <c r="A221" s="22"/>
      <c r="B221" s="34"/>
      <c r="C221" s="24"/>
    </row>
    <row r="222" ht="14.25" customHeight="1">
      <c r="A222" s="22"/>
      <c r="B222" s="34"/>
      <c r="C222" s="24"/>
    </row>
    <row r="223" ht="14.25" customHeight="1">
      <c r="A223" s="22"/>
      <c r="B223" s="34"/>
      <c r="C223" s="24"/>
    </row>
    <row r="224" ht="14.25" customHeight="1">
      <c r="A224" s="22"/>
      <c r="B224" s="34"/>
      <c r="C224" s="24"/>
    </row>
    <row r="225" ht="14.25" customHeight="1">
      <c r="A225" s="22"/>
      <c r="B225" s="34"/>
      <c r="C225" s="24"/>
    </row>
    <row r="226" ht="14.25" customHeight="1">
      <c r="A226" s="22"/>
      <c r="B226" s="34"/>
      <c r="C226" s="24"/>
    </row>
    <row r="227" ht="14.25" customHeight="1">
      <c r="A227" s="22"/>
      <c r="B227" s="34"/>
      <c r="C227" s="24"/>
    </row>
    <row r="228" ht="14.25" customHeight="1">
      <c r="A228" s="22"/>
      <c r="B228" s="34"/>
      <c r="C228" s="24"/>
    </row>
    <row r="229" ht="14.25" customHeight="1">
      <c r="A229" s="22"/>
      <c r="B229" s="34"/>
      <c r="C229" s="24"/>
    </row>
    <row r="230" ht="14.25" customHeight="1">
      <c r="A230" s="22"/>
      <c r="B230" s="34"/>
      <c r="C230" s="24"/>
    </row>
    <row r="231" ht="14.25" customHeight="1">
      <c r="A231" s="22"/>
      <c r="B231" s="34"/>
      <c r="C231" s="24"/>
    </row>
    <row r="232" ht="14.25" customHeight="1">
      <c r="A232" s="22"/>
      <c r="B232" s="34"/>
      <c r="C232" s="24"/>
    </row>
    <row r="233" ht="14.25" customHeight="1">
      <c r="A233" s="22"/>
      <c r="B233" s="34"/>
      <c r="C233" s="24"/>
    </row>
    <row r="234" ht="14.25" customHeight="1">
      <c r="A234" s="22"/>
      <c r="B234" s="34"/>
      <c r="C234" s="24"/>
    </row>
    <row r="235" ht="14.25" customHeight="1">
      <c r="A235" s="22"/>
      <c r="B235" s="34"/>
      <c r="C235" s="24"/>
    </row>
    <row r="236" ht="14.25" customHeight="1">
      <c r="A236" s="22"/>
      <c r="B236" s="34"/>
      <c r="C236" s="24"/>
    </row>
    <row r="237" ht="14.25" customHeight="1">
      <c r="A237" s="22"/>
      <c r="B237" s="34"/>
      <c r="C237" s="24"/>
    </row>
    <row r="238" ht="14.25" customHeight="1">
      <c r="A238" s="22"/>
      <c r="B238" s="34"/>
      <c r="C238" s="24"/>
    </row>
    <row r="239" ht="14.25" customHeight="1">
      <c r="A239" s="22"/>
      <c r="B239" s="34"/>
      <c r="C239" s="24"/>
    </row>
    <row r="240" ht="14.25" customHeight="1">
      <c r="A240" s="22"/>
      <c r="B240" s="34"/>
      <c r="C240" s="24"/>
    </row>
    <row r="241" ht="14.25" customHeight="1">
      <c r="A241" s="22"/>
      <c r="B241" s="34"/>
      <c r="C241" s="24"/>
    </row>
    <row r="242" ht="14.25" customHeight="1">
      <c r="A242" s="22"/>
      <c r="B242" s="34"/>
      <c r="C242" s="24"/>
    </row>
    <row r="243" ht="14.25" customHeight="1">
      <c r="A243" s="22"/>
      <c r="B243" s="34"/>
      <c r="C243" s="24"/>
    </row>
    <row r="244" ht="14.25" customHeight="1">
      <c r="A244" s="22"/>
      <c r="B244" s="34"/>
      <c r="C244" s="24"/>
    </row>
    <row r="245" ht="14.25" customHeight="1">
      <c r="A245" s="22"/>
      <c r="B245" s="34"/>
      <c r="C245" s="24"/>
    </row>
    <row r="246" ht="14.25" customHeight="1">
      <c r="A246" s="22"/>
      <c r="B246" s="34"/>
      <c r="C246" s="24"/>
    </row>
    <row r="247" ht="14.25" customHeight="1">
      <c r="A247" s="22"/>
      <c r="B247" s="34"/>
      <c r="C247" s="24"/>
    </row>
    <row r="248" ht="14.25" customHeight="1">
      <c r="A248" s="22"/>
      <c r="B248" s="34"/>
      <c r="C248" s="24"/>
    </row>
    <row r="249" ht="14.25" customHeight="1">
      <c r="A249" s="22"/>
      <c r="B249" s="34"/>
      <c r="C249" s="24"/>
    </row>
    <row r="250" ht="14.25" customHeight="1">
      <c r="A250" s="22"/>
      <c r="B250" s="34"/>
      <c r="C250" s="24"/>
    </row>
    <row r="251" ht="14.25" customHeight="1">
      <c r="A251" s="22"/>
      <c r="B251" s="34"/>
      <c r="C251" s="24"/>
    </row>
    <row r="252" ht="14.25" customHeight="1">
      <c r="A252" s="22"/>
      <c r="B252" s="34"/>
      <c r="C252" s="24"/>
    </row>
    <row r="253" ht="14.25" customHeight="1">
      <c r="A253" s="22"/>
      <c r="B253" s="34"/>
      <c r="C253" s="24"/>
    </row>
    <row r="254" ht="14.25" customHeight="1">
      <c r="A254" s="22"/>
      <c r="B254" s="34"/>
      <c r="C254" s="24"/>
    </row>
    <row r="255" ht="14.25" customHeight="1">
      <c r="A255" s="22"/>
      <c r="B255" s="34"/>
      <c r="C255" s="24"/>
    </row>
    <row r="256" ht="14.25" customHeight="1">
      <c r="A256" s="22"/>
      <c r="B256" s="34"/>
      <c r="C256" s="24"/>
    </row>
    <row r="257" ht="14.25" customHeight="1">
      <c r="A257" s="22"/>
      <c r="B257" s="34"/>
      <c r="C257" s="24"/>
    </row>
    <row r="258" ht="14.25" customHeight="1">
      <c r="A258" s="22"/>
      <c r="B258" s="34"/>
      <c r="C258" s="24"/>
    </row>
    <row r="259" ht="14.25" customHeight="1">
      <c r="A259" s="22"/>
      <c r="B259" s="34"/>
      <c r="C259" s="24"/>
    </row>
    <row r="260" ht="14.25" customHeight="1">
      <c r="A260" s="22"/>
      <c r="B260" s="34"/>
      <c r="C260" s="24"/>
    </row>
    <row r="261" ht="14.25" customHeight="1">
      <c r="A261" s="22"/>
      <c r="B261" s="34"/>
      <c r="C261" s="24"/>
    </row>
    <row r="262" ht="14.25" customHeight="1">
      <c r="A262" s="22"/>
      <c r="B262" s="34"/>
      <c r="C262" s="24"/>
    </row>
    <row r="263" ht="14.25" customHeight="1">
      <c r="A263" s="22"/>
      <c r="B263" s="34"/>
      <c r="C263" s="24"/>
    </row>
    <row r="264" ht="14.25" customHeight="1">
      <c r="A264" s="22"/>
      <c r="B264" s="34"/>
      <c r="C264" s="24"/>
    </row>
    <row r="265" ht="14.25" customHeight="1">
      <c r="A265" s="22"/>
      <c r="B265" s="34"/>
      <c r="C265" s="24"/>
    </row>
    <row r="266" ht="14.25" customHeight="1">
      <c r="A266" s="22"/>
      <c r="B266" s="34"/>
      <c r="C266" s="24"/>
    </row>
    <row r="267" ht="14.25" customHeight="1">
      <c r="A267" s="22"/>
      <c r="B267" s="34"/>
      <c r="C267" s="24"/>
    </row>
    <row r="268" ht="14.25" customHeight="1">
      <c r="A268" s="22"/>
      <c r="B268" s="34"/>
      <c r="C268" s="24"/>
    </row>
    <row r="269" ht="14.25" customHeight="1">
      <c r="A269" s="22"/>
      <c r="B269" s="34"/>
      <c r="C269" s="24"/>
    </row>
    <row r="270" ht="14.25" customHeight="1">
      <c r="A270" s="22"/>
      <c r="B270" s="34"/>
      <c r="C270" s="24"/>
    </row>
    <row r="271" ht="14.25" customHeight="1">
      <c r="A271" s="22"/>
      <c r="B271" s="34"/>
      <c r="C271" s="24"/>
    </row>
    <row r="272" ht="14.25" customHeight="1">
      <c r="A272" s="22"/>
      <c r="B272" s="34"/>
      <c r="C272" s="24"/>
    </row>
    <row r="273" ht="14.25" customHeight="1">
      <c r="A273" s="22"/>
      <c r="B273" s="34"/>
      <c r="C273" s="24"/>
    </row>
    <row r="274" ht="14.25" customHeight="1">
      <c r="A274" s="22"/>
      <c r="B274" s="34"/>
      <c r="C274" s="24"/>
    </row>
    <row r="275" ht="14.25" customHeight="1">
      <c r="A275" s="22"/>
      <c r="B275" s="34"/>
      <c r="C275" s="24"/>
    </row>
    <row r="276" ht="14.25" customHeight="1">
      <c r="A276" s="22"/>
      <c r="B276" s="34"/>
      <c r="C276" s="24"/>
    </row>
    <row r="277" ht="14.25" customHeight="1">
      <c r="A277" s="22"/>
      <c r="B277" s="34"/>
      <c r="C277" s="24"/>
    </row>
    <row r="278" ht="14.25" customHeight="1">
      <c r="A278" s="22"/>
      <c r="B278" s="34"/>
      <c r="C278" s="24"/>
    </row>
    <row r="279" ht="14.25" customHeight="1">
      <c r="A279" s="22"/>
      <c r="B279" s="34"/>
      <c r="C279" s="24"/>
    </row>
    <row r="280" ht="14.25" customHeight="1">
      <c r="A280" s="22"/>
      <c r="B280" s="34"/>
      <c r="C280" s="24"/>
    </row>
    <row r="281" ht="14.25" customHeight="1">
      <c r="A281" s="22"/>
      <c r="B281" s="34"/>
      <c r="C281" s="24"/>
    </row>
    <row r="282" ht="14.25" customHeight="1">
      <c r="A282" s="22"/>
      <c r="B282" s="34"/>
      <c r="C282" s="24"/>
    </row>
    <row r="283" ht="14.25" customHeight="1">
      <c r="A283" s="22"/>
      <c r="B283" s="34"/>
      <c r="C283" s="24"/>
    </row>
    <row r="284" ht="14.25" customHeight="1">
      <c r="A284" s="22"/>
      <c r="B284" s="34"/>
      <c r="C284" s="24"/>
    </row>
    <row r="285" ht="14.25" customHeight="1">
      <c r="A285" s="22"/>
      <c r="B285" s="34"/>
      <c r="C285" s="24"/>
    </row>
    <row r="286" ht="14.25" customHeight="1">
      <c r="A286" s="22"/>
      <c r="B286" s="34"/>
      <c r="C286" s="24"/>
    </row>
    <row r="287" ht="14.25" customHeight="1">
      <c r="A287" s="22"/>
      <c r="B287" s="34"/>
      <c r="C287" s="24"/>
    </row>
    <row r="288" ht="14.25" customHeight="1">
      <c r="A288" s="22"/>
      <c r="B288" s="34"/>
      <c r="C288" s="24"/>
    </row>
    <row r="289" ht="14.25" customHeight="1">
      <c r="A289" s="22"/>
      <c r="B289" s="34"/>
      <c r="C289" s="24"/>
    </row>
    <row r="290" ht="14.25" customHeight="1">
      <c r="A290" s="22"/>
      <c r="B290" s="34"/>
      <c r="C290" s="24"/>
    </row>
    <row r="291" ht="14.25" customHeight="1">
      <c r="A291" s="22"/>
      <c r="B291" s="34"/>
      <c r="C291" s="24"/>
    </row>
    <row r="292" ht="14.25" customHeight="1">
      <c r="A292" s="22"/>
      <c r="B292" s="34"/>
      <c r="C292" s="24"/>
    </row>
    <row r="293" ht="14.25" customHeight="1">
      <c r="A293" s="22"/>
      <c r="B293" s="34"/>
      <c r="C293" s="24"/>
    </row>
    <row r="294" ht="14.25" customHeight="1">
      <c r="A294" s="22"/>
      <c r="B294" s="34"/>
      <c r="C294" s="24"/>
    </row>
    <row r="295" ht="14.25" customHeight="1">
      <c r="A295" s="22"/>
      <c r="B295" s="34"/>
      <c r="C295" s="24"/>
    </row>
    <row r="296" ht="14.25" customHeight="1">
      <c r="A296" s="22"/>
      <c r="B296" s="34"/>
      <c r="C296" s="24"/>
    </row>
    <row r="297" ht="14.25" customHeight="1">
      <c r="A297" s="22"/>
      <c r="B297" s="34"/>
      <c r="C297" s="24"/>
    </row>
    <row r="298" ht="14.25" customHeight="1">
      <c r="A298" s="22"/>
      <c r="B298" s="34"/>
      <c r="C298" s="24"/>
    </row>
    <row r="299" ht="14.25" customHeight="1">
      <c r="A299" s="22"/>
      <c r="B299" s="34"/>
      <c r="C299" s="24"/>
    </row>
    <row r="300" ht="14.25" customHeight="1">
      <c r="A300" s="22"/>
      <c r="B300" s="34"/>
      <c r="C300" s="24"/>
    </row>
    <row r="301" ht="14.25" customHeight="1">
      <c r="A301" s="22"/>
      <c r="B301" s="34"/>
      <c r="C301" s="24"/>
    </row>
    <row r="302" ht="14.25" customHeight="1">
      <c r="A302" s="22"/>
      <c r="B302" s="34"/>
      <c r="C302" s="24"/>
    </row>
    <row r="303" ht="14.25" customHeight="1">
      <c r="A303" s="22"/>
      <c r="B303" s="34"/>
      <c r="C303" s="24"/>
    </row>
    <row r="304" ht="14.25" customHeight="1">
      <c r="A304" s="22"/>
      <c r="B304" s="34"/>
      <c r="C304" s="24"/>
    </row>
    <row r="305" ht="14.25" customHeight="1">
      <c r="A305" s="22"/>
      <c r="B305" s="34"/>
      <c r="C305" s="24"/>
    </row>
    <row r="306" ht="14.25" customHeight="1">
      <c r="A306" s="22"/>
      <c r="B306" s="34"/>
      <c r="C306" s="24"/>
    </row>
    <row r="307" ht="14.25" customHeight="1">
      <c r="A307" s="22"/>
      <c r="B307" s="34"/>
      <c r="C307" s="24"/>
    </row>
    <row r="308" ht="14.25" customHeight="1">
      <c r="A308" s="22"/>
      <c r="B308" s="34"/>
      <c r="C308" s="24"/>
    </row>
    <row r="309" ht="14.25" customHeight="1">
      <c r="A309" s="22"/>
      <c r="B309" s="34"/>
      <c r="C309" s="24"/>
    </row>
    <row r="310" ht="14.25" customHeight="1">
      <c r="A310" s="22"/>
      <c r="B310" s="34"/>
      <c r="C310" s="24"/>
    </row>
    <row r="311" ht="14.25" customHeight="1">
      <c r="A311" s="22"/>
      <c r="B311" s="34"/>
      <c r="C311" s="24"/>
    </row>
    <row r="312" ht="14.25" customHeight="1">
      <c r="A312" s="22"/>
      <c r="B312" s="34"/>
      <c r="C312" s="24"/>
    </row>
    <row r="313" ht="14.25" customHeight="1">
      <c r="A313" s="22"/>
      <c r="B313" s="34"/>
      <c r="C313" s="24"/>
    </row>
    <row r="314" ht="14.25" customHeight="1">
      <c r="A314" s="22"/>
      <c r="B314" s="34"/>
      <c r="C314" s="24"/>
    </row>
    <row r="315" ht="14.25" customHeight="1">
      <c r="A315" s="22"/>
      <c r="B315" s="34"/>
      <c r="C315" s="24"/>
    </row>
    <row r="316" ht="14.25" customHeight="1">
      <c r="A316" s="22"/>
      <c r="B316" s="34"/>
      <c r="C316" s="24"/>
    </row>
    <row r="317" ht="14.25" customHeight="1">
      <c r="A317" s="22"/>
      <c r="B317" s="34"/>
      <c r="C317" s="24"/>
    </row>
    <row r="318" ht="14.25" customHeight="1">
      <c r="A318" s="22"/>
      <c r="B318" s="34"/>
      <c r="C318" s="24"/>
    </row>
    <row r="319" ht="14.25" customHeight="1">
      <c r="A319" s="22"/>
      <c r="B319" s="34"/>
      <c r="C319" s="24"/>
    </row>
    <row r="320" ht="14.25" customHeight="1">
      <c r="A320" s="22"/>
      <c r="B320" s="34"/>
      <c r="C320" s="24"/>
    </row>
    <row r="321" ht="14.25" customHeight="1">
      <c r="A321" s="22"/>
      <c r="B321" s="34"/>
      <c r="C321" s="24"/>
    </row>
    <row r="322" ht="14.25" customHeight="1">
      <c r="A322" s="22"/>
      <c r="B322" s="34"/>
      <c r="C322" s="24"/>
    </row>
    <row r="323" ht="14.25" customHeight="1">
      <c r="A323" s="22"/>
      <c r="B323" s="34"/>
      <c r="C323" s="24"/>
    </row>
    <row r="324" ht="14.25" customHeight="1">
      <c r="A324" s="22"/>
      <c r="B324" s="34"/>
      <c r="C324" s="24"/>
    </row>
    <row r="325" ht="14.25" customHeight="1">
      <c r="A325" s="22"/>
      <c r="B325" s="34"/>
      <c r="C325" s="24"/>
    </row>
    <row r="326" ht="14.25" customHeight="1">
      <c r="A326" s="22"/>
      <c r="B326" s="34"/>
      <c r="C326" s="24"/>
    </row>
    <row r="327" ht="14.25" customHeight="1">
      <c r="A327" s="22"/>
      <c r="B327" s="34"/>
      <c r="C327" s="24"/>
    </row>
    <row r="328" ht="14.25" customHeight="1">
      <c r="A328" s="22"/>
      <c r="B328" s="34"/>
      <c r="C328" s="24"/>
    </row>
    <row r="329" ht="14.25" customHeight="1">
      <c r="A329" s="22"/>
      <c r="B329" s="34"/>
      <c r="C329" s="24"/>
    </row>
    <row r="330" ht="14.25" customHeight="1">
      <c r="A330" s="22"/>
      <c r="B330" s="34"/>
      <c r="C330" s="24"/>
    </row>
    <row r="331" ht="14.25" customHeight="1">
      <c r="A331" s="22"/>
      <c r="B331" s="34"/>
      <c r="C331" s="24"/>
    </row>
    <row r="332" ht="14.25" customHeight="1">
      <c r="A332" s="22"/>
      <c r="B332" s="34"/>
      <c r="C332" s="24"/>
    </row>
    <row r="333" ht="14.25" customHeight="1">
      <c r="A333" s="22"/>
      <c r="B333" s="34"/>
      <c r="C333" s="24"/>
    </row>
    <row r="334" ht="14.25" customHeight="1">
      <c r="A334" s="22"/>
      <c r="B334" s="34"/>
      <c r="C334" s="24"/>
    </row>
    <row r="335" ht="14.25" customHeight="1">
      <c r="A335" s="22"/>
      <c r="B335" s="34"/>
      <c r="C335" s="24"/>
    </row>
    <row r="336" ht="14.25" customHeight="1">
      <c r="A336" s="22"/>
      <c r="B336" s="34"/>
      <c r="C336" s="24"/>
    </row>
    <row r="337" ht="14.25" customHeight="1">
      <c r="A337" s="22"/>
      <c r="B337" s="34"/>
      <c r="C337" s="24"/>
    </row>
    <row r="338" ht="14.25" customHeight="1">
      <c r="A338" s="22"/>
      <c r="B338" s="34"/>
      <c r="C338" s="24"/>
    </row>
    <row r="339" ht="14.25" customHeight="1">
      <c r="A339" s="22"/>
      <c r="B339" s="34"/>
      <c r="C339" s="24"/>
    </row>
    <row r="340" ht="14.25" customHeight="1">
      <c r="A340" s="22"/>
      <c r="B340" s="34"/>
      <c r="C340" s="24"/>
    </row>
    <row r="341" ht="14.25" customHeight="1">
      <c r="A341" s="22"/>
      <c r="B341" s="34"/>
      <c r="C341" s="24"/>
    </row>
    <row r="342" ht="14.25" customHeight="1">
      <c r="A342" s="22"/>
      <c r="B342" s="34"/>
      <c r="C342" s="24"/>
    </row>
    <row r="343" ht="14.25" customHeight="1">
      <c r="A343" s="22"/>
      <c r="B343" s="34"/>
      <c r="C343" s="24"/>
    </row>
    <row r="344" ht="14.25" customHeight="1">
      <c r="A344" s="22"/>
      <c r="B344" s="34"/>
      <c r="C344" s="24"/>
    </row>
    <row r="345" ht="14.25" customHeight="1">
      <c r="A345" s="22"/>
      <c r="B345" s="34"/>
      <c r="C345" s="24"/>
    </row>
    <row r="346" ht="14.25" customHeight="1">
      <c r="A346" s="22"/>
      <c r="B346" s="34"/>
      <c r="C346" s="24"/>
    </row>
    <row r="347" ht="14.25" customHeight="1">
      <c r="A347" s="22"/>
      <c r="B347" s="34"/>
      <c r="C347" s="24"/>
    </row>
    <row r="348" ht="14.25" customHeight="1">
      <c r="A348" s="22"/>
      <c r="B348" s="34"/>
      <c r="C348" s="24"/>
    </row>
    <row r="349" ht="14.25" customHeight="1">
      <c r="A349" s="22"/>
      <c r="B349" s="34"/>
      <c r="C349" s="24"/>
    </row>
    <row r="350" ht="14.25" customHeight="1">
      <c r="A350" s="22"/>
      <c r="B350" s="34"/>
      <c r="C350" s="24"/>
    </row>
    <row r="351" ht="14.25" customHeight="1">
      <c r="A351" s="22"/>
      <c r="B351" s="34"/>
      <c r="C351" s="24"/>
    </row>
    <row r="352" ht="14.25" customHeight="1">
      <c r="A352" s="22"/>
      <c r="B352" s="34"/>
      <c r="C352" s="24"/>
    </row>
    <row r="353" ht="14.25" customHeight="1">
      <c r="A353" s="22"/>
      <c r="B353" s="34"/>
      <c r="C353" s="24"/>
    </row>
    <row r="354" ht="14.25" customHeight="1">
      <c r="A354" s="22"/>
      <c r="B354" s="34"/>
      <c r="C354" s="24"/>
    </row>
    <row r="355" ht="14.25" customHeight="1">
      <c r="A355" s="22"/>
      <c r="B355" s="34"/>
      <c r="C355" s="24"/>
    </row>
    <row r="356" ht="14.25" customHeight="1">
      <c r="A356" s="22"/>
      <c r="B356" s="34"/>
      <c r="C356" s="24"/>
    </row>
    <row r="357" ht="14.25" customHeight="1">
      <c r="A357" s="22"/>
      <c r="B357" s="34"/>
      <c r="C357" s="24"/>
    </row>
    <row r="358" ht="14.25" customHeight="1">
      <c r="A358" s="22"/>
      <c r="B358" s="34"/>
      <c r="C358" s="24"/>
    </row>
    <row r="359" ht="14.25" customHeight="1">
      <c r="A359" s="22"/>
      <c r="B359" s="34"/>
      <c r="C359" s="24"/>
    </row>
    <row r="360" ht="14.25" customHeight="1">
      <c r="A360" s="22"/>
      <c r="B360" s="34"/>
      <c r="C360" s="24"/>
    </row>
    <row r="361" ht="14.25" customHeight="1">
      <c r="A361" s="22"/>
      <c r="B361" s="34"/>
      <c r="C361" s="24"/>
    </row>
    <row r="362" ht="14.25" customHeight="1">
      <c r="A362" s="22"/>
      <c r="B362" s="34"/>
      <c r="C362" s="24"/>
    </row>
    <row r="363" ht="14.25" customHeight="1">
      <c r="A363" s="22"/>
      <c r="B363" s="34"/>
      <c r="C363" s="24"/>
    </row>
    <row r="364" ht="14.25" customHeight="1">
      <c r="A364" s="22"/>
      <c r="B364" s="34"/>
      <c r="C364" s="24"/>
    </row>
    <row r="365" ht="14.25" customHeight="1">
      <c r="A365" s="22"/>
      <c r="B365" s="34"/>
      <c r="C365" s="24"/>
    </row>
    <row r="366" ht="14.25" customHeight="1">
      <c r="A366" s="22"/>
      <c r="B366" s="34"/>
      <c r="C366" s="24"/>
    </row>
    <row r="367" ht="14.25" customHeight="1">
      <c r="A367" s="22"/>
      <c r="B367" s="34"/>
      <c r="C367" s="24"/>
    </row>
    <row r="368" ht="14.25" customHeight="1">
      <c r="A368" s="22"/>
      <c r="B368" s="34"/>
      <c r="C368" s="24"/>
    </row>
    <row r="369" ht="14.25" customHeight="1">
      <c r="A369" s="22"/>
      <c r="B369" s="34"/>
      <c r="C369" s="24"/>
    </row>
    <row r="370" ht="14.25" customHeight="1">
      <c r="A370" s="22"/>
      <c r="B370" s="34"/>
      <c r="C370" s="24"/>
    </row>
    <row r="371" ht="14.25" customHeight="1">
      <c r="A371" s="22"/>
      <c r="B371" s="34"/>
      <c r="C371" s="24"/>
    </row>
    <row r="372" ht="14.25" customHeight="1">
      <c r="A372" s="22"/>
      <c r="B372" s="34"/>
      <c r="C372" s="24"/>
    </row>
    <row r="373" ht="14.25" customHeight="1">
      <c r="A373" s="22"/>
      <c r="B373" s="34"/>
      <c r="C373" s="24"/>
    </row>
    <row r="374" ht="14.25" customHeight="1">
      <c r="A374" s="22"/>
      <c r="B374" s="34"/>
      <c r="C374" s="24"/>
    </row>
    <row r="375" ht="14.25" customHeight="1">
      <c r="A375" s="22"/>
      <c r="B375" s="34"/>
      <c r="C375" s="24"/>
    </row>
    <row r="376" ht="14.25" customHeight="1">
      <c r="A376" s="22"/>
      <c r="B376" s="34"/>
      <c r="C376" s="24"/>
    </row>
    <row r="377" ht="14.25" customHeight="1">
      <c r="A377" s="22"/>
      <c r="B377" s="34"/>
      <c r="C377" s="24"/>
    </row>
    <row r="378" ht="14.25" customHeight="1">
      <c r="A378" s="22"/>
      <c r="B378" s="34"/>
      <c r="C378" s="24"/>
    </row>
    <row r="379" ht="14.25" customHeight="1">
      <c r="A379" s="22"/>
      <c r="B379" s="34"/>
      <c r="C379" s="24"/>
    </row>
    <row r="380" ht="14.25" customHeight="1">
      <c r="A380" s="22"/>
      <c r="B380" s="34"/>
      <c r="C380" s="24"/>
    </row>
    <row r="381" ht="14.25" customHeight="1">
      <c r="A381" s="22"/>
      <c r="B381" s="34"/>
      <c r="C381" s="24"/>
    </row>
    <row r="382" ht="14.25" customHeight="1">
      <c r="A382" s="22"/>
      <c r="B382" s="34"/>
      <c r="C382" s="24"/>
    </row>
    <row r="383" ht="14.25" customHeight="1">
      <c r="A383" s="22"/>
      <c r="B383" s="34"/>
      <c r="C383" s="24"/>
    </row>
    <row r="384" ht="14.25" customHeight="1">
      <c r="A384" s="22"/>
      <c r="B384" s="34"/>
      <c r="C384" s="24"/>
    </row>
    <row r="385" ht="14.25" customHeight="1">
      <c r="A385" s="22"/>
      <c r="B385" s="34"/>
      <c r="C385" s="24"/>
    </row>
    <row r="386" ht="14.25" customHeight="1">
      <c r="A386" s="22"/>
      <c r="B386" s="34"/>
      <c r="C386" s="24"/>
    </row>
    <row r="387" ht="14.25" customHeight="1">
      <c r="A387" s="22"/>
      <c r="B387" s="34"/>
      <c r="C387" s="24"/>
    </row>
    <row r="388" ht="14.25" customHeight="1">
      <c r="A388" s="22"/>
      <c r="B388" s="34"/>
      <c r="C388" s="24"/>
    </row>
    <row r="389" ht="14.25" customHeight="1">
      <c r="A389" s="22"/>
      <c r="B389" s="34"/>
      <c r="C389" s="24"/>
    </row>
    <row r="390" ht="14.25" customHeight="1">
      <c r="A390" s="22"/>
      <c r="B390" s="34"/>
      <c r="C390" s="24"/>
    </row>
    <row r="391" ht="14.25" customHeight="1">
      <c r="A391" s="22"/>
      <c r="B391" s="34"/>
      <c r="C391" s="24"/>
    </row>
    <row r="392" ht="14.25" customHeight="1">
      <c r="A392" s="22"/>
      <c r="B392" s="34"/>
      <c r="C392" s="24"/>
    </row>
    <row r="393" ht="14.25" customHeight="1">
      <c r="A393" s="22"/>
      <c r="B393" s="34"/>
      <c r="C393" s="24"/>
    </row>
    <row r="394" ht="14.25" customHeight="1">
      <c r="A394" s="22"/>
      <c r="B394" s="34"/>
      <c r="C394" s="24"/>
    </row>
    <row r="395" ht="14.25" customHeight="1">
      <c r="A395" s="22"/>
      <c r="B395" s="34"/>
      <c r="C395" s="24"/>
    </row>
    <row r="396" ht="14.25" customHeight="1">
      <c r="A396" s="22"/>
      <c r="B396" s="34"/>
      <c r="C396" s="24"/>
    </row>
    <row r="397" ht="14.25" customHeight="1">
      <c r="A397" s="22"/>
      <c r="B397" s="34"/>
      <c r="C397" s="24"/>
    </row>
    <row r="398" ht="14.25" customHeight="1">
      <c r="A398" s="22"/>
      <c r="B398" s="34"/>
      <c r="C398" s="24"/>
    </row>
    <row r="399" ht="14.25" customHeight="1">
      <c r="A399" s="22"/>
      <c r="B399" s="34"/>
      <c r="C399" s="24"/>
    </row>
    <row r="400" ht="14.25" customHeight="1">
      <c r="A400" s="22"/>
      <c r="B400" s="34"/>
      <c r="C400" s="24"/>
    </row>
    <row r="401" ht="14.25" customHeight="1">
      <c r="A401" s="22"/>
      <c r="B401" s="34"/>
      <c r="C401" s="24"/>
    </row>
    <row r="402" ht="14.25" customHeight="1">
      <c r="A402" s="22"/>
      <c r="B402" s="34"/>
      <c r="C402" s="24"/>
    </row>
    <row r="403" ht="14.25" customHeight="1">
      <c r="A403" s="22"/>
      <c r="B403" s="34"/>
      <c r="C403" s="24"/>
    </row>
    <row r="404" ht="14.25" customHeight="1">
      <c r="A404" s="22"/>
      <c r="B404" s="34"/>
      <c r="C404" s="24"/>
    </row>
    <row r="405" ht="14.25" customHeight="1">
      <c r="A405" s="22"/>
      <c r="B405" s="34"/>
      <c r="C405" s="24"/>
    </row>
    <row r="406" ht="14.25" customHeight="1">
      <c r="A406" s="22"/>
      <c r="B406" s="34"/>
      <c r="C406" s="24"/>
    </row>
    <row r="407" ht="14.25" customHeight="1">
      <c r="A407" s="22"/>
      <c r="B407" s="34"/>
      <c r="C407" s="24"/>
    </row>
    <row r="408" ht="14.25" customHeight="1">
      <c r="A408" s="22"/>
      <c r="B408" s="34"/>
      <c r="C408" s="24"/>
    </row>
    <row r="409" ht="14.25" customHeight="1">
      <c r="A409" s="22"/>
      <c r="B409" s="34"/>
      <c r="C409" s="24"/>
    </row>
    <row r="410" ht="14.25" customHeight="1">
      <c r="A410" s="22"/>
      <c r="B410" s="34"/>
      <c r="C410" s="24"/>
    </row>
    <row r="411" ht="14.25" customHeight="1">
      <c r="A411" s="22"/>
      <c r="B411" s="34"/>
      <c r="C411" s="24"/>
    </row>
    <row r="412" ht="14.25" customHeight="1">
      <c r="A412" s="22"/>
      <c r="B412" s="34"/>
      <c r="C412" s="24"/>
    </row>
    <row r="413" ht="14.25" customHeight="1">
      <c r="A413" s="22"/>
      <c r="B413" s="34"/>
      <c r="C413" s="24"/>
    </row>
    <row r="414" ht="14.25" customHeight="1">
      <c r="A414" s="22"/>
      <c r="B414" s="34"/>
      <c r="C414" s="24"/>
    </row>
    <row r="415" ht="14.25" customHeight="1">
      <c r="A415" s="22"/>
      <c r="B415" s="34"/>
      <c r="C415" s="24"/>
    </row>
    <row r="416" ht="14.25" customHeight="1">
      <c r="A416" s="22"/>
      <c r="B416" s="34"/>
      <c r="C416" s="24"/>
    </row>
    <row r="417" ht="14.25" customHeight="1">
      <c r="A417" s="22"/>
      <c r="B417" s="34"/>
      <c r="C417" s="24"/>
    </row>
    <row r="418" ht="14.25" customHeight="1">
      <c r="A418" s="22"/>
      <c r="B418" s="34"/>
      <c r="C418" s="24"/>
    </row>
    <row r="419" ht="14.25" customHeight="1">
      <c r="A419" s="22"/>
      <c r="B419" s="34"/>
      <c r="C419" s="24"/>
    </row>
    <row r="420" ht="14.25" customHeight="1">
      <c r="A420" s="22"/>
      <c r="B420" s="34"/>
      <c r="C420" s="24"/>
    </row>
    <row r="421" ht="14.25" customHeight="1">
      <c r="A421" s="22"/>
      <c r="B421" s="34"/>
      <c r="C421" s="24"/>
    </row>
    <row r="422" ht="14.25" customHeight="1">
      <c r="A422" s="22"/>
      <c r="B422" s="34"/>
      <c r="C422" s="24"/>
    </row>
    <row r="423" ht="14.25" customHeight="1">
      <c r="A423" s="22"/>
      <c r="B423" s="34"/>
      <c r="C423" s="24"/>
    </row>
    <row r="424" ht="14.25" customHeight="1">
      <c r="A424" s="22"/>
      <c r="B424" s="34"/>
      <c r="C424" s="24"/>
    </row>
    <row r="425" ht="14.25" customHeight="1">
      <c r="A425" s="22"/>
      <c r="B425" s="34"/>
      <c r="C425" s="24"/>
    </row>
    <row r="426" ht="14.25" customHeight="1">
      <c r="A426" s="22"/>
      <c r="B426" s="34"/>
      <c r="C426" s="24"/>
    </row>
    <row r="427" ht="14.25" customHeight="1">
      <c r="A427" s="22"/>
      <c r="B427" s="34"/>
      <c r="C427" s="24"/>
    </row>
    <row r="428" ht="14.25" customHeight="1">
      <c r="A428" s="22"/>
      <c r="B428" s="34"/>
      <c r="C428" s="24"/>
    </row>
    <row r="429" ht="14.25" customHeight="1">
      <c r="A429" s="22"/>
      <c r="B429" s="34"/>
      <c r="C429" s="24"/>
    </row>
    <row r="430" ht="14.25" customHeight="1">
      <c r="A430" s="22"/>
      <c r="B430" s="34"/>
      <c r="C430" s="24"/>
    </row>
    <row r="431" ht="14.25" customHeight="1">
      <c r="A431" s="22"/>
      <c r="B431" s="34"/>
      <c r="C431" s="24"/>
    </row>
    <row r="432" ht="14.25" customHeight="1">
      <c r="A432" s="22"/>
      <c r="B432" s="34"/>
      <c r="C432" s="24"/>
    </row>
    <row r="433" ht="14.25" customHeight="1">
      <c r="A433" s="22"/>
      <c r="B433" s="34"/>
      <c r="C433" s="24"/>
    </row>
    <row r="434" ht="14.25" customHeight="1">
      <c r="A434" s="22"/>
      <c r="B434" s="34"/>
      <c r="C434" s="24"/>
    </row>
    <row r="435" ht="14.25" customHeight="1">
      <c r="A435" s="22"/>
      <c r="B435" s="34"/>
      <c r="C435" s="24"/>
    </row>
    <row r="436" ht="14.25" customHeight="1">
      <c r="A436" s="22"/>
      <c r="B436" s="34"/>
      <c r="C436" s="24"/>
    </row>
    <row r="437" ht="14.25" customHeight="1">
      <c r="A437" s="22"/>
      <c r="B437" s="34"/>
      <c r="C437" s="24"/>
    </row>
    <row r="438" ht="14.25" customHeight="1">
      <c r="A438" s="22"/>
      <c r="B438" s="34"/>
      <c r="C438" s="24"/>
    </row>
    <row r="439" ht="14.25" customHeight="1">
      <c r="A439" s="22"/>
      <c r="B439" s="34"/>
      <c r="C439" s="24"/>
    </row>
    <row r="440" ht="14.25" customHeight="1">
      <c r="A440" s="22"/>
      <c r="B440" s="34"/>
      <c r="C440" s="24"/>
    </row>
    <row r="441" ht="14.25" customHeight="1">
      <c r="A441" s="22"/>
      <c r="B441" s="34"/>
      <c r="C441" s="24"/>
    </row>
    <row r="442" ht="14.25" customHeight="1">
      <c r="A442" s="22"/>
      <c r="B442" s="34"/>
      <c r="C442" s="24"/>
    </row>
    <row r="443" ht="14.25" customHeight="1">
      <c r="A443" s="22"/>
      <c r="B443" s="34"/>
      <c r="C443" s="24"/>
    </row>
    <row r="444" ht="14.25" customHeight="1">
      <c r="A444" s="22"/>
      <c r="B444" s="34"/>
      <c r="C444" s="24"/>
    </row>
    <row r="445" ht="14.25" customHeight="1">
      <c r="A445" s="22"/>
      <c r="B445" s="34"/>
      <c r="C445" s="24"/>
    </row>
    <row r="446" ht="14.25" customHeight="1">
      <c r="A446" s="22"/>
      <c r="B446" s="34"/>
      <c r="C446" s="24"/>
    </row>
    <row r="447" ht="14.25" customHeight="1">
      <c r="A447" s="22"/>
      <c r="B447" s="34"/>
      <c r="C447" s="24"/>
    </row>
    <row r="448" ht="14.25" customHeight="1">
      <c r="A448" s="22"/>
      <c r="B448" s="34"/>
      <c r="C448" s="24"/>
    </row>
    <row r="449" ht="14.25" customHeight="1">
      <c r="A449" s="22"/>
      <c r="B449" s="34"/>
      <c r="C449" s="24"/>
    </row>
    <row r="450" ht="14.25" customHeight="1">
      <c r="A450" s="22"/>
      <c r="B450" s="34"/>
      <c r="C450" s="24"/>
    </row>
    <row r="451" ht="14.25" customHeight="1">
      <c r="A451" s="22"/>
      <c r="B451" s="34"/>
      <c r="C451" s="24"/>
    </row>
    <row r="452" ht="14.25" customHeight="1">
      <c r="A452" s="22"/>
      <c r="B452" s="34"/>
      <c r="C452" s="24"/>
    </row>
    <row r="453" ht="14.25" customHeight="1">
      <c r="A453" s="22"/>
      <c r="B453" s="34"/>
      <c r="C453" s="24"/>
    </row>
    <row r="454" ht="14.25" customHeight="1">
      <c r="A454" s="22"/>
      <c r="B454" s="34"/>
      <c r="C454" s="24"/>
    </row>
    <row r="455" ht="14.25" customHeight="1">
      <c r="A455" s="22"/>
      <c r="B455" s="34"/>
      <c r="C455" s="24"/>
    </row>
    <row r="456" ht="14.25" customHeight="1">
      <c r="A456" s="22"/>
      <c r="B456" s="34"/>
      <c r="C456" s="24"/>
    </row>
    <row r="457" ht="14.25" customHeight="1">
      <c r="A457" s="22"/>
      <c r="B457" s="34"/>
      <c r="C457" s="24"/>
    </row>
    <row r="458" ht="14.25" customHeight="1">
      <c r="A458" s="22"/>
      <c r="B458" s="34"/>
      <c r="C458" s="24"/>
    </row>
    <row r="459" ht="14.25" customHeight="1">
      <c r="A459" s="22"/>
      <c r="B459" s="34"/>
      <c r="C459" s="24"/>
    </row>
    <row r="460" ht="14.25" customHeight="1">
      <c r="A460" s="22"/>
      <c r="B460" s="34"/>
      <c r="C460" s="24"/>
    </row>
    <row r="461" ht="14.25" customHeight="1">
      <c r="A461" s="22"/>
      <c r="B461" s="34"/>
      <c r="C461" s="24"/>
    </row>
    <row r="462" ht="14.25" customHeight="1">
      <c r="A462" s="22"/>
      <c r="B462" s="34"/>
      <c r="C462" s="24"/>
    </row>
    <row r="463" ht="14.25" customHeight="1">
      <c r="A463" s="22"/>
      <c r="B463" s="34"/>
      <c r="C463" s="24"/>
    </row>
    <row r="464" ht="14.25" customHeight="1">
      <c r="A464" s="22"/>
      <c r="B464" s="34"/>
      <c r="C464" s="24"/>
    </row>
    <row r="465" ht="14.25" customHeight="1">
      <c r="A465" s="22"/>
      <c r="B465" s="34"/>
      <c r="C465" s="24"/>
    </row>
    <row r="466" ht="14.25" customHeight="1">
      <c r="A466" s="22"/>
      <c r="B466" s="34"/>
      <c r="C466" s="24"/>
    </row>
    <row r="467" ht="14.25" customHeight="1">
      <c r="A467" s="22"/>
      <c r="B467" s="34"/>
      <c r="C467" s="24"/>
    </row>
    <row r="468" ht="14.25" customHeight="1">
      <c r="A468" s="22"/>
      <c r="B468" s="34"/>
      <c r="C468" s="24"/>
    </row>
    <row r="469" ht="14.25" customHeight="1">
      <c r="A469" s="22"/>
      <c r="B469" s="34"/>
      <c r="C469" s="24"/>
    </row>
    <row r="470" ht="14.25" customHeight="1">
      <c r="A470" s="22"/>
      <c r="B470" s="34"/>
      <c r="C470" s="24"/>
    </row>
    <row r="471" ht="14.25" customHeight="1">
      <c r="A471" s="22"/>
      <c r="B471" s="34"/>
      <c r="C471" s="24"/>
    </row>
    <row r="472" ht="14.25" customHeight="1">
      <c r="A472" s="22"/>
      <c r="B472" s="34"/>
      <c r="C472" s="24"/>
    </row>
    <row r="473" ht="14.25" customHeight="1">
      <c r="A473" s="22"/>
      <c r="B473" s="34"/>
      <c r="C473" s="24"/>
    </row>
    <row r="474" ht="14.25" customHeight="1">
      <c r="A474" s="22"/>
      <c r="B474" s="34"/>
      <c r="C474" s="24"/>
    </row>
    <row r="475" ht="14.25" customHeight="1">
      <c r="A475" s="22"/>
      <c r="B475" s="34"/>
      <c r="C475" s="24"/>
    </row>
    <row r="476" ht="14.25" customHeight="1">
      <c r="A476" s="22"/>
      <c r="B476" s="34"/>
      <c r="C476" s="24"/>
    </row>
    <row r="477" ht="14.25" customHeight="1">
      <c r="A477" s="22"/>
      <c r="B477" s="34"/>
      <c r="C477" s="24"/>
    </row>
    <row r="478" ht="14.25" customHeight="1">
      <c r="A478" s="22"/>
      <c r="B478" s="34"/>
      <c r="C478" s="24"/>
    </row>
    <row r="479" ht="14.25" customHeight="1">
      <c r="A479" s="22"/>
      <c r="B479" s="34"/>
      <c r="C479" s="24"/>
    </row>
    <row r="480" ht="14.25" customHeight="1">
      <c r="A480" s="22"/>
      <c r="B480" s="34"/>
      <c r="C480" s="24"/>
    </row>
    <row r="481" ht="14.25" customHeight="1">
      <c r="A481" s="22"/>
      <c r="B481" s="34"/>
      <c r="C481" s="24"/>
    </row>
    <row r="482" ht="14.25" customHeight="1">
      <c r="A482" s="22"/>
      <c r="B482" s="34"/>
      <c r="C482" s="24"/>
    </row>
    <row r="483" ht="14.25" customHeight="1">
      <c r="A483" s="22"/>
      <c r="B483" s="34"/>
      <c r="C483" s="24"/>
    </row>
    <row r="484" ht="14.25" customHeight="1">
      <c r="A484" s="22"/>
      <c r="B484" s="34"/>
      <c r="C484" s="24"/>
    </row>
    <row r="485" ht="14.25" customHeight="1">
      <c r="A485" s="22"/>
      <c r="B485" s="34"/>
      <c r="C485" s="24"/>
    </row>
    <row r="486" ht="14.25" customHeight="1">
      <c r="A486" s="22"/>
      <c r="B486" s="34"/>
      <c r="C486" s="24"/>
    </row>
    <row r="487" ht="14.25" customHeight="1">
      <c r="A487" s="22"/>
      <c r="B487" s="34"/>
      <c r="C487" s="24"/>
    </row>
    <row r="488" ht="14.25" customHeight="1">
      <c r="A488" s="22"/>
      <c r="B488" s="34"/>
      <c r="C488" s="24"/>
    </row>
    <row r="489" ht="14.25" customHeight="1">
      <c r="A489" s="22"/>
      <c r="B489" s="34"/>
      <c r="C489" s="24"/>
    </row>
    <row r="490" ht="14.25" customHeight="1">
      <c r="A490" s="22"/>
      <c r="B490" s="34"/>
      <c r="C490" s="24"/>
    </row>
    <row r="491" ht="14.25" customHeight="1">
      <c r="A491" s="22"/>
      <c r="B491" s="34"/>
      <c r="C491" s="24"/>
    </row>
    <row r="492" ht="14.25" customHeight="1">
      <c r="A492" s="22"/>
      <c r="B492" s="34"/>
      <c r="C492" s="24"/>
    </row>
    <row r="493" ht="14.25" customHeight="1">
      <c r="A493" s="22"/>
      <c r="B493" s="34"/>
      <c r="C493" s="24"/>
    </row>
    <row r="494" ht="14.25" customHeight="1">
      <c r="A494" s="22"/>
      <c r="B494" s="34"/>
      <c r="C494" s="24"/>
    </row>
    <row r="495" ht="14.25" customHeight="1">
      <c r="A495" s="22"/>
      <c r="B495" s="34"/>
      <c r="C495" s="24"/>
    </row>
    <row r="496" ht="14.25" customHeight="1">
      <c r="A496" s="22"/>
      <c r="B496" s="34"/>
      <c r="C496" s="24"/>
    </row>
    <row r="497" ht="14.25" customHeight="1">
      <c r="A497" s="22"/>
      <c r="B497" s="34"/>
      <c r="C497" s="24"/>
    </row>
    <row r="498" ht="14.25" customHeight="1">
      <c r="A498" s="22"/>
      <c r="B498" s="34"/>
      <c r="C498" s="24"/>
    </row>
    <row r="499" ht="14.25" customHeight="1">
      <c r="A499" s="22"/>
      <c r="B499" s="34"/>
      <c r="C499" s="24"/>
    </row>
    <row r="500" ht="14.25" customHeight="1">
      <c r="A500" s="22"/>
      <c r="B500" s="34"/>
      <c r="C500" s="24"/>
    </row>
    <row r="501" ht="14.25" customHeight="1">
      <c r="A501" s="22"/>
      <c r="B501" s="34"/>
      <c r="C501" s="24"/>
    </row>
    <row r="502" ht="14.25" customHeight="1">
      <c r="A502" s="22"/>
      <c r="B502" s="34"/>
      <c r="C502" s="24"/>
    </row>
    <row r="503" ht="14.25" customHeight="1">
      <c r="A503" s="22"/>
      <c r="B503" s="34"/>
      <c r="C503" s="24"/>
    </row>
    <row r="504" ht="14.25" customHeight="1">
      <c r="A504" s="22"/>
      <c r="B504" s="34"/>
      <c r="C504" s="24"/>
    </row>
    <row r="505" ht="14.25" customHeight="1">
      <c r="A505" s="22"/>
      <c r="B505" s="34"/>
      <c r="C505" s="24"/>
    </row>
    <row r="506" ht="14.25" customHeight="1">
      <c r="A506" s="22"/>
      <c r="B506" s="34"/>
      <c r="C506" s="24"/>
    </row>
    <row r="507" ht="14.25" customHeight="1">
      <c r="A507" s="22"/>
      <c r="B507" s="34"/>
      <c r="C507" s="24"/>
    </row>
    <row r="508" ht="14.25" customHeight="1">
      <c r="A508" s="22"/>
      <c r="B508" s="34"/>
      <c r="C508" s="24"/>
    </row>
    <row r="509" ht="14.25" customHeight="1">
      <c r="A509" s="22"/>
      <c r="B509" s="34"/>
      <c r="C509" s="24"/>
    </row>
    <row r="510" ht="14.25" customHeight="1">
      <c r="A510" s="22"/>
      <c r="B510" s="34"/>
      <c r="C510" s="24"/>
    </row>
    <row r="511" ht="14.25" customHeight="1">
      <c r="A511" s="22"/>
      <c r="B511" s="34"/>
      <c r="C511" s="24"/>
    </row>
    <row r="512" ht="14.25" customHeight="1">
      <c r="A512" s="22"/>
      <c r="B512" s="34"/>
      <c r="C512" s="24"/>
    </row>
    <row r="513" ht="14.25" customHeight="1">
      <c r="A513" s="22"/>
      <c r="B513" s="34"/>
      <c r="C513" s="24"/>
    </row>
    <row r="514" ht="14.25" customHeight="1">
      <c r="A514" s="22"/>
      <c r="B514" s="34"/>
      <c r="C514" s="24"/>
    </row>
    <row r="515" ht="14.25" customHeight="1">
      <c r="A515" s="22"/>
      <c r="B515" s="34"/>
      <c r="C515" s="24"/>
    </row>
    <row r="516" ht="14.25" customHeight="1">
      <c r="A516" s="22"/>
      <c r="B516" s="34"/>
      <c r="C516" s="24"/>
    </row>
    <row r="517" ht="14.25" customHeight="1">
      <c r="A517" s="22"/>
      <c r="B517" s="34"/>
      <c r="C517" s="24"/>
    </row>
    <row r="518" ht="14.25" customHeight="1">
      <c r="A518" s="22"/>
      <c r="B518" s="34"/>
      <c r="C518" s="24"/>
    </row>
    <row r="519" ht="14.25" customHeight="1">
      <c r="A519" s="22"/>
      <c r="B519" s="34"/>
      <c r="C519" s="24"/>
    </row>
    <row r="520" ht="14.25" customHeight="1">
      <c r="A520" s="22"/>
      <c r="B520" s="34"/>
      <c r="C520" s="24"/>
    </row>
    <row r="521" ht="14.25" customHeight="1">
      <c r="A521" s="22"/>
      <c r="B521" s="34"/>
      <c r="C521" s="24"/>
    </row>
    <row r="522" ht="14.25" customHeight="1">
      <c r="A522" s="22"/>
      <c r="B522" s="34"/>
      <c r="C522" s="24"/>
    </row>
    <row r="523" ht="14.25" customHeight="1">
      <c r="A523" s="22"/>
      <c r="B523" s="34"/>
      <c r="C523" s="24"/>
    </row>
    <row r="524" ht="14.25" customHeight="1">
      <c r="A524" s="22"/>
      <c r="B524" s="34"/>
      <c r="C524" s="24"/>
    </row>
    <row r="525" ht="14.25" customHeight="1">
      <c r="A525" s="22"/>
      <c r="B525" s="34"/>
      <c r="C525" s="24"/>
    </row>
    <row r="526" ht="14.25" customHeight="1">
      <c r="A526" s="22"/>
      <c r="B526" s="34"/>
      <c r="C526" s="24"/>
    </row>
    <row r="527" ht="14.25" customHeight="1">
      <c r="A527" s="22"/>
      <c r="B527" s="34"/>
      <c r="C527" s="24"/>
    </row>
    <row r="528" ht="14.25" customHeight="1">
      <c r="A528" s="22"/>
      <c r="B528" s="34"/>
      <c r="C528" s="24"/>
    </row>
    <row r="529" ht="14.25" customHeight="1">
      <c r="A529" s="22"/>
      <c r="B529" s="34"/>
      <c r="C529" s="24"/>
    </row>
    <row r="530" ht="14.25" customHeight="1">
      <c r="A530" s="22"/>
      <c r="B530" s="34"/>
      <c r="C530" s="24"/>
    </row>
    <row r="531" ht="14.25" customHeight="1">
      <c r="A531" s="22"/>
      <c r="B531" s="34"/>
      <c r="C531" s="24"/>
    </row>
    <row r="532" ht="14.25" customHeight="1">
      <c r="A532" s="22"/>
      <c r="B532" s="34"/>
      <c r="C532" s="24"/>
    </row>
    <row r="533" ht="14.25" customHeight="1">
      <c r="A533" s="22"/>
      <c r="B533" s="34"/>
      <c r="C533" s="24"/>
    </row>
    <row r="534" ht="14.25" customHeight="1">
      <c r="A534" s="22"/>
      <c r="B534" s="34"/>
      <c r="C534" s="24"/>
    </row>
    <row r="535" ht="14.25" customHeight="1">
      <c r="A535" s="22"/>
      <c r="B535" s="34"/>
      <c r="C535" s="24"/>
    </row>
    <row r="536" ht="14.25" customHeight="1">
      <c r="A536" s="22"/>
      <c r="B536" s="34"/>
      <c r="C536" s="24"/>
    </row>
    <row r="537" ht="14.25" customHeight="1">
      <c r="A537" s="22"/>
      <c r="B537" s="34"/>
      <c r="C537" s="24"/>
    </row>
    <row r="538" ht="14.25" customHeight="1">
      <c r="A538" s="22"/>
      <c r="B538" s="34"/>
      <c r="C538" s="24"/>
    </row>
    <row r="539" ht="14.25" customHeight="1">
      <c r="A539" s="22"/>
      <c r="B539" s="34"/>
      <c r="C539" s="24"/>
    </row>
    <row r="540" ht="14.25" customHeight="1">
      <c r="A540" s="22"/>
      <c r="B540" s="34"/>
      <c r="C540" s="24"/>
    </row>
    <row r="541" ht="14.25" customHeight="1">
      <c r="A541" s="22"/>
      <c r="B541" s="34"/>
      <c r="C541" s="24"/>
    </row>
    <row r="542" ht="14.25" customHeight="1">
      <c r="A542" s="22"/>
      <c r="B542" s="34"/>
      <c r="C542" s="24"/>
    </row>
    <row r="543" ht="14.25" customHeight="1">
      <c r="A543" s="22"/>
      <c r="B543" s="34"/>
      <c r="C543" s="24"/>
    </row>
    <row r="544" ht="14.25" customHeight="1">
      <c r="A544" s="22"/>
      <c r="B544" s="34"/>
      <c r="C544" s="24"/>
    </row>
    <row r="545" ht="14.25" customHeight="1">
      <c r="A545" s="22"/>
      <c r="B545" s="34"/>
      <c r="C545" s="24"/>
    </row>
    <row r="546" ht="14.25" customHeight="1">
      <c r="A546" s="22"/>
      <c r="B546" s="34"/>
      <c r="C546" s="24"/>
    </row>
    <row r="547" ht="14.25" customHeight="1">
      <c r="A547" s="22"/>
      <c r="B547" s="34"/>
      <c r="C547" s="24"/>
    </row>
    <row r="548" ht="14.25" customHeight="1">
      <c r="A548" s="22"/>
      <c r="B548" s="34"/>
      <c r="C548" s="24"/>
    </row>
    <row r="549" ht="14.25" customHeight="1">
      <c r="A549" s="22"/>
      <c r="B549" s="34"/>
      <c r="C549" s="24"/>
    </row>
    <row r="550" ht="14.25" customHeight="1">
      <c r="A550" s="22"/>
      <c r="B550" s="34"/>
      <c r="C550" s="24"/>
    </row>
    <row r="551" ht="14.25" customHeight="1">
      <c r="A551" s="22"/>
      <c r="B551" s="34"/>
      <c r="C551" s="24"/>
    </row>
    <row r="552" ht="14.25" customHeight="1">
      <c r="A552" s="22"/>
      <c r="B552" s="34"/>
      <c r="C552" s="24"/>
    </row>
    <row r="553" ht="14.25" customHeight="1">
      <c r="A553" s="22"/>
      <c r="B553" s="34"/>
      <c r="C553" s="24"/>
    </row>
    <row r="554" ht="14.25" customHeight="1">
      <c r="A554" s="22"/>
      <c r="B554" s="34"/>
      <c r="C554" s="24"/>
    </row>
    <row r="555" ht="14.25" customHeight="1">
      <c r="A555" s="22"/>
      <c r="B555" s="34"/>
      <c r="C555" s="24"/>
    </row>
    <row r="556" ht="14.25" customHeight="1">
      <c r="A556" s="22"/>
      <c r="B556" s="34"/>
      <c r="C556" s="24"/>
    </row>
    <row r="557" ht="14.25" customHeight="1">
      <c r="A557" s="22"/>
      <c r="B557" s="34"/>
      <c r="C557" s="24"/>
    </row>
    <row r="558" ht="14.25" customHeight="1">
      <c r="A558" s="22"/>
      <c r="B558" s="34"/>
      <c r="C558" s="24"/>
    </row>
    <row r="559" ht="14.25" customHeight="1">
      <c r="A559" s="22"/>
      <c r="B559" s="34"/>
      <c r="C559" s="24"/>
    </row>
    <row r="560" ht="14.25" customHeight="1">
      <c r="A560" s="22"/>
      <c r="B560" s="34"/>
      <c r="C560" s="24"/>
    </row>
    <row r="561" ht="14.25" customHeight="1">
      <c r="A561" s="22"/>
      <c r="B561" s="34"/>
      <c r="C561" s="24"/>
    </row>
    <row r="562" ht="14.25" customHeight="1">
      <c r="A562" s="22"/>
      <c r="B562" s="34"/>
      <c r="C562" s="24"/>
    </row>
    <row r="563" ht="14.25" customHeight="1">
      <c r="A563" s="22"/>
      <c r="B563" s="34"/>
      <c r="C563" s="24"/>
    </row>
    <row r="564" ht="14.25" customHeight="1">
      <c r="A564" s="22"/>
      <c r="B564" s="34"/>
      <c r="C564" s="24"/>
    </row>
    <row r="565" ht="14.25" customHeight="1">
      <c r="A565" s="22"/>
      <c r="B565" s="34"/>
      <c r="C565" s="24"/>
    </row>
    <row r="566" ht="14.25" customHeight="1">
      <c r="A566" s="22"/>
      <c r="B566" s="34"/>
      <c r="C566" s="24"/>
    </row>
    <row r="567" ht="14.25" customHeight="1">
      <c r="A567" s="22"/>
      <c r="B567" s="34"/>
      <c r="C567" s="24"/>
    </row>
    <row r="568" ht="14.25" customHeight="1">
      <c r="A568" s="22"/>
      <c r="B568" s="34"/>
      <c r="C568" s="24"/>
    </row>
    <row r="569" ht="14.25" customHeight="1">
      <c r="A569" s="22"/>
      <c r="B569" s="34"/>
      <c r="C569" s="24"/>
    </row>
    <row r="570" ht="14.25" customHeight="1">
      <c r="A570" s="22"/>
      <c r="B570" s="34"/>
      <c r="C570" s="24"/>
    </row>
    <row r="571" ht="14.25" customHeight="1">
      <c r="A571" s="22"/>
      <c r="B571" s="34"/>
      <c r="C571" s="24"/>
    </row>
    <row r="572" ht="14.25" customHeight="1">
      <c r="A572" s="22"/>
      <c r="B572" s="34"/>
      <c r="C572" s="24"/>
    </row>
    <row r="573" ht="14.25" customHeight="1">
      <c r="A573" s="22"/>
      <c r="B573" s="34"/>
      <c r="C573" s="24"/>
    </row>
    <row r="574" ht="14.25" customHeight="1">
      <c r="A574" s="22"/>
      <c r="B574" s="34"/>
      <c r="C574" s="24"/>
    </row>
    <row r="575" ht="14.25" customHeight="1">
      <c r="A575" s="22"/>
      <c r="B575" s="34"/>
      <c r="C575" s="24"/>
    </row>
    <row r="576" ht="14.25" customHeight="1">
      <c r="A576" s="22"/>
      <c r="B576" s="34"/>
      <c r="C576" s="24"/>
    </row>
    <row r="577" ht="14.25" customHeight="1">
      <c r="A577" s="22"/>
      <c r="B577" s="34"/>
      <c r="C577" s="24"/>
    </row>
    <row r="578" ht="14.25" customHeight="1">
      <c r="A578" s="22"/>
      <c r="B578" s="34"/>
      <c r="C578" s="24"/>
    </row>
    <row r="579" ht="14.25" customHeight="1">
      <c r="A579" s="22"/>
      <c r="B579" s="34"/>
      <c r="C579" s="24"/>
    </row>
    <row r="580" ht="14.25" customHeight="1">
      <c r="A580" s="22"/>
      <c r="B580" s="34"/>
      <c r="C580" s="24"/>
    </row>
    <row r="581" ht="14.25" customHeight="1">
      <c r="A581" s="22"/>
      <c r="B581" s="34"/>
      <c r="C581" s="24"/>
    </row>
    <row r="582" ht="14.25" customHeight="1">
      <c r="A582" s="22"/>
      <c r="B582" s="34"/>
      <c r="C582" s="24"/>
    </row>
    <row r="583" ht="14.25" customHeight="1">
      <c r="A583" s="22"/>
      <c r="B583" s="34"/>
      <c r="C583" s="24"/>
    </row>
    <row r="584" ht="14.25" customHeight="1">
      <c r="A584" s="22"/>
      <c r="B584" s="34"/>
      <c r="C584" s="24"/>
    </row>
    <row r="585" ht="14.25" customHeight="1">
      <c r="A585" s="22"/>
      <c r="B585" s="34"/>
      <c r="C585" s="24"/>
    </row>
    <row r="586" ht="14.25" customHeight="1">
      <c r="A586" s="22"/>
      <c r="B586" s="34"/>
      <c r="C586" s="24"/>
    </row>
    <row r="587" ht="14.25" customHeight="1">
      <c r="A587" s="22"/>
      <c r="B587" s="34"/>
      <c r="C587" s="24"/>
    </row>
    <row r="588" ht="14.25" customHeight="1">
      <c r="A588" s="22"/>
      <c r="B588" s="34"/>
      <c r="C588" s="24"/>
    </row>
    <row r="589" ht="14.25" customHeight="1">
      <c r="A589" s="22"/>
      <c r="B589" s="34"/>
      <c r="C589" s="24"/>
    </row>
    <row r="590" ht="14.25" customHeight="1">
      <c r="A590" s="22"/>
      <c r="B590" s="34"/>
      <c r="C590" s="24"/>
    </row>
    <row r="591" ht="14.25" customHeight="1">
      <c r="A591" s="22"/>
      <c r="B591" s="34"/>
      <c r="C591" s="24"/>
    </row>
    <row r="592" ht="14.25" customHeight="1">
      <c r="A592" s="22"/>
      <c r="B592" s="34"/>
      <c r="C592" s="24"/>
    </row>
    <row r="593" ht="14.25" customHeight="1">
      <c r="A593" s="22"/>
      <c r="B593" s="34"/>
      <c r="C593" s="24"/>
    </row>
    <row r="594" ht="14.25" customHeight="1">
      <c r="A594" s="22"/>
      <c r="B594" s="34"/>
      <c r="C594" s="24"/>
    </row>
    <row r="595" ht="14.25" customHeight="1">
      <c r="A595" s="22"/>
      <c r="B595" s="34"/>
      <c r="C595" s="24"/>
    </row>
    <row r="596" ht="14.25" customHeight="1">
      <c r="A596" s="22"/>
      <c r="B596" s="34"/>
      <c r="C596" s="24"/>
    </row>
    <row r="597" ht="14.25" customHeight="1">
      <c r="A597" s="22"/>
      <c r="B597" s="34"/>
      <c r="C597" s="24"/>
    </row>
    <row r="598" ht="14.25" customHeight="1">
      <c r="A598" s="22"/>
      <c r="B598" s="34"/>
      <c r="C598" s="24"/>
    </row>
    <row r="599" ht="14.25" customHeight="1">
      <c r="A599" s="22"/>
      <c r="B599" s="34"/>
      <c r="C599" s="24"/>
    </row>
    <row r="600" ht="14.25" customHeight="1">
      <c r="A600" s="22"/>
      <c r="B600" s="34"/>
      <c r="C600" s="24"/>
    </row>
    <row r="601" ht="14.25" customHeight="1">
      <c r="A601" s="22"/>
      <c r="B601" s="34"/>
      <c r="C601" s="24"/>
    </row>
    <row r="602" ht="14.25" customHeight="1">
      <c r="A602" s="22"/>
      <c r="B602" s="34"/>
      <c r="C602" s="24"/>
    </row>
    <row r="603" ht="14.25" customHeight="1">
      <c r="A603" s="22"/>
      <c r="B603" s="34"/>
      <c r="C603" s="24"/>
    </row>
    <row r="604" ht="14.25" customHeight="1">
      <c r="A604" s="22"/>
      <c r="B604" s="34"/>
      <c r="C604" s="24"/>
    </row>
    <row r="605" ht="14.25" customHeight="1">
      <c r="A605" s="22"/>
      <c r="B605" s="34"/>
      <c r="C605" s="24"/>
    </row>
    <row r="606" ht="14.25" customHeight="1">
      <c r="A606" s="22"/>
      <c r="B606" s="34"/>
      <c r="C606" s="24"/>
    </row>
    <row r="607" ht="14.25" customHeight="1">
      <c r="A607" s="22"/>
      <c r="B607" s="34"/>
      <c r="C607" s="24"/>
    </row>
    <row r="608" ht="14.25" customHeight="1">
      <c r="A608" s="22"/>
      <c r="B608" s="34"/>
      <c r="C608" s="24"/>
    </row>
    <row r="609" ht="14.25" customHeight="1">
      <c r="A609" s="22"/>
      <c r="B609" s="34"/>
      <c r="C609" s="24"/>
    </row>
    <row r="610" ht="14.25" customHeight="1">
      <c r="A610" s="22"/>
      <c r="B610" s="34"/>
      <c r="C610" s="24"/>
    </row>
    <row r="611" ht="14.25" customHeight="1">
      <c r="A611" s="22"/>
      <c r="B611" s="34"/>
      <c r="C611" s="24"/>
    </row>
    <row r="612" ht="14.25" customHeight="1">
      <c r="A612" s="22"/>
      <c r="B612" s="34"/>
      <c r="C612" s="24"/>
    </row>
    <row r="613" ht="14.25" customHeight="1">
      <c r="A613" s="22"/>
      <c r="B613" s="34"/>
      <c r="C613" s="24"/>
    </row>
    <row r="614" ht="14.25" customHeight="1">
      <c r="A614" s="22"/>
      <c r="B614" s="34"/>
      <c r="C614" s="24"/>
    </row>
    <row r="615" ht="14.25" customHeight="1">
      <c r="A615" s="22"/>
      <c r="B615" s="34"/>
      <c r="C615" s="24"/>
    </row>
    <row r="616" ht="14.25" customHeight="1">
      <c r="A616" s="22"/>
      <c r="B616" s="34"/>
      <c r="C616" s="24"/>
    </row>
    <row r="617" ht="14.25" customHeight="1">
      <c r="A617" s="22"/>
      <c r="B617" s="34"/>
      <c r="C617" s="24"/>
    </row>
    <row r="618" ht="14.25" customHeight="1">
      <c r="A618" s="22"/>
      <c r="B618" s="34"/>
      <c r="C618" s="24"/>
    </row>
    <row r="619" ht="14.25" customHeight="1">
      <c r="A619" s="22"/>
      <c r="B619" s="34"/>
      <c r="C619" s="24"/>
    </row>
    <row r="620" ht="14.25" customHeight="1">
      <c r="A620" s="22"/>
      <c r="B620" s="34"/>
      <c r="C620" s="24"/>
    </row>
    <row r="621" ht="14.25" customHeight="1">
      <c r="A621" s="22"/>
      <c r="B621" s="34"/>
      <c r="C621" s="24"/>
    </row>
    <row r="622" ht="14.25" customHeight="1">
      <c r="A622" s="22"/>
      <c r="B622" s="34"/>
      <c r="C622" s="24"/>
    </row>
    <row r="623" ht="14.25" customHeight="1">
      <c r="A623" s="22"/>
      <c r="B623" s="34"/>
      <c r="C623" s="24"/>
    </row>
    <row r="624" ht="14.25" customHeight="1">
      <c r="A624" s="22"/>
      <c r="B624" s="34"/>
      <c r="C624" s="24"/>
    </row>
    <row r="625" ht="14.25" customHeight="1">
      <c r="A625" s="22"/>
      <c r="B625" s="34"/>
      <c r="C625" s="24"/>
    </row>
    <row r="626" ht="14.25" customHeight="1">
      <c r="A626" s="22"/>
      <c r="B626" s="34"/>
      <c r="C626" s="24"/>
    </row>
    <row r="627" ht="14.25" customHeight="1">
      <c r="A627" s="22"/>
      <c r="B627" s="34"/>
      <c r="C627" s="24"/>
    </row>
    <row r="628" ht="14.25" customHeight="1">
      <c r="A628" s="22"/>
      <c r="B628" s="34"/>
      <c r="C628" s="24"/>
    </row>
    <row r="629" ht="14.25" customHeight="1">
      <c r="A629" s="22"/>
      <c r="B629" s="34"/>
      <c r="C629" s="24"/>
    </row>
    <row r="630" ht="14.25" customHeight="1">
      <c r="A630" s="22"/>
      <c r="B630" s="34"/>
      <c r="C630" s="24"/>
    </row>
    <row r="631" ht="14.25" customHeight="1">
      <c r="A631" s="22"/>
      <c r="B631" s="34"/>
      <c r="C631" s="24"/>
    </row>
    <row r="632" ht="14.25" customHeight="1">
      <c r="A632" s="22"/>
      <c r="B632" s="34"/>
      <c r="C632" s="24"/>
    </row>
    <row r="633" ht="14.25" customHeight="1">
      <c r="A633" s="22"/>
      <c r="B633" s="34"/>
      <c r="C633" s="24"/>
    </row>
    <row r="634" ht="14.25" customHeight="1">
      <c r="A634" s="22"/>
      <c r="B634" s="34"/>
      <c r="C634" s="24"/>
    </row>
    <row r="635" ht="14.25" customHeight="1">
      <c r="A635" s="22"/>
      <c r="B635" s="34"/>
      <c r="C635" s="24"/>
    </row>
    <row r="636" ht="14.25" customHeight="1">
      <c r="A636" s="22"/>
      <c r="B636" s="34"/>
      <c r="C636" s="24"/>
    </row>
    <row r="637" ht="14.25" customHeight="1">
      <c r="A637" s="22"/>
      <c r="B637" s="34"/>
      <c r="C637" s="24"/>
    </row>
    <row r="638" ht="14.25" customHeight="1">
      <c r="A638" s="22"/>
      <c r="B638" s="34"/>
      <c r="C638" s="24"/>
    </row>
    <row r="639" ht="14.25" customHeight="1">
      <c r="A639" s="22"/>
      <c r="B639" s="34"/>
      <c r="C639" s="24"/>
    </row>
    <row r="640" ht="14.25" customHeight="1">
      <c r="A640" s="22"/>
      <c r="B640" s="34"/>
      <c r="C640" s="24"/>
    </row>
    <row r="641" ht="14.25" customHeight="1">
      <c r="A641" s="22"/>
      <c r="B641" s="34"/>
      <c r="C641" s="24"/>
    </row>
    <row r="642" ht="14.25" customHeight="1">
      <c r="A642" s="22"/>
      <c r="B642" s="34"/>
      <c r="C642" s="24"/>
    </row>
    <row r="643" ht="14.25" customHeight="1">
      <c r="A643" s="22"/>
      <c r="B643" s="34"/>
      <c r="C643" s="24"/>
    </row>
    <row r="644" ht="14.25" customHeight="1">
      <c r="A644" s="22"/>
      <c r="B644" s="34"/>
      <c r="C644" s="24"/>
    </row>
    <row r="645" ht="14.25" customHeight="1">
      <c r="A645" s="22"/>
      <c r="B645" s="34"/>
      <c r="C645" s="24"/>
    </row>
    <row r="646" ht="14.25" customHeight="1">
      <c r="A646" s="22"/>
      <c r="B646" s="34"/>
      <c r="C646" s="24"/>
    </row>
    <row r="647" ht="14.25" customHeight="1">
      <c r="A647" s="22"/>
      <c r="B647" s="34"/>
      <c r="C647" s="24"/>
    </row>
    <row r="648" ht="14.25" customHeight="1">
      <c r="A648" s="22"/>
      <c r="B648" s="34"/>
      <c r="C648" s="24"/>
    </row>
    <row r="649" ht="14.25" customHeight="1">
      <c r="A649" s="22"/>
      <c r="B649" s="34"/>
      <c r="C649" s="24"/>
    </row>
    <row r="650" ht="14.25" customHeight="1">
      <c r="A650" s="22"/>
      <c r="B650" s="34"/>
      <c r="C650" s="24"/>
    </row>
    <row r="651" ht="14.25" customHeight="1">
      <c r="A651" s="22"/>
      <c r="B651" s="34"/>
      <c r="C651" s="24"/>
    </row>
    <row r="652" ht="14.25" customHeight="1">
      <c r="A652" s="22"/>
      <c r="B652" s="34"/>
      <c r="C652" s="24"/>
    </row>
    <row r="653" ht="14.25" customHeight="1">
      <c r="A653" s="22"/>
      <c r="B653" s="34"/>
      <c r="C653" s="24"/>
    </row>
    <row r="654" ht="14.25" customHeight="1">
      <c r="A654" s="22"/>
      <c r="B654" s="34"/>
      <c r="C654" s="24"/>
    </row>
    <row r="655" ht="14.25" customHeight="1">
      <c r="A655" s="22"/>
      <c r="B655" s="34"/>
      <c r="C655" s="24"/>
    </row>
    <row r="656" ht="14.25" customHeight="1">
      <c r="A656" s="22"/>
      <c r="B656" s="34"/>
      <c r="C656" s="24"/>
    </row>
    <row r="657" ht="14.25" customHeight="1">
      <c r="A657" s="22"/>
      <c r="B657" s="34"/>
      <c r="C657" s="24"/>
    </row>
    <row r="658" ht="14.25" customHeight="1">
      <c r="A658" s="22"/>
      <c r="B658" s="34"/>
      <c r="C658" s="24"/>
    </row>
    <row r="659" ht="14.25" customHeight="1">
      <c r="A659" s="22"/>
      <c r="B659" s="34"/>
      <c r="C659" s="24"/>
    </row>
    <row r="660" ht="14.25" customHeight="1">
      <c r="A660" s="22"/>
      <c r="B660" s="34"/>
      <c r="C660" s="24"/>
    </row>
    <row r="661" ht="14.25" customHeight="1">
      <c r="A661" s="22"/>
      <c r="B661" s="34"/>
      <c r="C661" s="24"/>
    </row>
    <row r="662" ht="14.25" customHeight="1">
      <c r="A662" s="22"/>
      <c r="B662" s="34"/>
      <c r="C662" s="24"/>
    </row>
    <row r="663" ht="14.25" customHeight="1">
      <c r="A663" s="22"/>
      <c r="B663" s="34"/>
      <c r="C663" s="24"/>
    </row>
    <row r="664" ht="14.25" customHeight="1">
      <c r="A664" s="22"/>
      <c r="B664" s="34"/>
      <c r="C664" s="24"/>
    </row>
    <row r="665" ht="14.25" customHeight="1">
      <c r="A665" s="22"/>
      <c r="B665" s="34"/>
      <c r="C665" s="24"/>
    </row>
    <row r="666" ht="14.25" customHeight="1">
      <c r="A666" s="22"/>
      <c r="B666" s="34"/>
      <c r="C666" s="24"/>
    </row>
    <row r="667" ht="14.25" customHeight="1">
      <c r="A667" s="22"/>
      <c r="B667" s="34"/>
      <c r="C667" s="24"/>
    </row>
    <row r="668" ht="14.25" customHeight="1">
      <c r="A668" s="22"/>
      <c r="B668" s="34"/>
      <c r="C668" s="24"/>
    </row>
    <row r="669" ht="14.25" customHeight="1">
      <c r="A669" s="22"/>
      <c r="B669" s="34"/>
      <c r="C669" s="24"/>
    </row>
    <row r="670" ht="14.25" customHeight="1">
      <c r="A670" s="22"/>
      <c r="B670" s="34"/>
      <c r="C670" s="24"/>
    </row>
    <row r="671" ht="14.25" customHeight="1">
      <c r="A671" s="22"/>
      <c r="B671" s="34"/>
      <c r="C671" s="24"/>
    </row>
    <row r="672" ht="14.25" customHeight="1">
      <c r="A672" s="22"/>
      <c r="B672" s="34"/>
      <c r="C672" s="24"/>
    </row>
    <row r="673" ht="14.25" customHeight="1">
      <c r="A673" s="22"/>
      <c r="B673" s="34"/>
      <c r="C673" s="24"/>
    </row>
    <row r="674" ht="14.25" customHeight="1">
      <c r="A674" s="22"/>
      <c r="B674" s="34"/>
      <c r="C674" s="24"/>
    </row>
    <row r="675" ht="14.25" customHeight="1">
      <c r="A675" s="22"/>
      <c r="B675" s="34"/>
      <c r="C675" s="24"/>
    </row>
    <row r="676" ht="14.25" customHeight="1">
      <c r="A676" s="22"/>
      <c r="B676" s="34"/>
      <c r="C676" s="24"/>
    </row>
    <row r="677" ht="14.25" customHeight="1">
      <c r="A677" s="22"/>
      <c r="B677" s="34"/>
      <c r="C677" s="24"/>
    </row>
    <row r="678" ht="14.25" customHeight="1">
      <c r="A678" s="22"/>
      <c r="B678" s="34"/>
      <c r="C678" s="24"/>
    </row>
    <row r="679" ht="14.25" customHeight="1">
      <c r="A679" s="22"/>
      <c r="B679" s="34"/>
      <c r="C679" s="24"/>
    </row>
    <row r="680" ht="14.25" customHeight="1">
      <c r="A680" s="22"/>
      <c r="B680" s="34"/>
      <c r="C680" s="24"/>
    </row>
    <row r="681" ht="14.25" customHeight="1">
      <c r="A681" s="22"/>
      <c r="B681" s="34"/>
      <c r="C681" s="24"/>
    </row>
    <row r="682" ht="14.25" customHeight="1">
      <c r="A682" s="22"/>
      <c r="B682" s="34"/>
      <c r="C682" s="24"/>
    </row>
    <row r="683" ht="14.25" customHeight="1">
      <c r="A683" s="22"/>
      <c r="B683" s="34"/>
      <c r="C683" s="24"/>
    </row>
    <row r="684" ht="14.25" customHeight="1">
      <c r="A684" s="22"/>
      <c r="B684" s="34"/>
      <c r="C684" s="24"/>
    </row>
    <row r="685" ht="14.25" customHeight="1">
      <c r="A685" s="22"/>
      <c r="B685" s="34"/>
      <c r="C685" s="24"/>
    </row>
    <row r="686" ht="14.25" customHeight="1">
      <c r="A686" s="22"/>
      <c r="B686" s="34"/>
      <c r="C686" s="24"/>
    </row>
    <row r="687" ht="14.25" customHeight="1">
      <c r="A687" s="22"/>
      <c r="B687" s="34"/>
      <c r="C687" s="24"/>
    </row>
    <row r="688" ht="14.25" customHeight="1">
      <c r="A688" s="22"/>
      <c r="B688" s="34"/>
      <c r="C688" s="24"/>
    </row>
    <row r="689" ht="14.25" customHeight="1">
      <c r="A689" s="22"/>
      <c r="B689" s="34"/>
      <c r="C689" s="24"/>
    </row>
    <row r="690" ht="14.25" customHeight="1">
      <c r="A690" s="22"/>
      <c r="B690" s="34"/>
      <c r="C690" s="24"/>
    </row>
    <row r="691" ht="14.25" customHeight="1">
      <c r="A691" s="22"/>
      <c r="B691" s="34"/>
      <c r="C691" s="24"/>
    </row>
    <row r="692" ht="14.25" customHeight="1">
      <c r="A692" s="22"/>
      <c r="B692" s="34"/>
      <c r="C692" s="24"/>
    </row>
    <row r="693" ht="14.25" customHeight="1">
      <c r="A693" s="22"/>
      <c r="B693" s="34"/>
      <c r="C693" s="24"/>
    </row>
    <row r="694" ht="14.25" customHeight="1">
      <c r="A694" s="22"/>
      <c r="B694" s="34"/>
      <c r="C694" s="24"/>
    </row>
    <row r="695" ht="14.25" customHeight="1">
      <c r="A695" s="22"/>
      <c r="B695" s="34"/>
      <c r="C695" s="24"/>
    </row>
    <row r="696" ht="14.25" customHeight="1">
      <c r="A696" s="22"/>
      <c r="B696" s="34"/>
      <c r="C696" s="24"/>
    </row>
    <row r="697" ht="14.25" customHeight="1">
      <c r="A697" s="22"/>
      <c r="B697" s="34"/>
      <c r="C697" s="24"/>
    </row>
    <row r="698" ht="14.25" customHeight="1">
      <c r="A698" s="22"/>
      <c r="B698" s="34"/>
      <c r="C698" s="24"/>
    </row>
    <row r="699" ht="14.25" customHeight="1">
      <c r="A699" s="22"/>
      <c r="B699" s="34"/>
      <c r="C699" s="24"/>
    </row>
    <row r="700" ht="14.25" customHeight="1">
      <c r="A700" s="22"/>
      <c r="B700" s="34"/>
      <c r="C700" s="24"/>
    </row>
    <row r="701" ht="14.25" customHeight="1">
      <c r="A701" s="22"/>
      <c r="B701" s="34"/>
      <c r="C701" s="24"/>
    </row>
    <row r="702" ht="14.25" customHeight="1">
      <c r="A702" s="22"/>
      <c r="B702" s="34"/>
      <c r="C702" s="24"/>
    </row>
    <row r="703" ht="14.25" customHeight="1">
      <c r="A703" s="22"/>
      <c r="B703" s="34"/>
      <c r="C703" s="24"/>
    </row>
    <row r="704" ht="14.25" customHeight="1">
      <c r="A704" s="22"/>
      <c r="B704" s="34"/>
      <c r="C704" s="24"/>
    </row>
    <row r="705" ht="14.25" customHeight="1">
      <c r="A705" s="22"/>
      <c r="B705" s="34"/>
      <c r="C705" s="24"/>
    </row>
    <row r="706" ht="14.25" customHeight="1">
      <c r="A706" s="22"/>
      <c r="B706" s="34"/>
      <c r="C706" s="24"/>
    </row>
    <row r="707" ht="14.25" customHeight="1">
      <c r="A707" s="22"/>
      <c r="B707" s="34"/>
      <c r="C707" s="24"/>
    </row>
    <row r="708" ht="14.25" customHeight="1">
      <c r="A708" s="22"/>
      <c r="B708" s="34"/>
      <c r="C708" s="24"/>
    </row>
    <row r="709" ht="14.25" customHeight="1">
      <c r="A709" s="22"/>
      <c r="B709" s="34"/>
      <c r="C709" s="24"/>
    </row>
    <row r="710" ht="14.25" customHeight="1">
      <c r="A710" s="22"/>
      <c r="B710" s="34"/>
      <c r="C710" s="24"/>
    </row>
    <row r="711" ht="14.25" customHeight="1">
      <c r="A711" s="22"/>
      <c r="B711" s="34"/>
      <c r="C711" s="24"/>
    </row>
    <row r="712" ht="14.25" customHeight="1">
      <c r="A712" s="22"/>
      <c r="B712" s="34"/>
      <c r="C712" s="24"/>
    </row>
    <row r="713" ht="14.25" customHeight="1">
      <c r="A713" s="22"/>
      <c r="B713" s="34"/>
      <c r="C713" s="24"/>
    </row>
    <row r="714" ht="14.25" customHeight="1">
      <c r="A714" s="22"/>
      <c r="B714" s="34"/>
      <c r="C714" s="24"/>
    </row>
    <row r="715" ht="14.25" customHeight="1">
      <c r="A715" s="22"/>
      <c r="B715" s="34"/>
      <c r="C715" s="24"/>
    </row>
    <row r="716" ht="14.25" customHeight="1">
      <c r="A716" s="22"/>
      <c r="B716" s="34"/>
      <c r="C716" s="24"/>
    </row>
    <row r="717" ht="14.25" customHeight="1">
      <c r="A717" s="22"/>
      <c r="B717" s="34"/>
      <c r="C717" s="24"/>
    </row>
    <row r="718" ht="14.25" customHeight="1">
      <c r="A718" s="22"/>
      <c r="B718" s="34"/>
      <c r="C718" s="24"/>
    </row>
    <row r="719" ht="14.25" customHeight="1">
      <c r="A719" s="22"/>
      <c r="B719" s="34"/>
      <c r="C719" s="24"/>
    </row>
    <row r="720" ht="14.25" customHeight="1">
      <c r="A720" s="22"/>
      <c r="B720" s="34"/>
      <c r="C720" s="24"/>
    </row>
    <row r="721" ht="14.25" customHeight="1">
      <c r="A721" s="22"/>
      <c r="B721" s="34"/>
      <c r="C721" s="24"/>
    </row>
    <row r="722" ht="14.25" customHeight="1">
      <c r="A722" s="22"/>
      <c r="B722" s="34"/>
      <c r="C722" s="24"/>
    </row>
    <row r="723" ht="14.25" customHeight="1">
      <c r="A723" s="22"/>
      <c r="B723" s="34"/>
      <c r="C723" s="24"/>
    </row>
    <row r="724" ht="14.25" customHeight="1">
      <c r="A724" s="22"/>
      <c r="B724" s="34"/>
      <c r="C724" s="24"/>
    </row>
    <row r="725" ht="14.25" customHeight="1">
      <c r="A725" s="22"/>
      <c r="B725" s="34"/>
      <c r="C725" s="24"/>
    </row>
    <row r="726" ht="14.25" customHeight="1">
      <c r="A726" s="22"/>
      <c r="B726" s="34"/>
      <c r="C726" s="24"/>
    </row>
    <row r="727" ht="14.25" customHeight="1">
      <c r="A727" s="22"/>
      <c r="B727" s="34"/>
      <c r="C727" s="24"/>
    </row>
    <row r="728" ht="14.25" customHeight="1">
      <c r="A728" s="22"/>
      <c r="B728" s="34"/>
      <c r="C728" s="24"/>
    </row>
    <row r="729" ht="14.25" customHeight="1">
      <c r="A729" s="22"/>
      <c r="B729" s="34"/>
      <c r="C729" s="24"/>
    </row>
    <row r="730" ht="14.25" customHeight="1">
      <c r="A730" s="22"/>
      <c r="B730" s="34"/>
      <c r="C730" s="24"/>
    </row>
    <row r="731" ht="14.25" customHeight="1">
      <c r="A731" s="22"/>
      <c r="B731" s="34"/>
      <c r="C731" s="24"/>
    </row>
    <row r="732" ht="14.25" customHeight="1">
      <c r="A732" s="22"/>
      <c r="B732" s="34"/>
      <c r="C732" s="24"/>
    </row>
    <row r="733" ht="14.25" customHeight="1">
      <c r="A733" s="22"/>
      <c r="B733" s="34"/>
      <c r="C733" s="24"/>
    </row>
    <row r="734" ht="14.25" customHeight="1">
      <c r="A734" s="22"/>
      <c r="B734" s="34"/>
      <c r="C734" s="24"/>
    </row>
    <row r="735" ht="14.25" customHeight="1">
      <c r="A735" s="22"/>
      <c r="B735" s="34"/>
      <c r="C735" s="24"/>
    </row>
    <row r="736" ht="14.25" customHeight="1">
      <c r="A736" s="22"/>
      <c r="B736" s="34"/>
      <c r="C736" s="24"/>
    </row>
    <row r="737" ht="14.25" customHeight="1">
      <c r="A737" s="22"/>
      <c r="B737" s="34"/>
      <c r="C737" s="24"/>
    </row>
    <row r="738" ht="14.25" customHeight="1">
      <c r="A738" s="22"/>
      <c r="B738" s="34"/>
      <c r="C738" s="24"/>
    </row>
    <row r="739" ht="14.25" customHeight="1">
      <c r="A739" s="22"/>
      <c r="B739" s="34"/>
      <c r="C739" s="24"/>
    </row>
    <row r="740" ht="14.25" customHeight="1">
      <c r="A740" s="22"/>
      <c r="B740" s="34"/>
      <c r="C740" s="24"/>
    </row>
    <row r="741" ht="14.25" customHeight="1">
      <c r="A741" s="22"/>
      <c r="B741" s="34"/>
      <c r="C741" s="24"/>
    </row>
    <row r="742" ht="14.25" customHeight="1">
      <c r="A742" s="22"/>
      <c r="B742" s="34"/>
      <c r="C742" s="24"/>
    </row>
    <row r="743" ht="14.25" customHeight="1">
      <c r="A743" s="22"/>
      <c r="B743" s="34"/>
      <c r="C743" s="24"/>
    </row>
    <row r="744" ht="14.25" customHeight="1">
      <c r="A744" s="22"/>
      <c r="B744" s="34"/>
      <c r="C744" s="24"/>
    </row>
    <row r="745" ht="14.25" customHeight="1">
      <c r="A745" s="22"/>
      <c r="B745" s="34"/>
      <c r="C745" s="24"/>
    </row>
    <row r="746" ht="14.25" customHeight="1">
      <c r="A746" s="22"/>
      <c r="B746" s="34"/>
      <c r="C746" s="24"/>
    </row>
    <row r="747" ht="14.25" customHeight="1">
      <c r="A747" s="22"/>
      <c r="B747" s="34"/>
      <c r="C747" s="24"/>
    </row>
    <row r="748" ht="14.25" customHeight="1">
      <c r="A748" s="22"/>
      <c r="B748" s="34"/>
      <c r="C748" s="24"/>
    </row>
    <row r="749" ht="14.25" customHeight="1">
      <c r="A749" s="22"/>
      <c r="B749" s="34"/>
      <c r="C749" s="24"/>
    </row>
    <row r="750" ht="14.25" customHeight="1">
      <c r="A750" s="22"/>
      <c r="B750" s="34"/>
      <c r="C750" s="24"/>
    </row>
    <row r="751" ht="14.25" customHeight="1">
      <c r="A751" s="22"/>
      <c r="B751" s="34"/>
      <c r="C751" s="24"/>
    </row>
    <row r="752" ht="14.25" customHeight="1">
      <c r="A752" s="22"/>
      <c r="B752" s="34"/>
      <c r="C752" s="24"/>
    </row>
    <row r="753" ht="14.25" customHeight="1">
      <c r="A753" s="22"/>
      <c r="B753" s="34"/>
      <c r="C753" s="24"/>
    </row>
    <row r="754" ht="14.25" customHeight="1">
      <c r="A754" s="22"/>
      <c r="B754" s="34"/>
      <c r="C754" s="24"/>
    </row>
    <row r="755" ht="14.25" customHeight="1">
      <c r="A755" s="22"/>
      <c r="B755" s="34"/>
      <c r="C755" s="24"/>
    </row>
    <row r="756" ht="14.25" customHeight="1">
      <c r="A756" s="22"/>
      <c r="B756" s="34"/>
      <c r="C756" s="24"/>
    </row>
    <row r="757" ht="14.25" customHeight="1">
      <c r="A757" s="22"/>
      <c r="B757" s="34"/>
      <c r="C757" s="24"/>
    </row>
    <row r="758" ht="14.25" customHeight="1">
      <c r="A758" s="22"/>
      <c r="B758" s="34"/>
      <c r="C758" s="24"/>
    </row>
    <row r="759" ht="14.25" customHeight="1">
      <c r="A759" s="22"/>
      <c r="B759" s="34"/>
      <c r="C759" s="24"/>
    </row>
    <row r="760" ht="14.25" customHeight="1">
      <c r="A760" s="22"/>
      <c r="B760" s="34"/>
      <c r="C760" s="24"/>
    </row>
    <row r="761" ht="14.25" customHeight="1">
      <c r="A761" s="22"/>
      <c r="B761" s="34"/>
      <c r="C761" s="24"/>
    </row>
    <row r="762" ht="14.25" customHeight="1">
      <c r="A762" s="22"/>
      <c r="B762" s="34"/>
      <c r="C762" s="24"/>
    </row>
    <row r="763" ht="14.25" customHeight="1">
      <c r="A763" s="22"/>
      <c r="B763" s="34"/>
      <c r="C763" s="24"/>
    </row>
    <row r="764" ht="14.25" customHeight="1">
      <c r="A764" s="22"/>
      <c r="B764" s="34"/>
      <c r="C764" s="24"/>
    </row>
    <row r="765" ht="14.25" customHeight="1">
      <c r="A765" s="22"/>
      <c r="B765" s="34"/>
      <c r="C765" s="24"/>
    </row>
    <row r="766" ht="14.25" customHeight="1">
      <c r="A766" s="22"/>
      <c r="B766" s="34"/>
      <c r="C766" s="24"/>
    </row>
    <row r="767" ht="14.25" customHeight="1">
      <c r="A767" s="22"/>
      <c r="B767" s="34"/>
      <c r="C767" s="24"/>
    </row>
    <row r="768" ht="14.25" customHeight="1">
      <c r="A768" s="22"/>
      <c r="B768" s="34"/>
      <c r="C768" s="24"/>
    </row>
    <row r="769" ht="14.25" customHeight="1">
      <c r="A769" s="22"/>
      <c r="B769" s="34"/>
      <c r="C769" s="24"/>
    </row>
    <row r="770" ht="14.25" customHeight="1">
      <c r="A770" s="22"/>
      <c r="B770" s="34"/>
      <c r="C770" s="24"/>
    </row>
    <row r="771" ht="14.25" customHeight="1">
      <c r="A771" s="22"/>
      <c r="B771" s="34"/>
      <c r="C771" s="24"/>
    </row>
    <row r="772" ht="14.25" customHeight="1">
      <c r="A772" s="22"/>
      <c r="B772" s="34"/>
      <c r="C772" s="24"/>
    </row>
    <row r="773" ht="14.25" customHeight="1">
      <c r="A773" s="22"/>
      <c r="B773" s="34"/>
      <c r="C773" s="24"/>
    </row>
    <row r="774" ht="14.25" customHeight="1">
      <c r="A774" s="22"/>
      <c r="B774" s="34"/>
      <c r="C774" s="24"/>
    </row>
    <row r="775" ht="14.25" customHeight="1">
      <c r="A775" s="22"/>
      <c r="B775" s="34"/>
      <c r="C775" s="24"/>
    </row>
    <row r="776" ht="14.25" customHeight="1">
      <c r="A776" s="22"/>
      <c r="B776" s="34"/>
      <c r="C776" s="24"/>
    </row>
    <row r="777" ht="14.25" customHeight="1">
      <c r="A777" s="22"/>
      <c r="B777" s="34"/>
      <c r="C777" s="24"/>
    </row>
    <row r="778" ht="14.25" customHeight="1">
      <c r="A778" s="22"/>
      <c r="B778" s="34"/>
      <c r="C778" s="24"/>
    </row>
    <row r="779" ht="14.25" customHeight="1">
      <c r="A779" s="22"/>
      <c r="B779" s="34"/>
      <c r="C779" s="24"/>
    </row>
    <row r="780" ht="14.25" customHeight="1">
      <c r="A780" s="22"/>
      <c r="B780" s="34"/>
      <c r="C780" s="24"/>
    </row>
    <row r="781" ht="14.25" customHeight="1">
      <c r="A781" s="22"/>
      <c r="B781" s="34"/>
      <c r="C781" s="24"/>
    </row>
    <row r="782" ht="14.25" customHeight="1">
      <c r="A782" s="22"/>
      <c r="B782" s="34"/>
      <c r="C782" s="24"/>
    </row>
    <row r="783" ht="14.25" customHeight="1">
      <c r="A783" s="22"/>
      <c r="B783" s="34"/>
      <c r="C783" s="24"/>
    </row>
    <row r="784" ht="14.25" customHeight="1">
      <c r="A784" s="22"/>
      <c r="B784" s="34"/>
      <c r="C784" s="24"/>
    </row>
    <row r="785" ht="14.25" customHeight="1">
      <c r="A785" s="22"/>
      <c r="B785" s="34"/>
      <c r="C785" s="24"/>
    </row>
    <row r="786" ht="14.25" customHeight="1">
      <c r="A786" s="22"/>
      <c r="B786" s="34"/>
      <c r="C786" s="24"/>
    </row>
    <row r="787" ht="14.25" customHeight="1">
      <c r="A787" s="22"/>
      <c r="B787" s="34"/>
      <c r="C787" s="24"/>
    </row>
    <row r="788" ht="14.25" customHeight="1">
      <c r="A788" s="22"/>
      <c r="B788" s="34"/>
      <c r="C788" s="24"/>
    </row>
    <row r="789" ht="14.25" customHeight="1">
      <c r="A789" s="22"/>
      <c r="B789" s="34"/>
      <c r="C789" s="24"/>
    </row>
    <row r="790" ht="14.25" customHeight="1">
      <c r="A790" s="22"/>
      <c r="B790" s="34"/>
      <c r="C790" s="24"/>
    </row>
    <row r="791" ht="14.25" customHeight="1">
      <c r="A791" s="22"/>
      <c r="B791" s="34"/>
      <c r="C791" s="24"/>
    </row>
    <row r="792" ht="14.25" customHeight="1">
      <c r="A792" s="22"/>
      <c r="B792" s="34"/>
      <c r="C792" s="24"/>
    </row>
    <row r="793" ht="14.25" customHeight="1">
      <c r="A793" s="22"/>
      <c r="B793" s="34"/>
      <c r="C793" s="24"/>
    </row>
    <row r="794" ht="14.25" customHeight="1">
      <c r="A794" s="22"/>
      <c r="B794" s="34"/>
      <c r="C794" s="24"/>
    </row>
    <row r="795" ht="14.25" customHeight="1">
      <c r="A795" s="22"/>
      <c r="B795" s="34"/>
      <c r="C795" s="24"/>
    </row>
    <row r="796" ht="14.25" customHeight="1">
      <c r="A796" s="22"/>
      <c r="B796" s="34"/>
      <c r="C796" s="24"/>
    </row>
    <row r="797" ht="14.25" customHeight="1">
      <c r="A797" s="22"/>
      <c r="B797" s="34"/>
      <c r="C797" s="24"/>
    </row>
    <row r="798" ht="14.25" customHeight="1">
      <c r="A798" s="22"/>
      <c r="B798" s="34"/>
      <c r="C798" s="24"/>
    </row>
    <row r="799" ht="14.25" customHeight="1">
      <c r="A799" s="22"/>
      <c r="B799" s="34"/>
      <c r="C799" s="24"/>
    </row>
    <row r="800" ht="14.25" customHeight="1">
      <c r="A800" s="22"/>
      <c r="B800" s="34"/>
      <c r="C800" s="24"/>
    </row>
    <row r="801" ht="14.25" customHeight="1">
      <c r="A801" s="22"/>
      <c r="B801" s="34"/>
      <c r="C801" s="24"/>
    </row>
    <row r="802" ht="14.25" customHeight="1">
      <c r="A802" s="22"/>
      <c r="B802" s="34"/>
      <c r="C802" s="24"/>
    </row>
    <row r="803" ht="14.25" customHeight="1">
      <c r="A803" s="22"/>
      <c r="B803" s="34"/>
      <c r="C803" s="24"/>
    </row>
    <row r="804" ht="14.25" customHeight="1">
      <c r="A804" s="22"/>
      <c r="B804" s="34"/>
      <c r="C804" s="24"/>
    </row>
    <row r="805" ht="14.25" customHeight="1">
      <c r="A805" s="22"/>
      <c r="B805" s="34"/>
      <c r="C805" s="24"/>
    </row>
    <row r="806" ht="14.25" customHeight="1">
      <c r="A806" s="22"/>
      <c r="B806" s="34"/>
      <c r="C806" s="24"/>
    </row>
    <row r="807" ht="14.25" customHeight="1">
      <c r="A807" s="22"/>
      <c r="B807" s="34"/>
      <c r="C807" s="24"/>
    </row>
    <row r="808" ht="14.25" customHeight="1">
      <c r="A808" s="22"/>
      <c r="B808" s="34"/>
      <c r="C808" s="24"/>
    </row>
    <row r="809" ht="14.25" customHeight="1">
      <c r="A809" s="22"/>
      <c r="B809" s="34"/>
      <c r="C809" s="24"/>
    </row>
    <row r="810" ht="14.25" customHeight="1">
      <c r="A810" s="22"/>
      <c r="B810" s="34"/>
      <c r="C810" s="24"/>
    </row>
    <row r="811" ht="14.25" customHeight="1">
      <c r="A811" s="22"/>
      <c r="B811" s="34"/>
      <c r="C811" s="24"/>
    </row>
    <row r="812" ht="14.25" customHeight="1">
      <c r="A812" s="22"/>
      <c r="B812" s="34"/>
      <c r="C812" s="24"/>
    </row>
    <row r="813" ht="14.25" customHeight="1">
      <c r="A813" s="22"/>
      <c r="B813" s="34"/>
      <c r="C813" s="24"/>
    </row>
    <row r="814" ht="14.25" customHeight="1">
      <c r="A814" s="22"/>
      <c r="B814" s="34"/>
      <c r="C814" s="24"/>
    </row>
    <row r="815" ht="14.25" customHeight="1">
      <c r="A815" s="22"/>
      <c r="B815" s="34"/>
      <c r="C815" s="24"/>
    </row>
    <row r="816" ht="14.25" customHeight="1">
      <c r="A816" s="22"/>
      <c r="B816" s="34"/>
      <c r="C816" s="24"/>
    </row>
    <row r="817" ht="14.25" customHeight="1">
      <c r="A817" s="22"/>
      <c r="B817" s="34"/>
      <c r="C817" s="24"/>
    </row>
    <row r="818" ht="14.25" customHeight="1">
      <c r="A818" s="22"/>
      <c r="B818" s="34"/>
      <c r="C818" s="24"/>
    </row>
    <row r="819" ht="14.25" customHeight="1">
      <c r="A819" s="22"/>
      <c r="B819" s="34"/>
      <c r="C819" s="24"/>
    </row>
    <row r="820" ht="14.25" customHeight="1">
      <c r="A820" s="22"/>
      <c r="B820" s="34"/>
      <c r="C820" s="24"/>
    </row>
    <row r="821" ht="14.25" customHeight="1">
      <c r="A821" s="22"/>
      <c r="B821" s="34"/>
      <c r="C821" s="24"/>
    </row>
    <row r="822" ht="14.25" customHeight="1">
      <c r="A822" s="22"/>
      <c r="B822" s="34"/>
      <c r="C822" s="24"/>
    </row>
    <row r="823" ht="14.25" customHeight="1">
      <c r="A823" s="22"/>
      <c r="B823" s="34"/>
      <c r="C823" s="24"/>
    </row>
    <row r="824" ht="14.25" customHeight="1">
      <c r="A824" s="22"/>
      <c r="B824" s="34"/>
      <c r="C824" s="24"/>
    </row>
    <row r="825" ht="14.25" customHeight="1">
      <c r="A825" s="22"/>
      <c r="B825" s="34"/>
      <c r="C825" s="24"/>
    </row>
    <row r="826" ht="14.25" customHeight="1">
      <c r="A826" s="22"/>
      <c r="B826" s="34"/>
      <c r="C826" s="24"/>
    </row>
    <row r="827" ht="14.25" customHeight="1">
      <c r="A827" s="22"/>
      <c r="B827" s="34"/>
      <c r="C827" s="24"/>
    </row>
    <row r="828" ht="14.25" customHeight="1">
      <c r="A828" s="22"/>
      <c r="B828" s="34"/>
      <c r="C828" s="24"/>
    </row>
    <row r="829" ht="14.25" customHeight="1">
      <c r="A829" s="22"/>
      <c r="B829" s="34"/>
      <c r="C829" s="24"/>
    </row>
    <row r="830" ht="14.25" customHeight="1">
      <c r="A830" s="22"/>
      <c r="B830" s="34"/>
      <c r="C830" s="24"/>
    </row>
    <row r="831" ht="14.25" customHeight="1">
      <c r="A831" s="22"/>
      <c r="B831" s="34"/>
      <c r="C831" s="24"/>
    </row>
    <row r="832" ht="14.25" customHeight="1">
      <c r="A832" s="22"/>
      <c r="B832" s="34"/>
      <c r="C832" s="24"/>
    </row>
    <row r="833" ht="14.25" customHeight="1">
      <c r="A833" s="22"/>
      <c r="B833" s="34"/>
      <c r="C833" s="24"/>
    </row>
    <row r="834" ht="14.25" customHeight="1">
      <c r="A834" s="22"/>
      <c r="B834" s="34"/>
      <c r="C834" s="24"/>
    </row>
    <row r="835" ht="14.25" customHeight="1">
      <c r="A835" s="22"/>
      <c r="B835" s="34"/>
      <c r="C835" s="24"/>
    </row>
    <row r="836" ht="14.25" customHeight="1">
      <c r="A836" s="22"/>
      <c r="B836" s="34"/>
      <c r="C836" s="24"/>
    </row>
    <row r="837" ht="14.25" customHeight="1">
      <c r="A837" s="22"/>
      <c r="B837" s="34"/>
      <c r="C837" s="24"/>
    </row>
    <row r="838" ht="14.25" customHeight="1">
      <c r="A838" s="22"/>
      <c r="B838" s="34"/>
      <c r="C838" s="24"/>
    </row>
    <row r="839" ht="14.25" customHeight="1">
      <c r="A839" s="22"/>
      <c r="B839" s="34"/>
      <c r="C839" s="24"/>
    </row>
    <row r="840" ht="14.25" customHeight="1">
      <c r="A840" s="22"/>
      <c r="B840" s="34"/>
      <c r="C840" s="24"/>
    </row>
    <row r="841" ht="14.25" customHeight="1">
      <c r="A841" s="22"/>
      <c r="B841" s="34"/>
      <c r="C841" s="24"/>
    </row>
    <row r="842" ht="14.25" customHeight="1">
      <c r="A842" s="22"/>
      <c r="B842" s="34"/>
      <c r="C842" s="24"/>
    </row>
    <row r="843" ht="14.25" customHeight="1">
      <c r="A843" s="22"/>
      <c r="B843" s="34"/>
      <c r="C843" s="24"/>
    </row>
    <row r="844" ht="14.25" customHeight="1">
      <c r="A844" s="22"/>
      <c r="B844" s="34"/>
      <c r="C844" s="24"/>
    </row>
    <row r="845" ht="14.25" customHeight="1">
      <c r="A845" s="22"/>
      <c r="B845" s="34"/>
      <c r="C845" s="24"/>
    </row>
    <row r="846" ht="14.25" customHeight="1">
      <c r="A846" s="22"/>
      <c r="B846" s="34"/>
      <c r="C846" s="24"/>
    </row>
    <row r="847" ht="14.25" customHeight="1">
      <c r="A847" s="22"/>
      <c r="B847" s="34"/>
      <c r="C847" s="24"/>
    </row>
    <row r="848" ht="14.25" customHeight="1">
      <c r="A848" s="22"/>
      <c r="B848" s="34"/>
      <c r="C848" s="24"/>
    </row>
    <row r="849" ht="14.25" customHeight="1">
      <c r="A849" s="22"/>
      <c r="B849" s="34"/>
      <c r="C849" s="24"/>
    </row>
    <row r="850" ht="14.25" customHeight="1">
      <c r="A850" s="22"/>
      <c r="B850" s="34"/>
      <c r="C850" s="24"/>
    </row>
    <row r="851" ht="14.25" customHeight="1">
      <c r="A851" s="22"/>
      <c r="B851" s="34"/>
      <c r="C851" s="24"/>
    </row>
    <row r="852" ht="14.25" customHeight="1">
      <c r="A852" s="22"/>
      <c r="B852" s="34"/>
      <c r="C852" s="24"/>
    </row>
    <row r="853" ht="14.25" customHeight="1">
      <c r="A853" s="22"/>
      <c r="B853" s="34"/>
      <c r="C853" s="24"/>
    </row>
    <row r="854" ht="14.25" customHeight="1">
      <c r="A854" s="22"/>
      <c r="B854" s="34"/>
      <c r="C854" s="24"/>
    </row>
    <row r="855" ht="14.25" customHeight="1">
      <c r="A855" s="22"/>
      <c r="B855" s="34"/>
      <c r="C855" s="24"/>
    </row>
    <row r="856" ht="14.25" customHeight="1">
      <c r="A856" s="22"/>
      <c r="B856" s="34"/>
      <c r="C856" s="24"/>
    </row>
    <row r="857" ht="14.25" customHeight="1">
      <c r="A857" s="22"/>
      <c r="B857" s="34"/>
      <c r="C857" s="24"/>
    </row>
    <row r="858" ht="14.25" customHeight="1">
      <c r="A858" s="22"/>
      <c r="B858" s="34"/>
      <c r="C858" s="24"/>
    </row>
    <row r="859" ht="14.25" customHeight="1">
      <c r="A859" s="22"/>
      <c r="B859" s="34"/>
      <c r="C859" s="24"/>
    </row>
    <row r="860" ht="14.25" customHeight="1">
      <c r="A860" s="22"/>
      <c r="B860" s="34"/>
      <c r="C860" s="24"/>
    </row>
    <row r="861" ht="14.25" customHeight="1">
      <c r="A861" s="22"/>
      <c r="B861" s="34"/>
      <c r="C861" s="24"/>
    </row>
    <row r="862" ht="14.25" customHeight="1">
      <c r="A862" s="22"/>
      <c r="B862" s="34"/>
      <c r="C862" s="24"/>
    </row>
    <row r="863" ht="14.25" customHeight="1">
      <c r="A863" s="22"/>
      <c r="B863" s="34"/>
      <c r="C863" s="24"/>
    </row>
    <row r="864" ht="14.25" customHeight="1">
      <c r="A864" s="22"/>
      <c r="B864" s="34"/>
      <c r="C864" s="24"/>
    </row>
    <row r="865" ht="14.25" customHeight="1">
      <c r="A865" s="22"/>
      <c r="B865" s="34"/>
      <c r="C865" s="24"/>
    </row>
    <row r="866" ht="14.25" customHeight="1">
      <c r="A866" s="22"/>
      <c r="B866" s="34"/>
      <c r="C866" s="24"/>
    </row>
    <row r="867" ht="14.25" customHeight="1">
      <c r="A867" s="22"/>
      <c r="B867" s="34"/>
      <c r="C867" s="24"/>
    </row>
    <row r="868" ht="14.25" customHeight="1">
      <c r="A868" s="22"/>
      <c r="B868" s="34"/>
      <c r="C868" s="24"/>
    </row>
    <row r="869" ht="14.25" customHeight="1">
      <c r="A869" s="22"/>
      <c r="B869" s="34"/>
      <c r="C869" s="24"/>
    </row>
    <row r="870" ht="14.25" customHeight="1">
      <c r="A870" s="22"/>
      <c r="B870" s="34"/>
      <c r="C870" s="24"/>
    </row>
    <row r="871" ht="14.25" customHeight="1">
      <c r="A871" s="22"/>
      <c r="B871" s="34"/>
      <c r="C871" s="24"/>
    </row>
    <row r="872" ht="14.25" customHeight="1">
      <c r="A872" s="22"/>
      <c r="B872" s="34"/>
      <c r="C872" s="24"/>
    </row>
    <row r="873" ht="14.25" customHeight="1">
      <c r="A873" s="22"/>
      <c r="B873" s="34"/>
      <c r="C873" s="24"/>
    </row>
    <row r="874" ht="14.25" customHeight="1">
      <c r="A874" s="22"/>
      <c r="B874" s="34"/>
      <c r="C874" s="24"/>
    </row>
    <row r="875" ht="14.25" customHeight="1">
      <c r="A875" s="22"/>
      <c r="B875" s="34"/>
      <c r="C875" s="24"/>
    </row>
    <row r="876" ht="14.25" customHeight="1">
      <c r="A876" s="22"/>
      <c r="B876" s="34"/>
      <c r="C876" s="24"/>
    </row>
    <row r="877" ht="14.25" customHeight="1">
      <c r="A877" s="22"/>
      <c r="B877" s="34"/>
      <c r="C877" s="24"/>
    </row>
    <row r="878" ht="14.25" customHeight="1">
      <c r="A878" s="22"/>
      <c r="B878" s="34"/>
      <c r="C878" s="24"/>
    </row>
    <row r="879" ht="14.25" customHeight="1">
      <c r="A879" s="22"/>
      <c r="B879" s="34"/>
      <c r="C879" s="24"/>
    </row>
    <row r="880" ht="14.25" customHeight="1">
      <c r="A880" s="22"/>
      <c r="B880" s="34"/>
      <c r="C880" s="24"/>
    </row>
    <row r="881" ht="14.25" customHeight="1">
      <c r="A881" s="22"/>
      <c r="B881" s="34"/>
      <c r="C881" s="24"/>
    </row>
    <row r="882" ht="14.25" customHeight="1">
      <c r="A882" s="22"/>
      <c r="B882" s="34"/>
      <c r="C882" s="24"/>
    </row>
    <row r="883" ht="14.25" customHeight="1">
      <c r="A883" s="22"/>
      <c r="B883" s="34"/>
      <c r="C883" s="24"/>
    </row>
    <row r="884" ht="14.25" customHeight="1">
      <c r="A884" s="22"/>
      <c r="B884" s="34"/>
      <c r="C884" s="24"/>
    </row>
    <row r="885" ht="14.25" customHeight="1">
      <c r="A885" s="22"/>
      <c r="B885" s="34"/>
      <c r="C885" s="24"/>
    </row>
    <row r="886" ht="14.25" customHeight="1">
      <c r="A886" s="22"/>
      <c r="B886" s="34"/>
      <c r="C886" s="24"/>
    </row>
    <row r="887" ht="14.25" customHeight="1">
      <c r="A887" s="22"/>
      <c r="B887" s="34"/>
      <c r="C887" s="24"/>
    </row>
    <row r="888" ht="14.25" customHeight="1">
      <c r="A888" s="22"/>
      <c r="B888" s="34"/>
      <c r="C888" s="24"/>
    </row>
    <row r="889" ht="14.25" customHeight="1">
      <c r="A889" s="22"/>
      <c r="B889" s="34"/>
      <c r="C889" s="24"/>
    </row>
    <row r="890" ht="14.25" customHeight="1">
      <c r="A890" s="22"/>
      <c r="B890" s="34"/>
      <c r="C890" s="24"/>
    </row>
    <row r="891" ht="14.25" customHeight="1">
      <c r="A891" s="22"/>
      <c r="B891" s="34"/>
      <c r="C891" s="24"/>
    </row>
    <row r="892" ht="14.25" customHeight="1">
      <c r="A892" s="22"/>
      <c r="B892" s="34"/>
      <c r="C892" s="24"/>
    </row>
    <row r="893" ht="14.25" customHeight="1">
      <c r="A893" s="22"/>
      <c r="B893" s="34"/>
      <c r="C893" s="24"/>
    </row>
    <row r="894" ht="14.25" customHeight="1">
      <c r="A894" s="22"/>
      <c r="B894" s="34"/>
      <c r="C894" s="24"/>
    </row>
    <row r="895" ht="14.25" customHeight="1">
      <c r="A895" s="22"/>
      <c r="B895" s="34"/>
      <c r="C895" s="24"/>
    </row>
    <row r="896" ht="14.25" customHeight="1">
      <c r="A896" s="22"/>
      <c r="B896" s="34"/>
      <c r="C896" s="24"/>
    </row>
    <row r="897" ht="14.25" customHeight="1">
      <c r="A897" s="22"/>
      <c r="B897" s="34"/>
      <c r="C897" s="24"/>
    </row>
    <row r="898" ht="14.25" customHeight="1">
      <c r="A898" s="22"/>
      <c r="B898" s="34"/>
      <c r="C898" s="24"/>
    </row>
    <row r="899" ht="14.25" customHeight="1">
      <c r="A899" s="22"/>
      <c r="B899" s="34"/>
      <c r="C899" s="24"/>
    </row>
    <row r="900" ht="14.25" customHeight="1">
      <c r="A900" s="22"/>
      <c r="B900" s="34"/>
      <c r="C900" s="24"/>
    </row>
    <row r="901" ht="14.25" customHeight="1">
      <c r="A901" s="22"/>
      <c r="B901" s="34"/>
      <c r="C901" s="24"/>
    </row>
    <row r="902" ht="14.25" customHeight="1">
      <c r="A902" s="22"/>
      <c r="B902" s="34"/>
      <c r="C902" s="24"/>
    </row>
    <row r="903" ht="14.25" customHeight="1">
      <c r="A903" s="22"/>
      <c r="B903" s="34"/>
      <c r="C903" s="24"/>
    </row>
    <row r="904" ht="14.25" customHeight="1">
      <c r="A904" s="22"/>
      <c r="B904" s="34"/>
      <c r="C904" s="24"/>
    </row>
    <row r="905" ht="14.25" customHeight="1">
      <c r="A905" s="22"/>
      <c r="B905" s="34"/>
      <c r="C905" s="24"/>
    </row>
    <row r="906" ht="14.25" customHeight="1">
      <c r="A906" s="22"/>
      <c r="B906" s="34"/>
      <c r="C906" s="24"/>
    </row>
    <row r="907" ht="14.25" customHeight="1">
      <c r="A907" s="22"/>
      <c r="B907" s="34"/>
      <c r="C907" s="24"/>
    </row>
    <row r="908" ht="14.25" customHeight="1">
      <c r="A908" s="22"/>
      <c r="B908" s="34"/>
      <c r="C908" s="24"/>
    </row>
    <row r="909" ht="14.25" customHeight="1">
      <c r="A909" s="22"/>
      <c r="B909" s="34"/>
      <c r="C909" s="24"/>
    </row>
    <row r="910" ht="14.25" customHeight="1">
      <c r="A910" s="22"/>
      <c r="B910" s="34"/>
      <c r="C910" s="24"/>
    </row>
    <row r="911" ht="14.25" customHeight="1">
      <c r="A911" s="22"/>
      <c r="B911" s="34"/>
      <c r="C911" s="24"/>
    </row>
    <row r="912" ht="14.25" customHeight="1">
      <c r="A912" s="22"/>
      <c r="B912" s="34"/>
      <c r="C912" s="24"/>
    </row>
    <row r="913" ht="14.25" customHeight="1">
      <c r="A913" s="22"/>
      <c r="B913" s="34"/>
      <c r="C913" s="24"/>
    </row>
    <row r="914" ht="14.25" customHeight="1">
      <c r="A914" s="22"/>
      <c r="B914" s="34"/>
      <c r="C914" s="24"/>
    </row>
    <row r="915" ht="14.25" customHeight="1">
      <c r="A915" s="22"/>
      <c r="B915" s="34"/>
      <c r="C915" s="24"/>
    </row>
    <row r="916" ht="14.25" customHeight="1">
      <c r="A916" s="22"/>
      <c r="B916" s="34"/>
      <c r="C916" s="24"/>
    </row>
    <row r="917" ht="14.25" customHeight="1">
      <c r="A917" s="22"/>
      <c r="B917" s="34"/>
      <c r="C917" s="24"/>
    </row>
    <row r="918" ht="14.25" customHeight="1">
      <c r="A918" s="22"/>
      <c r="B918" s="34"/>
      <c r="C918" s="24"/>
    </row>
    <row r="919" ht="14.25" customHeight="1">
      <c r="A919" s="22"/>
      <c r="B919" s="34"/>
      <c r="C919" s="24"/>
    </row>
    <row r="920" ht="14.25" customHeight="1">
      <c r="A920" s="22"/>
      <c r="B920" s="34"/>
      <c r="C920" s="24"/>
    </row>
    <row r="921" ht="14.25" customHeight="1">
      <c r="A921" s="22"/>
      <c r="B921" s="34"/>
      <c r="C921" s="24"/>
    </row>
    <row r="922" ht="14.25" customHeight="1">
      <c r="A922" s="22"/>
      <c r="B922" s="34"/>
      <c r="C922" s="24"/>
    </row>
    <row r="923" ht="14.25" customHeight="1">
      <c r="A923" s="22"/>
      <c r="B923" s="34"/>
      <c r="C923" s="24"/>
    </row>
    <row r="924" ht="14.25" customHeight="1">
      <c r="A924" s="22"/>
      <c r="B924" s="34"/>
      <c r="C924" s="24"/>
    </row>
    <row r="925" ht="14.25" customHeight="1">
      <c r="A925" s="22"/>
      <c r="B925" s="34"/>
      <c r="C925" s="24"/>
    </row>
    <row r="926" ht="14.25" customHeight="1">
      <c r="A926" s="22"/>
      <c r="B926" s="34"/>
      <c r="C926" s="24"/>
    </row>
    <row r="927" ht="14.25" customHeight="1">
      <c r="A927" s="22"/>
      <c r="B927" s="34"/>
      <c r="C927" s="24"/>
    </row>
    <row r="928" ht="14.25" customHeight="1">
      <c r="A928" s="22"/>
      <c r="B928" s="34"/>
      <c r="C928" s="24"/>
    </row>
    <row r="929" ht="14.25" customHeight="1">
      <c r="A929" s="22"/>
      <c r="B929" s="34"/>
      <c r="C929" s="24"/>
    </row>
    <row r="930" ht="14.25" customHeight="1">
      <c r="A930" s="22"/>
      <c r="B930" s="34"/>
      <c r="C930" s="24"/>
    </row>
    <row r="931" ht="14.25" customHeight="1">
      <c r="A931" s="22"/>
      <c r="B931" s="34"/>
      <c r="C931" s="24"/>
    </row>
    <row r="932" ht="14.25" customHeight="1">
      <c r="A932" s="22"/>
      <c r="B932" s="34"/>
      <c r="C932" s="24"/>
    </row>
    <row r="933" ht="14.25" customHeight="1">
      <c r="A933" s="22"/>
      <c r="B933" s="34"/>
      <c r="C933" s="24"/>
    </row>
    <row r="934" ht="14.25" customHeight="1">
      <c r="A934" s="22"/>
      <c r="B934" s="34"/>
      <c r="C934" s="24"/>
    </row>
    <row r="935" ht="14.25" customHeight="1">
      <c r="A935" s="22"/>
      <c r="B935" s="34"/>
      <c r="C935" s="24"/>
    </row>
    <row r="936" ht="14.25" customHeight="1">
      <c r="A936" s="22"/>
      <c r="B936" s="34"/>
      <c r="C936" s="24"/>
    </row>
    <row r="937" ht="14.25" customHeight="1">
      <c r="A937" s="22"/>
      <c r="B937" s="34"/>
      <c r="C937" s="24"/>
    </row>
    <row r="938" ht="14.25" customHeight="1">
      <c r="A938" s="22"/>
      <c r="B938" s="34"/>
      <c r="C938" s="24"/>
    </row>
    <row r="939" ht="14.25" customHeight="1">
      <c r="A939" s="22"/>
      <c r="B939" s="34"/>
      <c r="C939" s="24"/>
    </row>
    <row r="940" ht="14.25" customHeight="1">
      <c r="A940" s="22"/>
      <c r="B940" s="34"/>
      <c r="C940" s="24"/>
    </row>
    <row r="941" ht="14.25" customHeight="1">
      <c r="A941" s="22"/>
      <c r="B941" s="34"/>
      <c r="C941" s="24"/>
    </row>
    <row r="942" ht="14.25" customHeight="1">
      <c r="A942" s="22"/>
      <c r="B942" s="34"/>
      <c r="C942" s="24"/>
    </row>
    <row r="943" ht="14.25" customHeight="1">
      <c r="A943" s="22"/>
      <c r="B943" s="34"/>
      <c r="C943" s="24"/>
    </row>
    <row r="944" ht="14.25" customHeight="1">
      <c r="A944" s="22"/>
      <c r="B944" s="34"/>
      <c r="C944" s="24"/>
    </row>
    <row r="945" ht="14.25" customHeight="1">
      <c r="A945" s="22"/>
      <c r="B945" s="34"/>
      <c r="C945" s="24"/>
    </row>
    <row r="946" ht="14.25" customHeight="1">
      <c r="A946" s="22"/>
      <c r="B946" s="34"/>
      <c r="C946" s="24"/>
    </row>
    <row r="947" ht="14.25" customHeight="1">
      <c r="A947" s="22"/>
      <c r="B947" s="34"/>
      <c r="C947" s="24"/>
    </row>
    <row r="948" ht="14.25" customHeight="1">
      <c r="A948" s="22"/>
      <c r="B948" s="34"/>
      <c r="C948" s="24"/>
    </row>
    <row r="949" ht="14.25" customHeight="1">
      <c r="A949" s="22"/>
      <c r="B949" s="34"/>
      <c r="C949" s="24"/>
    </row>
    <row r="950" ht="14.25" customHeight="1">
      <c r="A950" s="22"/>
      <c r="B950" s="34"/>
      <c r="C950" s="24"/>
    </row>
    <row r="951" ht="14.25" customHeight="1">
      <c r="A951" s="22"/>
      <c r="B951" s="34"/>
      <c r="C951" s="24"/>
    </row>
    <row r="952" ht="14.25" customHeight="1">
      <c r="A952" s="22"/>
      <c r="B952" s="34"/>
      <c r="C952" s="24"/>
    </row>
    <row r="953" ht="14.25" customHeight="1">
      <c r="A953" s="22"/>
      <c r="B953" s="34"/>
      <c r="C953" s="24"/>
    </row>
    <row r="954" ht="14.25" customHeight="1">
      <c r="A954" s="22"/>
      <c r="B954" s="34"/>
      <c r="C954" s="24"/>
    </row>
    <row r="955" ht="14.25" customHeight="1">
      <c r="A955" s="22"/>
      <c r="B955" s="34"/>
      <c r="C955" s="24"/>
    </row>
    <row r="956" ht="14.25" customHeight="1">
      <c r="A956" s="22"/>
      <c r="B956" s="34"/>
      <c r="C956" s="24"/>
    </row>
    <row r="957" ht="14.25" customHeight="1">
      <c r="A957" s="22"/>
      <c r="B957" s="34"/>
      <c r="C957" s="24"/>
    </row>
    <row r="958" ht="14.25" customHeight="1">
      <c r="A958" s="22"/>
      <c r="B958" s="34"/>
      <c r="C958" s="24"/>
    </row>
    <row r="959" ht="14.25" customHeight="1">
      <c r="A959" s="22"/>
      <c r="B959" s="34"/>
      <c r="C959" s="24"/>
    </row>
    <row r="960" ht="14.25" customHeight="1">
      <c r="A960" s="22"/>
      <c r="B960" s="34"/>
      <c r="C960" s="24"/>
    </row>
    <row r="961" ht="14.25" customHeight="1">
      <c r="A961" s="22"/>
      <c r="B961" s="34"/>
      <c r="C961" s="24"/>
    </row>
    <row r="962" ht="14.25" customHeight="1">
      <c r="A962" s="22"/>
      <c r="B962" s="34"/>
      <c r="C962" s="24"/>
    </row>
    <row r="963" ht="14.25" customHeight="1">
      <c r="A963" s="22"/>
      <c r="B963" s="34"/>
      <c r="C963" s="24"/>
    </row>
    <row r="964" ht="14.25" customHeight="1">
      <c r="A964" s="22"/>
      <c r="B964" s="34"/>
      <c r="C964" s="24"/>
    </row>
    <row r="965" ht="14.25" customHeight="1">
      <c r="A965" s="22"/>
      <c r="B965" s="34"/>
      <c r="C965" s="24"/>
    </row>
    <row r="966" ht="14.25" customHeight="1">
      <c r="A966" s="22"/>
      <c r="B966" s="34"/>
      <c r="C966" s="24"/>
    </row>
    <row r="967" ht="14.25" customHeight="1">
      <c r="A967" s="22"/>
      <c r="B967" s="34"/>
      <c r="C967" s="24"/>
    </row>
    <row r="968" ht="14.25" customHeight="1">
      <c r="A968" s="22"/>
      <c r="B968" s="34"/>
      <c r="C968" s="24"/>
    </row>
    <row r="969" ht="14.25" customHeight="1">
      <c r="A969" s="22"/>
      <c r="B969" s="34"/>
      <c r="C969" s="24"/>
    </row>
    <row r="970" ht="14.25" customHeight="1">
      <c r="A970" s="22"/>
      <c r="B970" s="34"/>
      <c r="C970" s="24"/>
    </row>
    <row r="971" ht="14.25" customHeight="1">
      <c r="A971" s="22"/>
      <c r="B971" s="34"/>
      <c r="C971" s="24"/>
    </row>
    <row r="972" ht="14.25" customHeight="1">
      <c r="A972" s="22"/>
      <c r="B972" s="34"/>
      <c r="C972" s="24"/>
    </row>
    <row r="973" ht="14.25" customHeight="1">
      <c r="A973" s="22"/>
      <c r="B973" s="34"/>
      <c r="C973" s="24"/>
    </row>
    <row r="974" ht="14.25" customHeight="1">
      <c r="A974" s="22"/>
      <c r="B974" s="34"/>
      <c r="C974" s="24"/>
    </row>
    <row r="975" ht="14.25" customHeight="1">
      <c r="A975" s="22"/>
      <c r="B975" s="34"/>
      <c r="C975" s="24"/>
    </row>
    <row r="976" ht="14.25" customHeight="1">
      <c r="A976" s="22"/>
      <c r="B976" s="34"/>
      <c r="C976" s="24"/>
    </row>
    <row r="977" ht="14.25" customHeight="1">
      <c r="A977" s="22"/>
      <c r="B977" s="34"/>
      <c r="C977" s="24"/>
    </row>
    <row r="978" ht="14.25" customHeight="1">
      <c r="A978" s="22"/>
      <c r="B978" s="34"/>
      <c r="C978" s="24"/>
    </row>
    <row r="979" ht="14.25" customHeight="1">
      <c r="A979" s="22"/>
      <c r="B979" s="34"/>
      <c r="C979" s="24"/>
    </row>
    <row r="980" ht="14.25" customHeight="1">
      <c r="A980" s="22"/>
      <c r="B980" s="34"/>
      <c r="C980" s="24"/>
    </row>
    <row r="981" ht="14.25" customHeight="1">
      <c r="A981" s="22"/>
      <c r="B981" s="34"/>
      <c r="C981" s="24"/>
    </row>
    <row r="982" ht="14.25" customHeight="1">
      <c r="A982" s="22"/>
      <c r="B982" s="34"/>
      <c r="C982" s="24"/>
    </row>
    <row r="983" ht="14.25" customHeight="1">
      <c r="A983" s="22"/>
      <c r="B983" s="34"/>
      <c r="C983" s="24"/>
    </row>
    <row r="984" ht="14.25" customHeight="1">
      <c r="A984" s="22"/>
      <c r="B984" s="34"/>
      <c r="C984" s="24"/>
    </row>
    <row r="985" ht="14.25" customHeight="1">
      <c r="A985" s="22"/>
      <c r="B985" s="34"/>
      <c r="C985" s="24"/>
    </row>
    <row r="986" ht="14.25" customHeight="1">
      <c r="A986" s="22"/>
      <c r="B986" s="34"/>
      <c r="C986" s="24"/>
    </row>
    <row r="987" ht="14.25" customHeight="1">
      <c r="A987" s="22"/>
      <c r="B987" s="34"/>
      <c r="C987" s="24"/>
    </row>
    <row r="988" ht="14.25" customHeight="1">
      <c r="A988" s="22"/>
      <c r="B988" s="34"/>
      <c r="C988" s="24"/>
    </row>
    <row r="989" ht="14.25" customHeight="1">
      <c r="A989" s="22"/>
      <c r="B989" s="34"/>
      <c r="C989" s="24"/>
    </row>
    <row r="990" ht="14.25" customHeight="1">
      <c r="A990" s="22"/>
      <c r="B990" s="34"/>
      <c r="C990" s="24"/>
    </row>
    <row r="991" ht="14.25" customHeight="1">
      <c r="A991" s="22"/>
      <c r="B991" s="34"/>
      <c r="C991" s="24"/>
    </row>
    <row r="992" ht="14.25" customHeight="1">
      <c r="A992" s="22"/>
      <c r="B992" s="34"/>
      <c r="C992" s="24"/>
    </row>
    <row r="993" ht="14.25" customHeight="1">
      <c r="A993" s="22"/>
      <c r="B993" s="34"/>
      <c r="C993" s="24"/>
    </row>
    <row r="994" ht="14.25" customHeight="1">
      <c r="A994" s="22"/>
      <c r="B994" s="34"/>
      <c r="C994" s="24"/>
    </row>
    <row r="995" ht="14.25" customHeight="1">
      <c r="A995" s="22"/>
      <c r="B995" s="34"/>
      <c r="C995" s="24"/>
    </row>
    <row r="996" ht="14.25" customHeight="1">
      <c r="A996" s="22"/>
      <c r="B996" s="34"/>
      <c r="C996" s="24"/>
    </row>
    <row r="997" ht="14.25" customHeight="1">
      <c r="A997" s="22"/>
      <c r="B997" s="34"/>
      <c r="C997" s="24"/>
    </row>
    <row r="998" ht="14.25" customHeight="1">
      <c r="A998" s="22"/>
      <c r="B998" s="34"/>
      <c r="C998" s="24"/>
    </row>
    <row r="999" ht="14.25" customHeight="1">
      <c r="A999" s="22"/>
      <c r="B999" s="34"/>
      <c r="C999" s="24"/>
    </row>
    <row r="1000" ht="14.25" customHeight="1">
      <c r="A1000" s="22"/>
      <c r="B1000" s="34"/>
      <c r="C1000" s="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showGridLines="0" workbookViewId="0"/>
  </sheetViews>
  <sheetFormatPr customHeight="1" defaultColWidth="14.43" defaultRowHeight="15.0"/>
  <cols>
    <col customWidth="1" min="1" max="1" width="21.86"/>
    <col customWidth="1" min="2" max="2" width="14.14"/>
    <col customWidth="1" min="3" max="3" width="14.57"/>
    <col customWidth="1" min="4" max="4" width="14.29"/>
    <col customWidth="1" min="5" max="5" width="13.71"/>
    <col customWidth="1" min="6" max="7" width="14.29"/>
    <col customWidth="1" min="8" max="8" width="13.71"/>
    <col customWidth="1" min="9" max="9" width="13.0"/>
    <col customWidth="1" min="10" max="10" width="13.43"/>
    <col customWidth="1" min="12" max="12" width="14.71"/>
    <col customWidth="1" min="13" max="13" width="11.29"/>
    <col customWidth="1" min="14" max="26" width="8.86"/>
  </cols>
  <sheetData>
    <row r="1" ht="18.0" customHeight="1"/>
    <row r="2" ht="10.5" customHeight="1"/>
    <row r="3" ht="7.5" customHeight="1"/>
    <row r="4" ht="8.25" customHeight="1"/>
    <row r="5" ht="14.25" customHeight="1">
      <c r="A5" s="62" t="s">
        <v>82</v>
      </c>
    </row>
    <row r="6" ht="14.25" customHeight="1">
      <c r="A6" s="63" t="s">
        <v>83</v>
      </c>
    </row>
    <row r="7" ht="14.25" customHeight="1">
      <c r="A7" s="63" t="s">
        <v>84</v>
      </c>
    </row>
    <row r="8" ht="14.25" customHeight="1">
      <c r="A8" s="64" t="s">
        <v>85</v>
      </c>
    </row>
    <row r="9" ht="14.25" customHeight="1">
      <c r="B9" s="65"/>
      <c r="E9" s="65"/>
    </row>
    <row r="10" ht="14.25" customHeight="1">
      <c r="B10" s="66">
        <v>45254.0</v>
      </c>
      <c r="C10" s="66">
        <v>45255.0</v>
      </c>
      <c r="D10" s="66">
        <v>45256.0</v>
      </c>
      <c r="E10" s="66">
        <v>45257.0</v>
      </c>
      <c r="F10" s="66">
        <v>45258.0</v>
      </c>
      <c r="G10" s="66">
        <v>45259.0</v>
      </c>
      <c r="H10" s="66">
        <v>45260.0</v>
      </c>
      <c r="I10" s="66">
        <v>45261.0</v>
      </c>
      <c r="J10" s="66">
        <v>45262.0</v>
      </c>
      <c r="K10" s="66">
        <v>45263.0</v>
      </c>
      <c r="L10" s="66" t="s">
        <v>48</v>
      </c>
    </row>
    <row r="11" ht="14.25" customHeight="1">
      <c r="A11" s="67" t="s">
        <v>86</v>
      </c>
      <c r="B11" s="68">
        <f>'Données'!F$40</f>
        <v>1877.25</v>
      </c>
      <c r="C11" s="68">
        <f>'Données'!G$40</f>
        <v>1612.61</v>
      </c>
      <c r="D11" s="68">
        <f>'Données'!H$40</f>
        <v>1347.41</v>
      </c>
      <c r="E11" s="68">
        <f>'Données'!I$40</f>
        <v>697.14</v>
      </c>
      <c r="F11" s="68">
        <f>'Données'!J$40</f>
        <v>806.23</v>
      </c>
      <c r="G11" s="68">
        <f>'Données'!K$40</f>
        <v>1044.65</v>
      </c>
      <c r="H11" s="68">
        <f>'Données'!L$40</f>
        <v>1620.39</v>
      </c>
      <c r="I11" s="68">
        <f>'Données'!M$40</f>
        <v>1727.84</v>
      </c>
      <c r="J11" s="68">
        <f>'Données'!N$40</f>
        <v>1734.78</v>
      </c>
      <c r="K11" s="68" t="str">
        <f>#REF!</f>
        <v>#REF!</v>
      </c>
      <c r="L11" s="69" t="str">
        <f t="shared" ref="L11:L17" si="2">SUM(B11:K11)</f>
        <v>#REF!</v>
      </c>
    </row>
    <row r="12" ht="14.25" customHeight="1">
      <c r="A12" s="70" t="s">
        <v>87</v>
      </c>
      <c r="B12" s="71">
        <f t="shared" ref="B12:K12" si="1">(B11/100*20)-B13-B14</f>
        <v>314.45</v>
      </c>
      <c r="C12" s="71">
        <f t="shared" si="1"/>
        <v>261.522</v>
      </c>
      <c r="D12" s="71">
        <f t="shared" si="1"/>
        <v>-19.518</v>
      </c>
      <c r="E12" s="71">
        <f t="shared" si="1"/>
        <v>-29.572</v>
      </c>
      <c r="F12" s="71">
        <f t="shared" si="1"/>
        <v>-34.754</v>
      </c>
      <c r="G12" s="71">
        <f t="shared" si="1"/>
        <v>12.93</v>
      </c>
      <c r="H12" s="71">
        <f t="shared" si="1"/>
        <v>120.078</v>
      </c>
      <c r="I12" s="71">
        <f t="shared" si="1"/>
        <v>-16.432</v>
      </c>
      <c r="J12" s="71">
        <f t="shared" si="1"/>
        <v>121.956</v>
      </c>
      <c r="K12" s="71" t="str">
        <f t="shared" si="1"/>
        <v>#REF!</v>
      </c>
      <c r="L12" s="72" t="str">
        <f t="shared" si="2"/>
        <v>#REF!</v>
      </c>
    </row>
    <row r="13" ht="14.25" customHeight="1">
      <c r="A13" s="73" t="s">
        <v>88</v>
      </c>
      <c r="B13" s="74">
        <f>ROUNDDOWN('Données'!F11,0)</f>
        <v>0</v>
      </c>
      <c r="C13" s="74">
        <f>ROUNDDOWN('Données'!G11,0)</f>
        <v>0</v>
      </c>
      <c r="D13" s="74">
        <f>ROUNDDOWN('Données'!H11,0)</f>
        <v>166</v>
      </c>
      <c r="E13" s="74">
        <f>ROUNDDOWN('Données'!I11,0)</f>
        <v>139</v>
      </c>
      <c r="F13" s="74">
        <f>ROUNDDOWN('Données'!J11,0)</f>
        <v>166</v>
      </c>
      <c r="G13" s="74">
        <f>ROUNDDOWN('Données'!K11,0)</f>
        <v>166</v>
      </c>
      <c r="H13" s="74">
        <f>ROUNDDOWN('Données'!L11,0)</f>
        <v>112</v>
      </c>
      <c r="I13" s="74">
        <f>ROUNDDOWN('Données'!M11,0)</f>
        <v>332</v>
      </c>
      <c r="J13" s="74">
        <f>ROUNDDOWN('Données'!N11,0)</f>
        <v>133</v>
      </c>
      <c r="K13" s="74" t="str">
        <f t="shared" ref="K13:K14" si="3">ROUNDDOWN(#REF!,0)</f>
        <v>#REF!</v>
      </c>
      <c r="L13" s="75" t="str">
        <f t="shared" si="2"/>
        <v>#REF!</v>
      </c>
    </row>
    <row r="14" ht="14.25" customHeight="1">
      <c r="A14" s="76" t="s">
        <v>89</v>
      </c>
      <c r="B14" s="77">
        <f>ROUNDDOWN('Données'!F28,0)</f>
        <v>61</v>
      </c>
      <c r="C14" s="77">
        <f>ROUNDDOWN('Données'!G28,0)</f>
        <v>61</v>
      </c>
      <c r="D14" s="77">
        <f>ROUNDDOWN('Données'!H28,0)</f>
        <v>123</v>
      </c>
      <c r="E14" s="77">
        <f>ROUNDDOWN('Données'!I28,0)</f>
        <v>30</v>
      </c>
      <c r="F14" s="77">
        <f>ROUNDDOWN('Données'!J28,0)</f>
        <v>30</v>
      </c>
      <c r="G14" s="77">
        <f>ROUNDDOWN('Données'!K28,0)</f>
        <v>30</v>
      </c>
      <c r="H14" s="77">
        <f>ROUNDDOWN('Données'!L28,0)</f>
        <v>92</v>
      </c>
      <c r="I14" s="77">
        <f>ROUNDDOWN('Données'!M28,0)</f>
        <v>30</v>
      </c>
      <c r="J14" s="77">
        <f>ROUNDDOWN('Données'!N28,0)</f>
        <v>92</v>
      </c>
      <c r="K14" s="77" t="str">
        <f t="shared" si="3"/>
        <v>#REF!</v>
      </c>
      <c r="L14" s="75" t="str">
        <f t="shared" si="2"/>
        <v>#REF!</v>
      </c>
      <c r="M14" s="78" t="str">
        <f>SUM(L12:L14)</f>
        <v>#REF!</v>
      </c>
    </row>
    <row r="15" ht="14.25" customHeight="1">
      <c r="A15" s="79" t="s">
        <v>90</v>
      </c>
      <c r="B15" s="80">
        <f t="shared" ref="B15:K15" si="4">B11-SUM(B12:B14)</f>
        <v>1501.8</v>
      </c>
      <c r="C15" s="80">
        <f t="shared" si="4"/>
        <v>1290.088</v>
      </c>
      <c r="D15" s="80">
        <f t="shared" si="4"/>
        <v>1077.928</v>
      </c>
      <c r="E15" s="80">
        <f t="shared" si="4"/>
        <v>557.712</v>
      </c>
      <c r="F15" s="80">
        <f t="shared" si="4"/>
        <v>644.984</v>
      </c>
      <c r="G15" s="80">
        <f t="shared" si="4"/>
        <v>835.72</v>
      </c>
      <c r="H15" s="80">
        <f t="shared" si="4"/>
        <v>1296.312</v>
      </c>
      <c r="I15" s="80">
        <f t="shared" si="4"/>
        <v>1382.272</v>
      </c>
      <c r="J15" s="80">
        <f t="shared" si="4"/>
        <v>1387.824</v>
      </c>
      <c r="K15" s="80" t="str">
        <f t="shared" si="4"/>
        <v>#REF!</v>
      </c>
      <c r="L15" s="80" t="str">
        <f t="shared" si="2"/>
        <v>#REF!</v>
      </c>
    </row>
    <row r="16" ht="14.25" customHeight="1">
      <c r="A16" s="70" t="s">
        <v>91</v>
      </c>
      <c r="B16" s="71">
        <f>('Données'!$C$3)/COUNTA($B$10:$K$10)</f>
        <v>414.495</v>
      </c>
      <c r="C16" s="71">
        <f>('Données'!$C$3)/COUNTA($B$10:$K$10)</f>
        <v>414.495</v>
      </c>
      <c r="D16" s="71">
        <f>('Données'!$C$3)/COUNTA($B$10:$K$10)</f>
        <v>414.495</v>
      </c>
      <c r="E16" s="71">
        <f>('Données'!$C$3)/COUNTA($B$10:$K$10)</f>
        <v>414.495</v>
      </c>
      <c r="F16" s="71">
        <f>('Données'!$C$3)/COUNTA($B$10:$K$10)</f>
        <v>414.495</v>
      </c>
      <c r="G16" s="71">
        <f>('Données'!$C$3)/COUNTA($B$10:$K$10)</f>
        <v>414.495</v>
      </c>
      <c r="H16" s="71">
        <f>('Données'!$C$3)/COUNTA($B$10:$K$10)</f>
        <v>414.495</v>
      </c>
      <c r="I16" s="71">
        <f>('Données'!$C$3)/COUNTA($B$10:$K$10)</f>
        <v>414.495</v>
      </c>
      <c r="J16" s="71">
        <f>('Données'!$C$3)/COUNTA($B$10:$K$10)</f>
        <v>414.495</v>
      </c>
      <c r="K16" s="71">
        <f>('Données'!$C$3)/COUNTA($B$10:$K$10)</f>
        <v>414.495</v>
      </c>
      <c r="L16" s="72">
        <f t="shared" si="2"/>
        <v>4144.95</v>
      </c>
    </row>
    <row r="17" ht="14.25" customHeight="1">
      <c r="A17" s="79" t="s">
        <v>92</v>
      </c>
      <c r="B17" s="80">
        <f t="shared" ref="B17:K17" si="5">B15-B16</f>
        <v>1087.305</v>
      </c>
      <c r="C17" s="80">
        <f t="shared" si="5"/>
        <v>875.593</v>
      </c>
      <c r="D17" s="80">
        <f t="shared" si="5"/>
        <v>663.433</v>
      </c>
      <c r="E17" s="80">
        <f t="shared" si="5"/>
        <v>143.217</v>
      </c>
      <c r="F17" s="80">
        <f t="shared" si="5"/>
        <v>230.489</v>
      </c>
      <c r="G17" s="80">
        <f t="shared" si="5"/>
        <v>421.225</v>
      </c>
      <c r="H17" s="80">
        <f t="shared" si="5"/>
        <v>881.817</v>
      </c>
      <c r="I17" s="80">
        <f t="shared" si="5"/>
        <v>967.777</v>
      </c>
      <c r="J17" s="80">
        <f t="shared" si="5"/>
        <v>973.329</v>
      </c>
      <c r="K17" s="80" t="str">
        <f t="shared" si="5"/>
        <v>#REF!</v>
      </c>
      <c r="L17" s="80" t="str">
        <f t="shared" si="2"/>
        <v>#REF!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conditionalFormatting sqref="B17:L17">
    <cfRule type="cellIs" dxfId="0" priority="1" operator="greaterThan">
      <formula>0</formula>
    </cfRule>
  </conditionalFormatting>
  <conditionalFormatting sqref="B17:L17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7B13"/>
    <pageSetUpPr/>
  </sheetPr>
  <sheetViews>
    <sheetView showGridLines="0" workbookViewId="0"/>
  </sheetViews>
  <sheetFormatPr customHeight="1" defaultColWidth="14.43" defaultRowHeight="15.0"/>
  <cols>
    <col customWidth="1" min="1" max="1" width="31.71"/>
    <col customWidth="1" min="2" max="2" width="14.14"/>
    <col customWidth="1" min="3" max="3" width="14.57"/>
    <col customWidth="1" min="4" max="4" width="14.29"/>
    <col customWidth="1" min="5" max="5" width="13.71"/>
    <col customWidth="1" min="6" max="7" width="14.29"/>
    <col customWidth="1" min="8" max="8" width="13.71"/>
    <col customWidth="1" min="9" max="9" width="13.0"/>
    <col customWidth="1" min="10" max="10" width="13.43"/>
    <col customWidth="1" min="12" max="12" width="14.71"/>
    <col customWidth="1" min="13" max="26" width="8.86"/>
  </cols>
  <sheetData>
    <row r="1" ht="18.0" customHeight="1"/>
    <row r="2" ht="10.5" customHeight="1"/>
    <row r="3" ht="7.5" customHeight="1"/>
    <row r="4" ht="8.25" customHeight="1"/>
    <row r="5" ht="14.25" customHeight="1">
      <c r="A5" s="62" t="s">
        <v>82</v>
      </c>
    </row>
    <row r="6" ht="14.25" customHeight="1">
      <c r="A6" s="63" t="s">
        <v>83</v>
      </c>
    </row>
    <row r="7" ht="14.25" customHeight="1">
      <c r="A7" s="63" t="s">
        <v>84</v>
      </c>
    </row>
    <row r="8" ht="14.25" customHeight="1">
      <c r="A8" s="64" t="s">
        <v>85</v>
      </c>
    </row>
    <row r="9" ht="14.25" customHeight="1">
      <c r="B9" s="65"/>
      <c r="E9" s="65"/>
    </row>
    <row r="10" ht="14.25" customHeight="1">
      <c r="B10" s="66">
        <v>45254.0</v>
      </c>
      <c r="C10" s="66">
        <v>45255.0</v>
      </c>
      <c r="D10" s="66">
        <v>45256.0</v>
      </c>
      <c r="E10" s="66">
        <v>45257.0</v>
      </c>
      <c r="F10" s="66">
        <v>45258.0</v>
      </c>
      <c r="G10" s="66">
        <v>45259.0</v>
      </c>
      <c r="H10" s="66">
        <v>45260.0</v>
      </c>
      <c r="I10" s="66">
        <v>45261.0</v>
      </c>
      <c r="J10" s="66">
        <v>45262.0</v>
      </c>
      <c r="K10" s="66">
        <v>45263.0</v>
      </c>
      <c r="L10" s="66" t="s">
        <v>48</v>
      </c>
    </row>
    <row r="11" ht="14.25" customHeight="1">
      <c r="A11" s="67" t="s">
        <v>86</v>
      </c>
      <c r="B11" s="68">
        <f>'Données'!F$40</f>
        <v>1877.25</v>
      </c>
      <c r="C11" s="68">
        <f>'Données'!G$40</f>
        <v>1612.61</v>
      </c>
      <c r="D11" s="68">
        <f>'Données'!H$40</f>
        <v>1347.41</v>
      </c>
      <c r="E11" s="68">
        <f>'Données'!I$40</f>
        <v>697.14</v>
      </c>
      <c r="F11" s="68">
        <f>'Données'!J$40</f>
        <v>806.23</v>
      </c>
      <c r="G11" s="68">
        <f>'Données'!K$40</f>
        <v>1044.65</v>
      </c>
      <c r="H11" s="68">
        <f>'Données'!L$40</f>
        <v>1620.39</v>
      </c>
      <c r="I11" s="68">
        <f>'Données'!M$40</f>
        <v>1727.84</v>
      </c>
      <c r="J11" s="68">
        <f>'Données'!N$40</f>
        <v>1734.78</v>
      </c>
      <c r="K11" s="68" t="str">
        <f>#REF!</f>
        <v>#REF!</v>
      </c>
      <c r="L11" s="69" t="str">
        <f t="shared" ref="L11:L16" si="2">SUM(B11:K11)</f>
        <v>#REF!</v>
      </c>
    </row>
    <row r="12" ht="14.25" customHeight="1">
      <c r="A12" s="70" t="s">
        <v>93</v>
      </c>
      <c r="B12" s="71">
        <f t="shared" ref="B12:K12" si="1">(B11/100*20)-B13-B14</f>
        <v>314.45</v>
      </c>
      <c r="C12" s="71">
        <f t="shared" si="1"/>
        <v>261.522</v>
      </c>
      <c r="D12" s="71">
        <f t="shared" si="1"/>
        <v>-19.518</v>
      </c>
      <c r="E12" s="71">
        <f t="shared" si="1"/>
        <v>-29.572</v>
      </c>
      <c r="F12" s="71">
        <f t="shared" si="1"/>
        <v>-34.754</v>
      </c>
      <c r="G12" s="71">
        <f t="shared" si="1"/>
        <v>12.93</v>
      </c>
      <c r="H12" s="71">
        <f t="shared" si="1"/>
        <v>120.078</v>
      </c>
      <c r="I12" s="71">
        <f t="shared" si="1"/>
        <v>-16.432</v>
      </c>
      <c r="J12" s="71">
        <f t="shared" si="1"/>
        <v>121.956</v>
      </c>
      <c r="K12" s="71" t="str">
        <f t="shared" si="1"/>
        <v>#REF!</v>
      </c>
      <c r="L12" s="72" t="str">
        <f t="shared" si="2"/>
        <v>#REF!</v>
      </c>
    </row>
    <row r="13" ht="14.25" customHeight="1">
      <c r="A13" s="73" t="s">
        <v>94</v>
      </c>
      <c r="B13" s="74">
        <f>ROUNDDOWN('Données'!F11,0)</f>
        <v>0</v>
      </c>
      <c r="C13" s="74">
        <f>ROUNDDOWN('Données'!G11,0)</f>
        <v>0</v>
      </c>
      <c r="D13" s="74">
        <f>ROUNDDOWN('Données'!H11,0)</f>
        <v>166</v>
      </c>
      <c r="E13" s="74">
        <f>ROUNDDOWN('Données'!I11,0)</f>
        <v>139</v>
      </c>
      <c r="F13" s="74">
        <f>ROUNDDOWN('Données'!J11,0)</f>
        <v>166</v>
      </c>
      <c r="G13" s="74">
        <f>ROUNDDOWN('Données'!K11,0)</f>
        <v>166</v>
      </c>
      <c r="H13" s="74">
        <f>ROUNDDOWN('Données'!L11,0)</f>
        <v>112</v>
      </c>
      <c r="I13" s="74">
        <f>ROUNDDOWN('Données'!M11,0)</f>
        <v>332</v>
      </c>
      <c r="J13" s="74">
        <f>ROUNDDOWN('Données'!N11,0)</f>
        <v>133</v>
      </c>
      <c r="K13" s="74" t="str">
        <f t="shared" ref="K13:K14" si="3">ROUNDDOWN(#REF!,0)</f>
        <v>#REF!</v>
      </c>
      <c r="L13" s="75" t="str">
        <f t="shared" si="2"/>
        <v>#REF!</v>
      </c>
    </row>
    <row r="14" ht="14.25" customHeight="1">
      <c r="A14" s="76" t="s">
        <v>95</v>
      </c>
      <c r="B14" s="77">
        <f>ROUNDDOWN('Données'!F28,0)</f>
        <v>61</v>
      </c>
      <c r="C14" s="77">
        <f>ROUNDDOWN('Données'!G28,0)</f>
        <v>61</v>
      </c>
      <c r="D14" s="77">
        <f>ROUNDDOWN('Données'!H28,0)</f>
        <v>123</v>
      </c>
      <c r="E14" s="77">
        <f>ROUNDDOWN('Données'!I28,0)</f>
        <v>30</v>
      </c>
      <c r="F14" s="77">
        <f>ROUNDDOWN('Données'!J28,0)</f>
        <v>30</v>
      </c>
      <c r="G14" s="77">
        <f>ROUNDDOWN('Données'!K28,0)</f>
        <v>30</v>
      </c>
      <c r="H14" s="77">
        <f>ROUNDDOWN('Données'!L28,0)</f>
        <v>92</v>
      </c>
      <c r="I14" s="77">
        <f>ROUNDDOWN('Données'!M28,0)</f>
        <v>30</v>
      </c>
      <c r="J14" s="77">
        <f>ROUNDDOWN('Données'!N28,0)</f>
        <v>92</v>
      </c>
      <c r="K14" s="77" t="str">
        <f t="shared" si="3"/>
        <v>#REF!</v>
      </c>
      <c r="L14" s="75" t="str">
        <f t="shared" si="2"/>
        <v>#REF!</v>
      </c>
    </row>
    <row r="15" ht="14.25" customHeight="1">
      <c r="A15" s="79" t="s">
        <v>96</v>
      </c>
      <c r="B15" s="80">
        <f t="shared" ref="B15:K15" si="4">SUM(B12:B14)</f>
        <v>375.45</v>
      </c>
      <c r="C15" s="80">
        <f t="shared" si="4"/>
        <v>322.522</v>
      </c>
      <c r="D15" s="80">
        <f t="shared" si="4"/>
        <v>269.482</v>
      </c>
      <c r="E15" s="80">
        <f t="shared" si="4"/>
        <v>139.428</v>
      </c>
      <c r="F15" s="80">
        <f t="shared" si="4"/>
        <v>161.246</v>
      </c>
      <c r="G15" s="80">
        <f t="shared" si="4"/>
        <v>208.93</v>
      </c>
      <c r="H15" s="80">
        <f t="shared" si="4"/>
        <v>324.078</v>
      </c>
      <c r="I15" s="80">
        <f t="shared" si="4"/>
        <v>345.568</v>
      </c>
      <c r="J15" s="80">
        <f t="shared" si="4"/>
        <v>346.956</v>
      </c>
      <c r="K15" s="80" t="str">
        <f t="shared" si="4"/>
        <v>#REF!</v>
      </c>
      <c r="L15" s="80" t="str">
        <f t="shared" si="2"/>
        <v>#REF!</v>
      </c>
    </row>
    <row r="16" ht="14.25" customHeight="1">
      <c r="A16" s="79" t="s">
        <v>97</v>
      </c>
      <c r="B16" s="80">
        <f t="shared" ref="B16:K16" si="5">B11-B15</f>
        <v>1501.8</v>
      </c>
      <c r="C16" s="80">
        <f t="shared" si="5"/>
        <v>1290.088</v>
      </c>
      <c r="D16" s="80">
        <f t="shared" si="5"/>
        <v>1077.928</v>
      </c>
      <c r="E16" s="80">
        <f t="shared" si="5"/>
        <v>557.712</v>
      </c>
      <c r="F16" s="80">
        <f t="shared" si="5"/>
        <v>644.984</v>
      </c>
      <c r="G16" s="80">
        <f t="shared" si="5"/>
        <v>835.72</v>
      </c>
      <c r="H16" s="80">
        <f t="shared" si="5"/>
        <v>1296.312</v>
      </c>
      <c r="I16" s="80">
        <f t="shared" si="5"/>
        <v>1382.272</v>
      </c>
      <c r="J16" s="80">
        <f t="shared" si="5"/>
        <v>1387.824</v>
      </c>
      <c r="K16" s="80" t="str">
        <f t="shared" si="5"/>
        <v>#REF!</v>
      </c>
      <c r="L16" s="80" t="str">
        <f t="shared" si="2"/>
        <v>#REF!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44" width="10.71"/>
  </cols>
  <sheetData>
    <row r="1" ht="14.25" customHeight="1">
      <c r="A1" s="2" t="s">
        <v>98</v>
      </c>
      <c r="B1" s="2"/>
      <c r="C1" s="2"/>
      <c r="D1" s="2"/>
      <c r="E1" s="2"/>
      <c r="F1" s="3"/>
      <c r="G1" s="2"/>
      <c r="H1" s="2"/>
      <c r="I1" s="2"/>
      <c r="J1" s="2"/>
      <c r="K1" s="3"/>
      <c r="L1" s="2"/>
      <c r="M1" s="2"/>
      <c r="N1" s="2"/>
      <c r="O1" s="2"/>
      <c r="P1" s="3"/>
      <c r="Q1" s="2"/>
      <c r="R1" s="2"/>
      <c r="S1" s="2"/>
      <c r="T1" s="2"/>
      <c r="U1" s="3"/>
      <c r="V1" s="2"/>
      <c r="W1" s="2"/>
      <c r="X1" s="2"/>
      <c r="Y1" s="3"/>
      <c r="Z1" s="2"/>
      <c r="AA1" s="2"/>
      <c r="AB1" s="2"/>
      <c r="AC1" s="3"/>
      <c r="AD1" s="2"/>
      <c r="AE1" s="2"/>
      <c r="AF1" s="2"/>
      <c r="AG1" s="3"/>
      <c r="AH1" s="2"/>
      <c r="AI1" s="2"/>
      <c r="AJ1" s="2"/>
      <c r="AK1" s="3"/>
      <c r="AL1" s="2"/>
      <c r="AM1" s="2"/>
      <c r="AN1" s="2"/>
      <c r="AO1" s="3"/>
      <c r="AP1" s="2"/>
      <c r="AQ1" s="2"/>
      <c r="AR1" s="2"/>
    </row>
    <row r="2" ht="14.25" customHeight="1">
      <c r="A2" s="2" t="s">
        <v>99</v>
      </c>
      <c r="B2" s="2"/>
      <c r="C2" s="2"/>
      <c r="D2" s="2"/>
      <c r="E2" s="2"/>
      <c r="F2" s="3"/>
      <c r="G2" s="2"/>
      <c r="H2" s="2"/>
      <c r="I2" s="2"/>
      <c r="J2" s="2"/>
      <c r="K2" s="3"/>
      <c r="L2" s="2"/>
      <c r="M2" s="2"/>
      <c r="N2" s="2"/>
      <c r="O2" s="2"/>
      <c r="P2" s="3"/>
      <c r="Q2" s="2"/>
      <c r="R2" s="2"/>
      <c r="S2" s="2"/>
      <c r="T2" s="2"/>
      <c r="U2" s="3"/>
      <c r="V2" s="2"/>
      <c r="W2" s="2"/>
      <c r="X2" s="2"/>
      <c r="Y2" s="3"/>
      <c r="Z2" s="2"/>
      <c r="AA2" s="2"/>
      <c r="AB2" s="2"/>
      <c r="AC2" s="3"/>
      <c r="AD2" s="2"/>
      <c r="AE2" s="2"/>
      <c r="AF2" s="2"/>
      <c r="AG2" s="3"/>
      <c r="AH2" s="2"/>
      <c r="AI2" s="2"/>
      <c r="AJ2" s="2"/>
      <c r="AK2" s="3"/>
      <c r="AL2" s="2"/>
      <c r="AM2" s="2"/>
      <c r="AN2" s="2"/>
      <c r="AO2" s="3"/>
      <c r="AP2" s="2"/>
      <c r="AQ2" s="2"/>
      <c r="AR2" s="2"/>
    </row>
    <row r="3" ht="14.25" customHeight="1">
      <c r="A3" s="4" t="s">
        <v>2</v>
      </c>
      <c r="F3" s="5"/>
      <c r="K3" s="5"/>
      <c r="P3" s="5"/>
      <c r="U3" s="5"/>
      <c r="Y3" s="5"/>
      <c r="AC3" s="5"/>
      <c r="AG3" s="5"/>
      <c r="AK3" s="5"/>
      <c r="AO3" s="5"/>
    </row>
    <row r="4" ht="14.25" customHeight="1">
      <c r="A4" s="6" t="s">
        <v>100</v>
      </c>
      <c r="F4" s="5"/>
      <c r="K4" s="5"/>
      <c r="P4" s="5"/>
      <c r="U4" s="5"/>
      <c r="Y4" s="5"/>
      <c r="AC4" s="5"/>
      <c r="AG4" s="5"/>
      <c r="AK4" s="5"/>
      <c r="AO4" s="5"/>
    </row>
    <row r="5" ht="14.25" customHeight="1">
      <c r="A5" s="7" t="s">
        <v>3</v>
      </c>
      <c r="B5" s="10">
        <v>45626.0</v>
      </c>
      <c r="C5" s="7"/>
      <c r="D5" s="7"/>
      <c r="E5" s="7"/>
      <c r="F5" s="9" t="s">
        <v>4</v>
      </c>
      <c r="G5" s="10">
        <f>B5+1</f>
        <v>45627</v>
      </c>
      <c r="H5" s="7"/>
      <c r="I5" s="7"/>
      <c r="J5" s="7"/>
      <c r="K5" s="9" t="s">
        <v>5</v>
      </c>
      <c r="L5" s="10">
        <f>G5+1</f>
        <v>45628</v>
      </c>
      <c r="M5" s="7"/>
      <c r="N5" s="7"/>
      <c r="O5" s="7"/>
      <c r="P5" s="9" t="s">
        <v>6</v>
      </c>
      <c r="Q5" s="10">
        <f>L5+1</f>
        <v>45629</v>
      </c>
      <c r="R5" s="7"/>
      <c r="S5" s="7"/>
      <c r="T5" s="7"/>
      <c r="U5" s="9" t="s">
        <v>7</v>
      </c>
      <c r="V5" s="10">
        <f>Q5+1</f>
        <v>45630</v>
      </c>
      <c r="W5" s="7"/>
      <c r="X5" s="7"/>
      <c r="Y5" s="9" t="s">
        <v>8</v>
      </c>
      <c r="Z5" s="10">
        <f>V5+1</f>
        <v>45631</v>
      </c>
      <c r="AA5" s="7"/>
      <c r="AB5" s="7"/>
      <c r="AC5" s="9" t="s">
        <v>9</v>
      </c>
      <c r="AD5" s="10">
        <f>Z5+1</f>
        <v>45632</v>
      </c>
      <c r="AE5" s="7"/>
      <c r="AF5" s="7"/>
      <c r="AG5" s="9" t="s">
        <v>3</v>
      </c>
      <c r="AH5" s="10">
        <f>AD5+1</f>
        <v>45633</v>
      </c>
      <c r="AI5" s="7"/>
      <c r="AJ5" s="7"/>
      <c r="AK5" s="9" t="s">
        <v>4</v>
      </c>
      <c r="AL5" s="10">
        <f>AH5+1</f>
        <v>45634</v>
      </c>
      <c r="AM5" s="7"/>
      <c r="AN5" s="7"/>
      <c r="AO5" s="9" t="s">
        <v>10</v>
      </c>
      <c r="AP5" s="10">
        <f>AL5+1</f>
        <v>45635</v>
      </c>
      <c r="AQ5" s="7"/>
      <c r="AR5" s="7"/>
    </row>
    <row r="6" ht="14.25" customHeight="1">
      <c r="A6" s="11" t="s">
        <v>11</v>
      </c>
      <c r="F6" s="5"/>
      <c r="K6" s="5"/>
      <c r="P6" s="5"/>
      <c r="U6" s="5"/>
      <c r="Y6" s="5"/>
      <c r="AC6" s="5"/>
      <c r="AG6" s="5"/>
      <c r="AK6" s="5"/>
      <c r="AO6" s="5"/>
    </row>
    <row r="7" ht="14.25" customHeight="1">
      <c r="A7" s="4" t="s">
        <v>12</v>
      </c>
      <c r="B7" s="4" t="s">
        <v>13</v>
      </c>
      <c r="C7" s="4" t="s">
        <v>14</v>
      </c>
      <c r="D7" s="4" t="s">
        <v>15</v>
      </c>
      <c r="F7" s="5" t="s">
        <v>12</v>
      </c>
      <c r="G7" s="4" t="s">
        <v>13</v>
      </c>
      <c r="H7" s="4" t="s">
        <v>14</v>
      </c>
      <c r="I7" s="4" t="s">
        <v>15</v>
      </c>
      <c r="K7" s="5" t="s">
        <v>12</v>
      </c>
      <c r="L7" s="4" t="s">
        <v>13</v>
      </c>
      <c r="M7" s="4" t="s">
        <v>14</v>
      </c>
      <c r="N7" s="4" t="s">
        <v>15</v>
      </c>
      <c r="P7" s="5" t="s">
        <v>12</v>
      </c>
      <c r="Q7" s="4" t="s">
        <v>13</v>
      </c>
      <c r="R7" s="4" t="s">
        <v>14</v>
      </c>
      <c r="S7" s="4" t="s">
        <v>15</v>
      </c>
      <c r="U7" s="5" t="s">
        <v>12</v>
      </c>
      <c r="V7" s="4" t="s">
        <v>13</v>
      </c>
      <c r="W7" s="4" t="s">
        <v>14</v>
      </c>
      <c r="X7" s="4" t="s">
        <v>15</v>
      </c>
      <c r="Y7" s="5" t="s">
        <v>12</v>
      </c>
      <c r="Z7" s="4" t="s">
        <v>13</v>
      </c>
      <c r="AA7" s="4" t="s">
        <v>14</v>
      </c>
      <c r="AB7" s="4" t="s">
        <v>15</v>
      </c>
      <c r="AC7" s="5" t="s">
        <v>12</v>
      </c>
      <c r="AD7" s="4" t="s">
        <v>13</v>
      </c>
      <c r="AE7" s="4" t="s">
        <v>14</v>
      </c>
      <c r="AF7" s="4" t="s">
        <v>15</v>
      </c>
      <c r="AG7" s="5" t="s">
        <v>12</v>
      </c>
      <c r="AH7" s="4" t="s">
        <v>13</v>
      </c>
      <c r="AI7" s="4" t="s">
        <v>14</v>
      </c>
      <c r="AJ7" s="4" t="s">
        <v>15</v>
      </c>
      <c r="AK7" s="5" t="s">
        <v>12</v>
      </c>
      <c r="AL7" s="4" t="s">
        <v>13</v>
      </c>
      <c r="AM7" s="4" t="s">
        <v>14</v>
      </c>
      <c r="AN7" s="4" t="s">
        <v>15</v>
      </c>
      <c r="AO7" s="5" t="s">
        <v>12</v>
      </c>
      <c r="AP7" s="4" t="s">
        <v>13</v>
      </c>
      <c r="AQ7" s="4" t="s">
        <v>14</v>
      </c>
      <c r="AR7" s="4" t="s">
        <v>15</v>
      </c>
    </row>
    <row r="8" ht="14.25" customHeight="1">
      <c r="A8" s="4">
        <v>200.0</v>
      </c>
      <c r="B8" s="4"/>
      <c r="F8" s="5"/>
      <c r="G8" s="4"/>
      <c r="K8" s="5"/>
      <c r="P8" s="5"/>
      <c r="U8" s="5"/>
      <c r="Y8" s="5"/>
      <c r="AC8" s="5"/>
      <c r="AG8" s="5"/>
      <c r="AK8" s="5"/>
      <c r="AO8" s="5"/>
    </row>
    <row r="9" ht="14.25" customHeight="1">
      <c r="A9" s="4">
        <v>100.0</v>
      </c>
      <c r="B9" s="4">
        <v>2.0</v>
      </c>
      <c r="D9" s="4">
        <f t="shared" ref="D9:D19" si="1">A9*(B9+C9)</f>
        <v>200</v>
      </c>
      <c r="F9" s="5">
        <v>100.0</v>
      </c>
      <c r="G9" s="4">
        <v>2.0</v>
      </c>
      <c r="I9" s="4">
        <f t="shared" ref="I9:I19" si="2">F9*(G9+H9)</f>
        <v>200</v>
      </c>
      <c r="K9" s="5">
        <v>100.0</v>
      </c>
      <c r="L9" s="4">
        <v>1.0</v>
      </c>
      <c r="N9" s="4">
        <f t="shared" ref="N9:N19" si="3">K9*(L9+M9)</f>
        <v>100</v>
      </c>
      <c r="P9" s="5">
        <v>100.0</v>
      </c>
      <c r="Q9" s="4">
        <v>1.0</v>
      </c>
      <c r="S9" s="4">
        <f t="shared" ref="S9:S19" si="4">P9*(Q9+R9)</f>
        <v>100</v>
      </c>
      <c r="U9" s="5">
        <v>100.0</v>
      </c>
      <c r="V9" s="4">
        <v>1.0</v>
      </c>
      <c r="X9" s="4">
        <f t="shared" ref="X9:X19" si="5">U9*(V9+W9)</f>
        <v>100</v>
      </c>
      <c r="Y9" s="5">
        <v>100.0</v>
      </c>
      <c r="Z9" s="4">
        <v>3.0</v>
      </c>
      <c r="AB9" s="4">
        <f t="shared" ref="AB9:AB19" si="6">Y9*(Z9+AA9)</f>
        <v>300</v>
      </c>
      <c r="AC9" s="5">
        <v>100.0</v>
      </c>
      <c r="AD9" s="4">
        <v>1.0</v>
      </c>
      <c r="AF9" s="4">
        <f t="shared" ref="AF9:AF19" si="7">AC9*(AD9+AE9)</f>
        <v>100</v>
      </c>
      <c r="AG9" s="5">
        <v>100.0</v>
      </c>
      <c r="AH9" s="4">
        <v>2.0</v>
      </c>
      <c r="AJ9" s="4">
        <f t="shared" ref="AJ9:AJ19" si="8">AG9*(AH9+AI9)</f>
        <v>200</v>
      </c>
      <c r="AK9" s="5">
        <v>100.0</v>
      </c>
      <c r="AL9" s="4">
        <v>1.0</v>
      </c>
      <c r="AN9" s="4">
        <f t="shared" ref="AN9:AN19" si="9">AK9*(AL9+AM9)</f>
        <v>100</v>
      </c>
      <c r="AO9" s="5">
        <v>100.0</v>
      </c>
      <c r="AP9" s="4">
        <v>1.0</v>
      </c>
      <c r="AR9" s="4">
        <f t="shared" ref="AR9:AR19" si="10">AO9*(AP9+AQ9)</f>
        <v>100</v>
      </c>
    </row>
    <row r="10" ht="14.25" customHeight="1">
      <c r="A10" s="4">
        <v>50.0</v>
      </c>
      <c r="B10" s="4">
        <v>2.0</v>
      </c>
      <c r="D10" s="4">
        <f t="shared" si="1"/>
        <v>100</v>
      </c>
      <c r="F10" s="5">
        <v>50.0</v>
      </c>
      <c r="G10" s="4">
        <v>3.0</v>
      </c>
      <c r="I10" s="4">
        <f t="shared" si="2"/>
        <v>150</v>
      </c>
      <c r="K10" s="5">
        <v>50.0</v>
      </c>
      <c r="L10" s="4">
        <v>2.0</v>
      </c>
      <c r="N10" s="4">
        <f t="shared" si="3"/>
        <v>100</v>
      </c>
      <c r="P10" s="5">
        <v>50.0</v>
      </c>
      <c r="Q10" s="4">
        <v>1.0</v>
      </c>
      <c r="S10" s="4">
        <f t="shared" si="4"/>
        <v>50</v>
      </c>
      <c r="U10" s="5">
        <v>50.0</v>
      </c>
      <c r="V10" s="4">
        <v>1.0</v>
      </c>
      <c r="X10" s="4">
        <f t="shared" si="5"/>
        <v>50</v>
      </c>
      <c r="Y10" s="5">
        <v>50.0</v>
      </c>
      <c r="Z10" s="4">
        <v>7.0</v>
      </c>
      <c r="AB10" s="4">
        <f t="shared" si="6"/>
        <v>350</v>
      </c>
      <c r="AC10" s="5">
        <v>50.0</v>
      </c>
      <c r="AD10" s="4">
        <v>1.0</v>
      </c>
      <c r="AF10" s="4">
        <f t="shared" si="7"/>
        <v>50</v>
      </c>
      <c r="AG10" s="5">
        <v>50.0</v>
      </c>
      <c r="AH10" s="4">
        <v>6.0</v>
      </c>
      <c r="AJ10" s="4">
        <f t="shared" si="8"/>
        <v>300</v>
      </c>
      <c r="AK10" s="5">
        <v>50.0</v>
      </c>
      <c r="AL10" s="4">
        <v>1.0</v>
      </c>
      <c r="AN10" s="4">
        <f t="shared" si="9"/>
        <v>50</v>
      </c>
      <c r="AO10" s="5">
        <v>50.0</v>
      </c>
      <c r="AP10" s="4">
        <v>1.0</v>
      </c>
      <c r="AR10" s="4">
        <f t="shared" si="10"/>
        <v>50</v>
      </c>
    </row>
    <row r="11" ht="14.25" customHeight="1">
      <c r="A11" s="4">
        <v>20.0</v>
      </c>
      <c r="B11" s="4">
        <v>10.0</v>
      </c>
      <c r="D11" s="4">
        <f t="shared" si="1"/>
        <v>200</v>
      </c>
      <c r="F11" s="5">
        <v>20.0</v>
      </c>
      <c r="G11" s="4">
        <v>10.0</v>
      </c>
      <c r="I11" s="4">
        <f t="shared" si="2"/>
        <v>200</v>
      </c>
      <c r="K11" s="5">
        <v>20.0</v>
      </c>
      <c r="L11" s="4">
        <v>2.0</v>
      </c>
      <c r="N11" s="4">
        <f t="shared" si="3"/>
        <v>40</v>
      </c>
      <c r="P11" s="5">
        <v>20.0</v>
      </c>
      <c r="Q11" s="4">
        <v>2.0</v>
      </c>
      <c r="S11" s="4">
        <f t="shared" si="4"/>
        <v>40</v>
      </c>
      <c r="U11" s="5">
        <v>20.0</v>
      </c>
      <c r="V11" s="4">
        <v>2.0</v>
      </c>
      <c r="X11" s="4">
        <f t="shared" si="5"/>
        <v>40</v>
      </c>
      <c r="Y11" s="5">
        <v>20.0</v>
      </c>
      <c r="Z11" s="4">
        <v>20.0</v>
      </c>
      <c r="AB11" s="4">
        <f t="shared" si="6"/>
        <v>400</v>
      </c>
      <c r="AC11" s="5">
        <v>20.0</v>
      </c>
      <c r="AD11" s="4">
        <v>2.0</v>
      </c>
      <c r="AF11" s="4">
        <f t="shared" si="7"/>
        <v>40</v>
      </c>
      <c r="AG11" s="5">
        <v>20.0</v>
      </c>
      <c r="AH11" s="4">
        <v>9.0</v>
      </c>
      <c r="AJ11" s="4">
        <f t="shared" si="8"/>
        <v>180</v>
      </c>
      <c r="AK11" s="5">
        <v>20.0</v>
      </c>
      <c r="AL11" s="4">
        <v>4.0</v>
      </c>
      <c r="AN11" s="4">
        <f t="shared" si="9"/>
        <v>80</v>
      </c>
      <c r="AO11" s="5">
        <v>20.0</v>
      </c>
      <c r="AP11" s="4">
        <v>4.0</v>
      </c>
      <c r="AR11" s="4">
        <f t="shared" si="10"/>
        <v>80</v>
      </c>
    </row>
    <row r="12" ht="14.25" customHeight="1">
      <c r="A12" s="4">
        <v>10.0</v>
      </c>
      <c r="B12" s="4">
        <v>10.0</v>
      </c>
      <c r="D12" s="4">
        <f t="shared" si="1"/>
        <v>100</v>
      </c>
      <c r="F12" s="5">
        <v>10.0</v>
      </c>
      <c r="G12" s="4">
        <v>0.0</v>
      </c>
      <c r="I12" s="4">
        <f t="shared" si="2"/>
        <v>0</v>
      </c>
      <c r="K12" s="5">
        <v>10.0</v>
      </c>
      <c r="L12" s="4">
        <v>5.0</v>
      </c>
      <c r="N12" s="4">
        <f t="shared" si="3"/>
        <v>50</v>
      </c>
      <c r="P12" s="5">
        <v>10.0</v>
      </c>
      <c r="Q12" s="4">
        <v>10.0</v>
      </c>
      <c r="S12" s="4">
        <f t="shared" si="4"/>
        <v>100</v>
      </c>
      <c r="U12" s="5">
        <v>10.0</v>
      </c>
      <c r="V12" s="4">
        <v>6.0</v>
      </c>
      <c r="X12" s="4">
        <f t="shared" si="5"/>
        <v>60</v>
      </c>
      <c r="Y12" s="5">
        <v>10.0</v>
      </c>
      <c r="Z12" s="4">
        <v>0.0</v>
      </c>
      <c r="AB12" s="4">
        <f t="shared" si="6"/>
        <v>0</v>
      </c>
      <c r="AC12" s="5">
        <v>10.0</v>
      </c>
      <c r="AD12" s="4">
        <v>10.0</v>
      </c>
      <c r="AF12" s="4">
        <f t="shared" si="7"/>
        <v>100</v>
      </c>
      <c r="AG12" s="5">
        <v>10.0</v>
      </c>
      <c r="AH12" s="4">
        <v>9.0</v>
      </c>
      <c r="AJ12" s="4">
        <f t="shared" si="8"/>
        <v>90</v>
      </c>
      <c r="AK12" s="5">
        <v>10.0</v>
      </c>
      <c r="AL12" s="4">
        <v>10.0</v>
      </c>
      <c r="AN12" s="4">
        <f t="shared" si="9"/>
        <v>100</v>
      </c>
      <c r="AO12" s="5">
        <v>10.0</v>
      </c>
      <c r="AP12" s="4">
        <v>10.0</v>
      </c>
      <c r="AR12" s="4">
        <f t="shared" si="10"/>
        <v>100</v>
      </c>
    </row>
    <row r="13" ht="14.25" customHeight="1">
      <c r="A13" s="4">
        <v>5.0</v>
      </c>
      <c r="B13" s="4">
        <v>30.0</v>
      </c>
      <c r="C13" s="4"/>
      <c r="D13" s="4">
        <f t="shared" si="1"/>
        <v>150</v>
      </c>
      <c r="F13" s="5">
        <v>5.0</v>
      </c>
      <c r="G13" s="4">
        <v>6.0</v>
      </c>
      <c r="H13" s="4">
        <v>25.0</v>
      </c>
      <c r="I13" s="4">
        <f t="shared" si="2"/>
        <v>155</v>
      </c>
      <c r="K13" s="5">
        <v>5.0</v>
      </c>
      <c r="L13" s="4">
        <v>1.0</v>
      </c>
      <c r="M13" s="4">
        <v>35.0</v>
      </c>
      <c r="N13" s="4">
        <f t="shared" si="3"/>
        <v>180</v>
      </c>
      <c r="P13" s="5">
        <v>5.0</v>
      </c>
      <c r="Q13" s="4">
        <v>50.0</v>
      </c>
      <c r="S13" s="4">
        <f t="shared" si="4"/>
        <v>250</v>
      </c>
      <c r="U13" s="5">
        <v>5.0</v>
      </c>
      <c r="V13" s="4">
        <v>54.0</v>
      </c>
      <c r="X13" s="4">
        <f t="shared" si="5"/>
        <v>270</v>
      </c>
      <c r="Y13" s="5">
        <v>5.0</v>
      </c>
      <c r="Z13" s="4">
        <v>20.0</v>
      </c>
      <c r="AB13" s="4">
        <f t="shared" si="6"/>
        <v>100</v>
      </c>
      <c r="AC13" s="5">
        <v>5.0</v>
      </c>
      <c r="AD13" s="4">
        <v>50.0</v>
      </c>
      <c r="AF13" s="4">
        <f t="shared" si="7"/>
        <v>250</v>
      </c>
      <c r="AG13" s="5">
        <v>5.0</v>
      </c>
      <c r="AH13" s="4">
        <f t="shared" ref="AH13:AH19" si="11">AD33</f>
        <v>17</v>
      </c>
      <c r="AJ13" s="4">
        <f t="shared" si="8"/>
        <v>85</v>
      </c>
      <c r="AK13" s="5">
        <v>5.0</v>
      </c>
      <c r="AL13" s="4">
        <v>75.0</v>
      </c>
      <c r="AN13" s="4">
        <f t="shared" si="9"/>
        <v>375</v>
      </c>
      <c r="AO13" s="5">
        <v>5.0</v>
      </c>
      <c r="AP13" s="4">
        <v>75.0</v>
      </c>
      <c r="AR13" s="4">
        <f t="shared" si="10"/>
        <v>375</v>
      </c>
    </row>
    <row r="14" ht="14.25" customHeight="1">
      <c r="A14" s="4">
        <v>2.0</v>
      </c>
      <c r="B14" s="4">
        <v>150.0</v>
      </c>
      <c r="C14" s="4"/>
      <c r="D14" s="4">
        <f t="shared" si="1"/>
        <v>300</v>
      </c>
      <c r="F14" s="5">
        <v>2.0</v>
      </c>
      <c r="G14" s="4">
        <v>52.0</v>
      </c>
      <c r="H14" s="4">
        <f>140+150</f>
        <v>290</v>
      </c>
      <c r="I14" s="4">
        <f t="shared" si="2"/>
        <v>684</v>
      </c>
      <c r="K14" s="5">
        <v>2.0</v>
      </c>
      <c r="L14" s="4">
        <v>6.0</v>
      </c>
      <c r="M14" s="4">
        <v>90.0</v>
      </c>
      <c r="N14" s="4">
        <f t="shared" si="3"/>
        <v>192</v>
      </c>
      <c r="P14" s="5">
        <v>2.0</v>
      </c>
      <c r="Q14" s="4">
        <v>200.0</v>
      </c>
      <c r="S14" s="4">
        <f t="shared" si="4"/>
        <v>400</v>
      </c>
      <c r="U14" s="5">
        <v>2.0</v>
      </c>
      <c r="V14" s="4">
        <v>158.0</v>
      </c>
      <c r="X14" s="4">
        <f t="shared" si="5"/>
        <v>316</v>
      </c>
      <c r="Y14" s="5">
        <v>2.0</v>
      </c>
      <c r="Z14" s="4">
        <v>76.0</v>
      </c>
      <c r="AB14" s="4">
        <f t="shared" si="6"/>
        <v>152</v>
      </c>
      <c r="AC14" s="5">
        <v>2.0</v>
      </c>
      <c r="AD14" s="4">
        <v>250.0</v>
      </c>
      <c r="AE14" s="4">
        <v>100.0</v>
      </c>
      <c r="AF14" s="4">
        <f t="shared" si="7"/>
        <v>700</v>
      </c>
      <c r="AG14" s="5">
        <v>2.0</v>
      </c>
      <c r="AH14" s="4">
        <f t="shared" si="11"/>
        <v>145</v>
      </c>
      <c r="AJ14" s="4">
        <f t="shared" si="8"/>
        <v>290</v>
      </c>
      <c r="AK14" s="5">
        <v>2.0</v>
      </c>
      <c r="AL14" s="4">
        <v>500.0</v>
      </c>
      <c r="AN14" s="4">
        <f t="shared" si="9"/>
        <v>1000</v>
      </c>
      <c r="AO14" s="5">
        <v>2.0</v>
      </c>
      <c r="AP14" s="4">
        <v>500.0</v>
      </c>
      <c r="AR14" s="4">
        <f t="shared" si="10"/>
        <v>1000</v>
      </c>
    </row>
    <row r="15" ht="14.25" customHeight="1">
      <c r="A15" s="4">
        <v>1.0</v>
      </c>
      <c r="B15" s="4">
        <v>100.0</v>
      </c>
      <c r="C15" s="4"/>
      <c r="D15" s="4">
        <f t="shared" si="1"/>
        <v>100</v>
      </c>
      <c r="F15" s="5">
        <v>1.0</v>
      </c>
      <c r="G15" s="4">
        <v>94.0</v>
      </c>
      <c r="I15" s="4">
        <f t="shared" si="2"/>
        <v>94</v>
      </c>
      <c r="K15" s="5">
        <v>1.0</v>
      </c>
      <c r="L15" s="4">
        <v>4.0</v>
      </c>
      <c r="M15" s="4">
        <v>50.0</v>
      </c>
      <c r="N15" s="4">
        <f t="shared" si="3"/>
        <v>54</v>
      </c>
      <c r="P15" s="5">
        <v>1.0</v>
      </c>
      <c r="Q15" s="4">
        <v>100.0</v>
      </c>
      <c r="S15" s="4">
        <f t="shared" si="4"/>
        <v>100</v>
      </c>
      <c r="U15" s="5">
        <v>1.0</v>
      </c>
      <c r="V15" s="4">
        <v>95.0</v>
      </c>
      <c r="X15" s="4">
        <f t="shared" si="5"/>
        <v>95</v>
      </c>
      <c r="Y15" s="5">
        <v>1.0</v>
      </c>
      <c r="Z15" s="4">
        <v>86.0</v>
      </c>
      <c r="AB15" s="4">
        <f t="shared" si="6"/>
        <v>86</v>
      </c>
      <c r="AC15" s="5">
        <v>1.0</v>
      </c>
      <c r="AD15" s="4">
        <v>100.0</v>
      </c>
      <c r="AF15" s="4">
        <f t="shared" si="7"/>
        <v>100</v>
      </c>
      <c r="AG15" s="5">
        <v>1.0</v>
      </c>
      <c r="AH15" s="4">
        <f t="shared" si="11"/>
        <v>44</v>
      </c>
      <c r="AI15" s="4">
        <v>50.0</v>
      </c>
      <c r="AJ15" s="4">
        <f t="shared" si="8"/>
        <v>94</v>
      </c>
      <c r="AK15" s="5">
        <v>1.0</v>
      </c>
      <c r="AL15" s="4">
        <v>300.0</v>
      </c>
      <c r="AN15" s="4">
        <f t="shared" si="9"/>
        <v>300</v>
      </c>
      <c r="AO15" s="5">
        <v>1.0</v>
      </c>
      <c r="AP15" s="4">
        <v>300.0</v>
      </c>
      <c r="AR15" s="4">
        <f t="shared" si="10"/>
        <v>300</v>
      </c>
    </row>
    <row r="16" ht="14.25" customHeight="1">
      <c r="A16" s="4">
        <v>0.5</v>
      </c>
      <c r="B16" s="4">
        <v>10.0</v>
      </c>
      <c r="D16" s="4">
        <f t="shared" si="1"/>
        <v>5</v>
      </c>
      <c r="F16" s="5">
        <v>0.5</v>
      </c>
      <c r="G16" s="4">
        <v>0.0</v>
      </c>
      <c r="I16" s="4">
        <f t="shared" si="2"/>
        <v>0</v>
      </c>
      <c r="K16" s="5">
        <v>0.5</v>
      </c>
      <c r="L16" s="4">
        <v>2.0</v>
      </c>
      <c r="M16" s="4">
        <v>400.0</v>
      </c>
      <c r="N16" s="4">
        <f t="shared" si="3"/>
        <v>201</v>
      </c>
      <c r="P16" s="5">
        <v>0.5</v>
      </c>
      <c r="Q16" s="4">
        <v>56.0</v>
      </c>
      <c r="S16" s="4">
        <f t="shared" si="4"/>
        <v>28</v>
      </c>
      <c r="U16" s="5">
        <v>0.5</v>
      </c>
      <c r="V16" s="4">
        <v>58.0</v>
      </c>
      <c r="X16" s="4">
        <f t="shared" si="5"/>
        <v>29</v>
      </c>
      <c r="Y16" s="5">
        <v>0.5</v>
      </c>
      <c r="Z16" s="4">
        <v>60.0</v>
      </c>
      <c r="AB16" s="4">
        <f t="shared" si="6"/>
        <v>30</v>
      </c>
      <c r="AC16" s="5">
        <v>0.5</v>
      </c>
      <c r="AD16" s="4">
        <v>0.0</v>
      </c>
      <c r="AF16" s="4">
        <f t="shared" si="7"/>
        <v>0</v>
      </c>
      <c r="AG16" s="5">
        <v>0.5</v>
      </c>
      <c r="AH16" s="4">
        <f t="shared" si="11"/>
        <v>10</v>
      </c>
      <c r="AJ16" s="4">
        <f t="shared" si="8"/>
        <v>5</v>
      </c>
      <c r="AK16" s="5">
        <v>0.5</v>
      </c>
      <c r="AL16" s="4">
        <v>0.0</v>
      </c>
      <c r="AN16" s="4">
        <f t="shared" si="9"/>
        <v>0</v>
      </c>
      <c r="AO16" s="5">
        <v>0.5</v>
      </c>
      <c r="AP16" s="4">
        <v>0.0</v>
      </c>
      <c r="AR16" s="4">
        <f t="shared" si="10"/>
        <v>0</v>
      </c>
    </row>
    <row r="17" ht="14.25" customHeight="1">
      <c r="A17" s="4">
        <v>0.2</v>
      </c>
      <c r="B17" s="4"/>
      <c r="D17" s="4">
        <f t="shared" si="1"/>
        <v>0</v>
      </c>
      <c r="F17" s="5">
        <v>0.2</v>
      </c>
      <c r="G17" s="4">
        <v>0.0</v>
      </c>
      <c r="I17" s="4">
        <f t="shared" si="2"/>
        <v>0</v>
      </c>
      <c r="K17" s="5">
        <v>0.2</v>
      </c>
      <c r="L17" s="4">
        <v>0.0</v>
      </c>
      <c r="N17" s="4">
        <f t="shared" si="3"/>
        <v>0</v>
      </c>
      <c r="P17" s="5">
        <v>0.2</v>
      </c>
      <c r="Q17" s="4">
        <v>5.0</v>
      </c>
      <c r="S17" s="4">
        <f t="shared" si="4"/>
        <v>1</v>
      </c>
      <c r="U17" s="5">
        <v>0.2</v>
      </c>
      <c r="V17" s="4">
        <v>12.0</v>
      </c>
      <c r="X17" s="4">
        <f t="shared" si="5"/>
        <v>2.4</v>
      </c>
      <c r="Y17" s="5">
        <v>0.2</v>
      </c>
      <c r="Z17" s="4">
        <v>12.0</v>
      </c>
      <c r="AB17" s="4">
        <f t="shared" si="6"/>
        <v>2.4</v>
      </c>
      <c r="AC17" s="5">
        <v>0.2</v>
      </c>
      <c r="AD17" s="4">
        <v>0.0</v>
      </c>
      <c r="AF17" s="4">
        <f t="shared" si="7"/>
        <v>0</v>
      </c>
      <c r="AG17" s="5">
        <v>0.2</v>
      </c>
      <c r="AH17" s="4">
        <f t="shared" si="11"/>
        <v>5</v>
      </c>
      <c r="AJ17" s="4">
        <f t="shared" si="8"/>
        <v>1</v>
      </c>
      <c r="AK17" s="5">
        <v>0.2</v>
      </c>
      <c r="AL17" s="4">
        <v>0.0</v>
      </c>
      <c r="AN17" s="4">
        <f t="shared" si="9"/>
        <v>0</v>
      </c>
      <c r="AO17" s="5">
        <v>0.2</v>
      </c>
      <c r="AP17" s="4">
        <v>0.0</v>
      </c>
      <c r="AR17" s="4">
        <f t="shared" si="10"/>
        <v>0</v>
      </c>
    </row>
    <row r="18" ht="14.25" customHeight="1">
      <c r="A18" s="4">
        <v>0.1</v>
      </c>
      <c r="B18" s="4"/>
      <c r="D18" s="4">
        <f t="shared" si="1"/>
        <v>0</v>
      </c>
      <c r="F18" s="5">
        <v>0.1</v>
      </c>
      <c r="G18" s="4">
        <v>0.0</v>
      </c>
      <c r="I18" s="4">
        <f t="shared" si="2"/>
        <v>0</v>
      </c>
      <c r="K18" s="5">
        <v>0.1</v>
      </c>
      <c r="L18" s="4">
        <v>0.0</v>
      </c>
      <c r="N18" s="4">
        <f t="shared" si="3"/>
        <v>0</v>
      </c>
      <c r="P18" s="5">
        <v>0.1</v>
      </c>
      <c r="Q18" s="4">
        <v>2.0</v>
      </c>
      <c r="S18" s="4">
        <f t="shared" si="4"/>
        <v>0.2</v>
      </c>
      <c r="U18" s="5">
        <v>0.1</v>
      </c>
      <c r="V18" s="4">
        <v>7.0</v>
      </c>
      <c r="X18" s="4">
        <f t="shared" si="5"/>
        <v>0.7</v>
      </c>
      <c r="Y18" s="5">
        <v>0.1</v>
      </c>
      <c r="Z18" s="4">
        <v>7.0</v>
      </c>
      <c r="AB18" s="4">
        <f t="shared" si="6"/>
        <v>0.7</v>
      </c>
      <c r="AC18" s="5">
        <v>0.1</v>
      </c>
      <c r="AD18" s="4">
        <v>0.0</v>
      </c>
      <c r="AF18" s="4">
        <f t="shared" si="7"/>
        <v>0</v>
      </c>
      <c r="AG18" s="5">
        <v>0.1</v>
      </c>
      <c r="AH18" s="4">
        <f t="shared" si="11"/>
        <v>0</v>
      </c>
      <c r="AJ18" s="4">
        <f t="shared" si="8"/>
        <v>0</v>
      </c>
      <c r="AK18" s="5">
        <v>0.1</v>
      </c>
      <c r="AL18" s="4">
        <v>0.0</v>
      </c>
      <c r="AN18" s="4">
        <f t="shared" si="9"/>
        <v>0</v>
      </c>
      <c r="AO18" s="5">
        <v>0.1</v>
      </c>
      <c r="AP18" s="4">
        <v>0.0</v>
      </c>
      <c r="AR18" s="4">
        <f t="shared" si="10"/>
        <v>0</v>
      </c>
    </row>
    <row r="19" ht="14.25" customHeight="1">
      <c r="A19" s="4">
        <v>0.05</v>
      </c>
      <c r="D19" s="4">
        <f t="shared" si="1"/>
        <v>0</v>
      </c>
      <c r="F19" s="5">
        <v>0.05</v>
      </c>
      <c r="G19" s="4">
        <v>0.0</v>
      </c>
      <c r="I19" s="4">
        <f t="shared" si="2"/>
        <v>0</v>
      </c>
      <c r="K19" s="5">
        <v>0.05</v>
      </c>
      <c r="L19" s="4">
        <v>0.0</v>
      </c>
      <c r="N19" s="4">
        <f t="shared" si="3"/>
        <v>0</v>
      </c>
      <c r="P19" s="5">
        <v>0.05</v>
      </c>
      <c r="Q19" s="4">
        <v>2.0</v>
      </c>
      <c r="S19" s="4">
        <f t="shared" si="4"/>
        <v>0.1</v>
      </c>
      <c r="U19" s="5">
        <v>0.05</v>
      </c>
      <c r="V19" s="4">
        <v>2.0</v>
      </c>
      <c r="X19" s="4">
        <f t="shared" si="5"/>
        <v>0.1</v>
      </c>
      <c r="Y19" s="5">
        <v>0.05</v>
      </c>
      <c r="Z19" s="4">
        <v>2.0</v>
      </c>
      <c r="AB19" s="4">
        <f t="shared" si="6"/>
        <v>0.1</v>
      </c>
      <c r="AC19" s="5">
        <v>0.05</v>
      </c>
      <c r="AD19" s="4">
        <v>0.0</v>
      </c>
      <c r="AF19" s="4">
        <f t="shared" si="7"/>
        <v>0</v>
      </c>
      <c r="AG19" s="5">
        <v>0.05</v>
      </c>
      <c r="AH19" s="4">
        <f t="shared" si="11"/>
        <v>0</v>
      </c>
      <c r="AJ19" s="4">
        <f t="shared" si="8"/>
        <v>0</v>
      </c>
      <c r="AK19" s="5">
        <v>0.05</v>
      </c>
      <c r="AL19" s="4">
        <v>0.0</v>
      </c>
      <c r="AN19" s="4">
        <f t="shared" si="9"/>
        <v>0</v>
      </c>
      <c r="AO19" s="5">
        <v>0.05</v>
      </c>
      <c r="AP19" s="4">
        <v>0.0</v>
      </c>
      <c r="AR19" s="4">
        <f t="shared" si="10"/>
        <v>0</v>
      </c>
    </row>
    <row r="20" ht="14.25" customHeight="1">
      <c r="F20" s="5"/>
      <c r="K20" s="5"/>
      <c r="P20" s="5"/>
      <c r="U20" s="5"/>
      <c r="Y20" s="5"/>
      <c r="AC20" s="5"/>
      <c r="AG20" s="5"/>
      <c r="AK20" s="5"/>
      <c r="AO20" s="5"/>
    </row>
    <row r="21" ht="14.25" customHeight="1">
      <c r="A21" s="17" t="s">
        <v>16</v>
      </c>
      <c r="B21" s="17"/>
      <c r="C21" s="17"/>
      <c r="D21" s="17">
        <f>SUM(D8:D19)</f>
        <v>1155</v>
      </c>
      <c r="E21" s="17"/>
      <c r="F21" s="18" t="s">
        <v>16</v>
      </c>
      <c r="G21" s="17"/>
      <c r="H21" s="17"/>
      <c r="I21" s="17">
        <f>SUM(I9:I19)</f>
        <v>1483</v>
      </c>
      <c r="J21" s="17"/>
      <c r="K21" s="18" t="s">
        <v>16</v>
      </c>
      <c r="L21" s="17"/>
      <c r="M21" s="17"/>
      <c r="N21" s="17">
        <f>SUM(N9:N19)</f>
        <v>917</v>
      </c>
      <c r="O21" s="17"/>
      <c r="P21" s="18" t="s">
        <v>16</v>
      </c>
      <c r="Q21" s="17"/>
      <c r="R21" s="17"/>
      <c r="S21" s="17">
        <f>SUM(S9:S19)</f>
        <v>1069.3</v>
      </c>
      <c r="T21" s="17"/>
      <c r="U21" s="18" t="s">
        <v>16</v>
      </c>
      <c r="V21" s="17"/>
      <c r="W21" s="17"/>
      <c r="X21" s="17">
        <f>SUM(X9:X19)</f>
        <v>963.2</v>
      </c>
      <c r="Y21" s="18" t="s">
        <v>16</v>
      </c>
      <c r="Z21" s="17"/>
      <c r="AA21" s="17"/>
      <c r="AB21" s="17">
        <f>SUM(AB9:AB19)</f>
        <v>1421.2</v>
      </c>
      <c r="AC21" s="18" t="s">
        <v>16</v>
      </c>
      <c r="AD21" s="17"/>
      <c r="AE21" s="17"/>
      <c r="AF21" s="17">
        <f>SUM(AF9:AF19)</f>
        <v>1340</v>
      </c>
      <c r="AG21" s="18" t="s">
        <v>16</v>
      </c>
      <c r="AH21" s="17"/>
      <c r="AI21" s="17"/>
      <c r="AJ21" s="17">
        <f>SUM(AJ9:AJ19)</f>
        <v>1245</v>
      </c>
      <c r="AK21" s="18" t="s">
        <v>16</v>
      </c>
      <c r="AL21" s="17"/>
      <c r="AM21" s="17"/>
      <c r="AN21" s="17">
        <f>SUM(AN9:AN19)</f>
        <v>2005</v>
      </c>
      <c r="AO21" s="18" t="s">
        <v>16</v>
      </c>
      <c r="AP21" s="17"/>
      <c r="AQ21" s="17"/>
      <c r="AR21" s="17">
        <f>SUM(AR9:AR19)</f>
        <v>2005</v>
      </c>
    </row>
    <row r="22" ht="14.25" customHeight="1">
      <c r="F22" s="5"/>
      <c r="K22" s="5"/>
      <c r="P22" s="5"/>
      <c r="U22" s="5"/>
      <c r="Y22" s="5"/>
      <c r="AC22" s="5"/>
      <c r="AG22" s="5"/>
      <c r="AK22" s="5"/>
      <c r="AO22" s="5"/>
    </row>
    <row r="23" ht="14.25" customHeight="1">
      <c r="F23" s="5"/>
      <c r="K23" s="5"/>
      <c r="P23" s="5"/>
      <c r="U23" s="5"/>
      <c r="Y23" s="5"/>
      <c r="AC23" s="5"/>
      <c r="AG23" s="5"/>
      <c r="AK23" s="5"/>
      <c r="AO23" s="5"/>
    </row>
    <row r="24" ht="14.25" customHeight="1">
      <c r="A24" s="19" t="s">
        <v>17</v>
      </c>
      <c r="B24" s="19"/>
      <c r="C24" s="19"/>
      <c r="D24" s="19">
        <f>D41-D21</f>
        <v>879.8</v>
      </c>
      <c r="E24" s="19"/>
      <c r="F24" s="20" t="s">
        <v>17</v>
      </c>
      <c r="G24" s="19"/>
      <c r="H24" s="19"/>
      <c r="I24" s="19">
        <f>I41-I21</f>
        <v>1342.3</v>
      </c>
      <c r="J24" s="19"/>
      <c r="K24" s="20" t="s">
        <v>17</v>
      </c>
      <c r="L24" s="19"/>
      <c r="M24" s="19"/>
      <c r="N24" s="19">
        <f>N41-N21</f>
        <v>732.3</v>
      </c>
      <c r="O24" s="19"/>
      <c r="P24" s="20" t="s">
        <v>17</v>
      </c>
      <c r="Q24" s="19"/>
      <c r="R24" s="19"/>
      <c r="S24" s="19">
        <f>S41-S21</f>
        <v>173.9</v>
      </c>
      <c r="T24" s="19"/>
      <c r="U24" s="20" t="s">
        <v>17</v>
      </c>
      <c r="V24" s="19"/>
      <c r="W24" s="19"/>
      <c r="X24" s="19">
        <f>X41-X21</f>
        <v>458</v>
      </c>
      <c r="Y24" s="20" t="s">
        <v>17</v>
      </c>
      <c r="Z24" s="19"/>
      <c r="AA24" s="19"/>
      <c r="AB24" s="19">
        <f>AB41-AB21</f>
        <v>531.05</v>
      </c>
      <c r="AC24" s="20" t="s">
        <v>17</v>
      </c>
      <c r="AD24" s="19"/>
      <c r="AE24" s="19"/>
      <c r="AF24" s="19">
        <f>AF41-AF21</f>
        <v>575</v>
      </c>
      <c r="AG24" s="20" t="s">
        <v>17</v>
      </c>
      <c r="AH24" s="19"/>
      <c r="AI24" s="19"/>
      <c r="AJ24" s="19">
        <f>AJ41-AJ21</f>
        <v>635.05</v>
      </c>
      <c r="AK24" s="20" t="s">
        <v>17</v>
      </c>
      <c r="AL24" s="19"/>
      <c r="AM24" s="19"/>
      <c r="AN24" s="19">
        <f>AN41-AN21</f>
        <v>1366.3</v>
      </c>
      <c r="AO24" s="20" t="s">
        <v>17</v>
      </c>
      <c r="AP24" s="19"/>
      <c r="AQ24" s="19"/>
      <c r="AR24" s="19">
        <f>AR41-AR21</f>
        <v>1083</v>
      </c>
    </row>
    <row r="25" ht="14.25" customHeight="1">
      <c r="F25" s="5"/>
      <c r="K25" s="5"/>
      <c r="P25" s="5"/>
      <c r="U25" s="5"/>
      <c r="Y25" s="5"/>
      <c r="AC25" s="5"/>
      <c r="AG25" s="5"/>
      <c r="AK25" s="5"/>
      <c r="AO25" s="5"/>
    </row>
    <row r="26" ht="14.25" customHeight="1">
      <c r="A26" s="11" t="s">
        <v>18</v>
      </c>
      <c r="F26" s="5"/>
      <c r="K26" s="5"/>
      <c r="P26" s="5"/>
      <c r="U26" s="5"/>
      <c r="Y26" s="5"/>
      <c r="AC26" s="5"/>
      <c r="AG26" s="5"/>
      <c r="AK26" s="5"/>
      <c r="AO26" s="5"/>
    </row>
    <row r="27" ht="14.25" customHeight="1">
      <c r="A27" s="4" t="s">
        <v>12</v>
      </c>
      <c r="B27" s="4" t="s">
        <v>13</v>
      </c>
      <c r="C27" s="4" t="s">
        <v>14</v>
      </c>
      <c r="D27" s="4" t="s">
        <v>15</v>
      </c>
      <c r="F27" s="5" t="s">
        <v>12</v>
      </c>
      <c r="G27" s="4" t="s">
        <v>13</v>
      </c>
      <c r="H27" s="4" t="s">
        <v>14</v>
      </c>
      <c r="I27" s="4" t="s">
        <v>15</v>
      </c>
      <c r="K27" s="5" t="s">
        <v>12</v>
      </c>
      <c r="L27" s="4" t="s">
        <v>13</v>
      </c>
      <c r="M27" s="4" t="s">
        <v>14</v>
      </c>
      <c r="N27" s="4" t="s">
        <v>15</v>
      </c>
      <c r="P27" s="5" t="s">
        <v>12</v>
      </c>
      <c r="Q27" s="4" t="s">
        <v>13</v>
      </c>
      <c r="R27" s="4" t="s">
        <v>14</v>
      </c>
      <c r="S27" s="4" t="s">
        <v>15</v>
      </c>
      <c r="U27" s="5" t="s">
        <v>12</v>
      </c>
      <c r="V27" s="4" t="s">
        <v>13</v>
      </c>
      <c r="W27" s="4" t="s">
        <v>14</v>
      </c>
      <c r="X27" s="4" t="s">
        <v>15</v>
      </c>
      <c r="Y27" s="5" t="s">
        <v>12</v>
      </c>
      <c r="Z27" s="4" t="s">
        <v>13</v>
      </c>
      <c r="AA27" s="4" t="s">
        <v>14</v>
      </c>
      <c r="AB27" s="4" t="s">
        <v>15</v>
      </c>
      <c r="AC27" s="5" t="s">
        <v>12</v>
      </c>
      <c r="AD27" s="4" t="s">
        <v>13</v>
      </c>
      <c r="AE27" s="4" t="s">
        <v>14</v>
      </c>
      <c r="AF27" s="4" t="s">
        <v>15</v>
      </c>
      <c r="AG27" s="5" t="s">
        <v>12</v>
      </c>
      <c r="AH27" s="4" t="s">
        <v>13</v>
      </c>
      <c r="AI27" s="4" t="s">
        <v>14</v>
      </c>
      <c r="AJ27" s="4" t="s">
        <v>15</v>
      </c>
      <c r="AK27" s="5" t="s">
        <v>12</v>
      </c>
      <c r="AL27" s="4" t="s">
        <v>13</v>
      </c>
      <c r="AM27" s="4" t="s">
        <v>14</v>
      </c>
      <c r="AN27" s="4" t="s">
        <v>15</v>
      </c>
      <c r="AO27" s="5" t="s">
        <v>12</v>
      </c>
      <c r="AP27" s="4" t="s">
        <v>13</v>
      </c>
      <c r="AQ27" s="4" t="s">
        <v>14</v>
      </c>
      <c r="AR27" s="4" t="s">
        <v>15</v>
      </c>
    </row>
    <row r="28" ht="14.25" customHeight="1">
      <c r="A28" s="4">
        <v>200.0</v>
      </c>
      <c r="B28" s="4">
        <v>1.0</v>
      </c>
      <c r="D28" s="4">
        <f t="shared" ref="D28:D39" si="12">A28*(B28+C28)</f>
        <v>200</v>
      </c>
      <c r="F28" s="5"/>
      <c r="K28" s="5"/>
      <c r="P28" s="5"/>
      <c r="U28" s="5"/>
      <c r="Y28" s="5"/>
      <c r="AC28" s="5">
        <v>200.0</v>
      </c>
      <c r="AD28" s="4">
        <v>1.0</v>
      </c>
      <c r="AF28" s="4">
        <f t="shared" ref="AF28:AF39" si="13">AC28*(AD28+AE28)</f>
        <v>200</v>
      </c>
      <c r="AG28" s="5">
        <v>200.0</v>
      </c>
      <c r="AH28" s="4">
        <v>3.0</v>
      </c>
      <c r="AJ28" s="4">
        <f t="shared" ref="AJ28:AJ39" si="14">AG28*(AH28+AI28)</f>
        <v>600</v>
      </c>
      <c r="AK28" s="5">
        <v>200.0</v>
      </c>
      <c r="AL28" s="4">
        <v>1.0</v>
      </c>
      <c r="AN28" s="4">
        <f t="shared" ref="AN28:AN39" si="15">AK28*(AL28+AM28)</f>
        <v>200</v>
      </c>
      <c r="AO28" s="5">
        <v>200.0</v>
      </c>
      <c r="AP28" s="4">
        <v>1.0</v>
      </c>
      <c r="AR28" s="4">
        <f t="shared" ref="AR28:AR39" si="16">AO28*(AP28+AQ28)</f>
        <v>200</v>
      </c>
    </row>
    <row r="29" ht="14.25" customHeight="1">
      <c r="A29" s="4">
        <v>100.0</v>
      </c>
      <c r="B29" s="4">
        <v>5.0</v>
      </c>
      <c r="D29" s="4">
        <f t="shared" si="12"/>
        <v>500</v>
      </c>
      <c r="F29" s="5">
        <v>100.0</v>
      </c>
      <c r="G29" s="4">
        <v>8.0</v>
      </c>
      <c r="I29" s="4">
        <f t="shared" ref="I29:I39" si="17">F29*(G29+H29)</f>
        <v>800</v>
      </c>
      <c r="K29" s="5">
        <v>100.0</v>
      </c>
      <c r="L29" s="4">
        <v>3.0</v>
      </c>
      <c r="N29" s="4">
        <f t="shared" ref="N29:N39" si="18">K29*(L29+M29)</f>
        <v>300</v>
      </c>
      <c r="P29" s="5">
        <v>100.0</v>
      </c>
      <c r="Q29" s="4">
        <v>3.0</v>
      </c>
      <c r="S29" s="4">
        <f t="shared" ref="S29:S39" si="19">P29*(Q29+R29)</f>
        <v>300</v>
      </c>
      <c r="U29" s="5">
        <v>100.0</v>
      </c>
      <c r="V29" s="4">
        <v>3.0</v>
      </c>
      <c r="X29" s="4">
        <f t="shared" ref="X29:X39" si="20">U29*(V29+W29)</f>
        <v>300</v>
      </c>
      <c r="Y29" s="5">
        <v>100.0</v>
      </c>
      <c r="Z29" s="4">
        <v>5.0</v>
      </c>
      <c r="AB29" s="4">
        <f t="shared" ref="AB29:AB39" si="21">Y29*(Z29+AA29)</f>
        <v>500</v>
      </c>
      <c r="AC29" s="5">
        <v>100.0</v>
      </c>
      <c r="AD29" s="4">
        <v>4.0</v>
      </c>
      <c r="AE29" s="4"/>
      <c r="AF29" s="4">
        <f t="shared" si="13"/>
        <v>400</v>
      </c>
      <c r="AG29" s="5">
        <v>100.0</v>
      </c>
      <c r="AH29" s="4">
        <v>3.0</v>
      </c>
      <c r="AJ29" s="4">
        <f t="shared" si="14"/>
        <v>300</v>
      </c>
      <c r="AK29" s="5">
        <v>100.0</v>
      </c>
      <c r="AL29" s="4">
        <v>4.0</v>
      </c>
      <c r="AN29" s="4">
        <f t="shared" si="15"/>
        <v>400</v>
      </c>
      <c r="AO29" s="5">
        <v>100.0</v>
      </c>
      <c r="AP29" s="4">
        <v>5.0</v>
      </c>
      <c r="AR29" s="4">
        <f t="shared" si="16"/>
        <v>500</v>
      </c>
    </row>
    <row r="30" ht="14.25" customHeight="1">
      <c r="A30" s="4">
        <v>50.0</v>
      </c>
      <c r="B30" s="4">
        <v>8.0</v>
      </c>
      <c r="D30" s="4">
        <f t="shared" si="12"/>
        <v>400</v>
      </c>
      <c r="F30" s="5">
        <v>50.0</v>
      </c>
      <c r="G30" s="4">
        <v>14.0</v>
      </c>
      <c r="I30" s="4">
        <f t="shared" si="17"/>
        <v>700</v>
      </c>
      <c r="K30" s="5">
        <v>50.0</v>
      </c>
      <c r="L30" s="4">
        <v>15.0</v>
      </c>
      <c r="N30" s="4">
        <f t="shared" si="18"/>
        <v>750</v>
      </c>
      <c r="P30" s="5">
        <v>50.0</v>
      </c>
      <c r="Q30" s="4">
        <v>1.0</v>
      </c>
      <c r="S30" s="4">
        <f t="shared" si="19"/>
        <v>50</v>
      </c>
      <c r="U30" s="5">
        <v>50.0</v>
      </c>
      <c r="V30" s="4">
        <v>7.0</v>
      </c>
      <c r="X30" s="4">
        <f t="shared" si="20"/>
        <v>350</v>
      </c>
      <c r="Y30" s="5">
        <v>50.0</v>
      </c>
      <c r="Z30" s="4">
        <v>11.0</v>
      </c>
      <c r="AB30" s="4">
        <f t="shared" si="21"/>
        <v>550</v>
      </c>
      <c r="AC30" s="5">
        <v>50.0</v>
      </c>
      <c r="AD30" s="4">
        <v>10.0</v>
      </c>
      <c r="AF30" s="4">
        <f t="shared" si="13"/>
        <v>500</v>
      </c>
      <c r="AG30" s="5">
        <v>50.0</v>
      </c>
      <c r="AH30" s="4">
        <v>5.0</v>
      </c>
      <c r="AJ30" s="4">
        <f t="shared" si="14"/>
        <v>250</v>
      </c>
      <c r="AK30" s="5">
        <v>50.0</v>
      </c>
      <c r="AL30" s="4">
        <v>21.0</v>
      </c>
      <c r="AN30" s="4">
        <f t="shared" si="15"/>
        <v>1050</v>
      </c>
      <c r="AO30" s="5">
        <v>50.0</v>
      </c>
      <c r="AP30" s="4">
        <v>7.0</v>
      </c>
      <c r="AR30" s="4">
        <f t="shared" si="16"/>
        <v>350</v>
      </c>
    </row>
    <row r="31" ht="14.25" customHeight="1">
      <c r="A31" s="4">
        <v>20.0</v>
      </c>
      <c r="B31" s="4">
        <v>35.0</v>
      </c>
      <c r="D31" s="4">
        <f t="shared" si="12"/>
        <v>700</v>
      </c>
      <c r="F31" s="5">
        <v>20.0</v>
      </c>
      <c r="G31" s="4">
        <v>61.0</v>
      </c>
      <c r="I31" s="4">
        <f t="shared" si="17"/>
        <v>1220</v>
      </c>
      <c r="K31" s="5">
        <v>20.0</v>
      </c>
      <c r="L31" s="4">
        <v>27.0</v>
      </c>
      <c r="N31" s="4">
        <f t="shared" si="18"/>
        <v>540</v>
      </c>
      <c r="P31" s="5">
        <v>20.0</v>
      </c>
      <c r="Q31" s="4">
        <v>4.0</v>
      </c>
      <c r="S31" s="4">
        <f t="shared" si="19"/>
        <v>80</v>
      </c>
      <c r="U31" s="5">
        <v>20.0</v>
      </c>
      <c r="V31" s="4">
        <v>20.0</v>
      </c>
      <c r="X31" s="4">
        <f t="shared" si="20"/>
        <v>400</v>
      </c>
      <c r="Y31" s="5">
        <v>20.0</v>
      </c>
      <c r="Z31" s="4">
        <v>33.0</v>
      </c>
      <c r="AB31" s="4">
        <f t="shared" si="21"/>
        <v>660</v>
      </c>
      <c r="AC31" s="5">
        <v>20.0</v>
      </c>
      <c r="AD31" s="4">
        <v>14.0</v>
      </c>
      <c r="AF31" s="4">
        <f t="shared" si="13"/>
        <v>280</v>
      </c>
      <c r="AG31" s="5">
        <v>20.0</v>
      </c>
      <c r="AH31" s="4">
        <v>24.0</v>
      </c>
      <c r="AJ31" s="4">
        <f t="shared" si="14"/>
        <v>480</v>
      </c>
      <c r="AK31" s="5">
        <v>20.0</v>
      </c>
      <c r="AL31" s="4">
        <v>36.0</v>
      </c>
      <c r="AN31" s="4">
        <f t="shared" si="15"/>
        <v>720</v>
      </c>
      <c r="AO31" s="5">
        <v>20.0</v>
      </c>
      <c r="AP31" s="4">
        <v>51.0</v>
      </c>
      <c r="AR31" s="4">
        <f t="shared" si="16"/>
        <v>1020</v>
      </c>
    </row>
    <row r="32" ht="14.25" customHeight="1">
      <c r="A32" s="4">
        <v>10.0</v>
      </c>
      <c r="B32" s="4">
        <v>0.0</v>
      </c>
      <c r="D32" s="4">
        <f t="shared" si="12"/>
        <v>0</v>
      </c>
      <c r="F32" s="5">
        <v>10.0</v>
      </c>
      <c r="G32" s="4">
        <v>9.0</v>
      </c>
      <c r="I32" s="4">
        <f t="shared" si="17"/>
        <v>90</v>
      </c>
      <c r="K32" s="5">
        <v>10.0</v>
      </c>
      <c r="L32" s="4">
        <v>3.0</v>
      </c>
      <c r="N32" s="4">
        <f t="shared" si="18"/>
        <v>30</v>
      </c>
      <c r="P32" s="5">
        <v>10.0</v>
      </c>
      <c r="Q32" s="4">
        <v>10.0</v>
      </c>
      <c r="S32" s="4">
        <f t="shared" si="19"/>
        <v>100</v>
      </c>
      <c r="U32" s="5">
        <v>10.0</v>
      </c>
      <c r="V32" s="4">
        <v>0.0</v>
      </c>
      <c r="X32" s="4">
        <f t="shared" si="20"/>
        <v>0</v>
      </c>
      <c r="Y32" s="5">
        <v>10.0</v>
      </c>
      <c r="Z32" s="4">
        <v>11.0</v>
      </c>
      <c r="AB32" s="4">
        <f t="shared" si="21"/>
        <v>110</v>
      </c>
      <c r="AC32" s="5">
        <v>10.0</v>
      </c>
      <c r="AD32" s="4">
        <v>11.0</v>
      </c>
      <c r="AF32" s="4">
        <f t="shared" si="13"/>
        <v>110</v>
      </c>
      <c r="AG32" s="5">
        <v>10.0</v>
      </c>
      <c r="AH32" s="4">
        <v>13.0</v>
      </c>
      <c r="AJ32" s="4">
        <f t="shared" si="14"/>
        <v>130</v>
      </c>
      <c r="AK32" s="5">
        <v>10.0</v>
      </c>
      <c r="AL32" s="4">
        <v>12.0</v>
      </c>
      <c r="AN32" s="4">
        <f t="shared" si="15"/>
        <v>120</v>
      </c>
      <c r="AO32" s="5">
        <v>10.0</v>
      </c>
      <c r="AP32" s="4">
        <v>4.0</v>
      </c>
      <c r="AR32" s="4">
        <f t="shared" si="16"/>
        <v>40</v>
      </c>
    </row>
    <row r="33" ht="14.25" customHeight="1">
      <c r="A33" s="4">
        <v>5.0</v>
      </c>
      <c r="B33" s="4">
        <v>6.0</v>
      </c>
      <c r="D33" s="4">
        <f t="shared" si="12"/>
        <v>30</v>
      </c>
      <c r="F33" s="5">
        <v>5.0</v>
      </c>
      <c r="G33" s="4">
        <v>1.0</v>
      </c>
      <c r="I33" s="4">
        <f t="shared" si="17"/>
        <v>5</v>
      </c>
      <c r="K33" s="5">
        <v>5.0</v>
      </c>
      <c r="L33" s="4">
        <v>0.0</v>
      </c>
      <c r="N33" s="4">
        <f t="shared" si="18"/>
        <v>0</v>
      </c>
      <c r="P33" s="5">
        <v>5.0</v>
      </c>
      <c r="Q33" s="4">
        <v>54.0</v>
      </c>
      <c r="S33" s="4">
        <f t="shared" si="19"/>
        <v>270</v>
      </c>
      <c r="U33" s="5">
        <v>5.0</v>
      </c>
      <c r="V33" s="4">
        <v>20.0</v>
      </c>
      <c r="X33" s="4">
        <f t="shared" si="20"/>
        <v>100</v>
      </c>
      <c r="Y33" s="5">
        <v>5.0</v>
      </c>
      <c r="Z33" s="4">
        <v>11.0</v>
      </c>
      <c r="AB33" s="4">
        <f t="shared" si="21"/>
        <v>55</v>
      </c>
      <c r="AC33" s="5">
        <v>5.0</v>
      </c>
      <c r="AD33" s="4">
        <v>17.0</v>
      </c>
      <c r="AF33" s="4">
        <f t="shared" si="13"/>
        <v>85</v>
      </c>
      <c r="AG33" s="5">
        <v>5.0</v>
      </c>
      <c r="AH33" s="4">
        <v>1.0</v>
      </c>
      <c r="AJ33" s="4">
        <f t="shared" si="14"/>
        <v>5</v>
      </c>
      <c r="AK33" s="5">
        <v>5.0</v>
      </c>
      <c r="AL33" s="4">
        <v>26.0</v>
      </c>
      <c r="AN33" s="4">
        <f t="shared" si="15"/>
        <v>130</v>
      </c>
      <c r="AO33" s="5">
        <v>5.0</v>
      </c>
      <c r="AP33" s="4">
        <v>29.0</v>
      </c>
      <c r="AR33" s="4">
        <f t="shared" si="16"/>
        <v>145</v>
      </c>
    </row>
    <row r="34" ht="14.25" customHeight="1">
      <c r="A34" s="4">
        <v>2.0</v>
      </c>
      <c r="B34" s="4">
        <v>52.0</v>
      </c>
      <c r="D34" s="4">
        <f t="shared" si="12"/>
        <v>104</v>
      </c>
      <c r="F34" s="5">
        <v>2.0</v>
      </c>
      <c r="G34" s="4">
        <v>1.0</v>
      </c>
      <c r="I34" s="4">
        <f t="shared" si="17"/>
        <v>2</v>
      </c>
      <c r="K34" s="5">
        <v>2.0</v>
      </c>
      <c r="L34" s="4">
        <v>0.0</v>
      </c>
      <c r="N34" s="4">
        <f t="shared" si="18"/>
        <v>0</v>
      </c>
      <c r="P34" s="5">
        <v>2.0</v>
      </c>
      <c r="Q34" s="4">
        <v>158.0</v>
      </c>
      <c r="S34" s="4">
        <f t="shared" si="19"/>
        <v>316</v>
      </c>
      <c r="U34" s="5">
        <v>2.0</v>
      </c>
      <c r="V34" s="4">
        <v>76.0</v>
      </c>
      <c r="X34" s="4">
        <f t="shared" si="20"/>
        <v>152</v>
      </c>
      <c r="Y34" s="5">
        <v>2.0</v>
      </c>
      <c r="Z34" s="4">
        <v>1.0</v>
      </c>
      <c r="AB34" s="4">
        <f t="shared" si="21"/>
        <v>2</v>
      </c>
      <c r="AC34" s="5">
        <v>2.0</v>
      </c>
      <c r="AD34" s="4">
        <v>145.0</v>
      </c>
      <c r="AF34" s="4">
        <f t="shared" si="13"/>
        <v>290</v>
      </c>
      <c r="AG34" s="5">
        <v>2.0</v>
      </c>
      <c r="AH34" s="4">
        <v>31.0</v>
      </c>
      <c r="AJ34" s="4">
        <f t="shared" si="14"/>
        <v>62</v>
      </c>
      <c r="AK34" s="5">
        <v>2.0</v>
      </c>
      <c r="AL34" s="4">
        <v>257.0</v>
      </c>
      <c r="AN34" s="4">
        <f t="shared" si="15"/>
        <v>514</v>
      </c>
      <c r="AO34" s="5">
        <v>2.0</v>
      </c>
      <c r="AP34" s="4">
        <v>272.0</v>
      </c>
      <c r="AR34" s="4">
        <f t="shared" si="16"/>
        <v>544</v>
      </c>
    </row>
    <row r="35" ht="14.25" customHeight="1">
      <c r="A35" s="4">
        <v>1.0</v>
      </c>
      <c r="B35" s="4">
        <v>94.0</v>
      </c>
      <c r="D35" s="4">
        <f t="shared" si="12"/>
        <v>94</v>
      </c>
      <c r="F35" s="5">
        <v>1.0</v>
      </c>
      <c r="G35" s="4">
        <v>4.0</v>
      </c>
      <c r="I35" s="4">
        <f t="shared" si="17"/>
        <v>4</v>
      </c>
      <c r="K35" s="5">
        <v>1.0</v>
      </c>
      <c r="L35" s="4">
        <v>0.0</v>
      </c>
      <c r="N35" s="4">
        <f t="shared" si="18"/>
        <v>0</v>
      </c>
      <c r="P35" s="5">
        <v>1.0</v>
      </c>
      <c r="Q35" s="4">
        <v>95.0</v>
      </c>
      <c r="S35" s="4">
        <f t="shared" si="19"/>
        <v>95</v>
      </c>
      <c r="U35" s="5">
        <v>1.0</v>
      </c>
      <c r="V35" s="4">
        <v>86.0</v>
      </c>
      <c r="X35" s="4">
        <f t="shared" si="20"/>
        <v>86</v>
      </c>
      <c r="Y35" s="5">
        <v>1.0</v>
      </c>
      <c r="Z35" s="4">
        <v>41.0</v>
      </c>
      <c r="AB35" s="4">
        <f t="shared" si="21"/>
        <v>41</v>
      </c>
      <c r="AC35" s="5">
        <v>1.0</v>
      </c>
      <c r="AD35" s="4">
        <v>44.0</v>
      </c>
      <c r="AF35" s="4">
        <f t="shared" si="13"/>
        <v>44</v>
      </c>
      <c r="AG35" s="5">
        <v>1.0</v>
      </c>
      <c r="AH35" s="4">
        <v>43.0</v>
      </c>
      <c r="AJ35" s="4">
        <f t="shared" si="14"/>
        <v>43</v>
      </c>
      <c r="AK35" s="5">
        <v>1.0</v>
      </c>
      <c r="AL35" s="4">
        <v>230.0</v>
      </c>
      <c r="AN35" s="4">
        <f t="shared" si="15"/>
        <v>230</v>
      </c>
      <c r="AO35" s="5">
        <v>1.0</v>
      </c>
      <c r="AP35" s="4">
        <v>285.0</v>
      </c>
      <c r="AR35" s="4">
        <f t="shared" si="16"/>
        <v>285</v>
      </c>
    </row>
    <row r="36" ht="14.25" customHeight="1">
      <c r="A36" s="4">
        <v>0.5</v>
      </c>
      <c r="B36" s="4">
        <v>6.0</v>
      </c>
      <c r="D36" s="4">
        <f t="shared" si="12"/>
        <v>3</v>
      </c>
      <c r="F36" s="5">
        <v>0.5</v>
      </c>
      <c r="G36" s="4">
        <v>2.0</v>
      </c>
      <c r="I36" s="4">
        <f t="shared" si="17"/>
        <v>1</v>
      </c>
      <c r="K36" s="5">
        <v>0.5</v>
      </c>
      <c r="L36" s="4">
        <v>56.0</v>
      </c>
      <c r="N36" s="4">
        <f t="shared" si="18"/>
        <v>28</v>
      </c>
      <c r="P36" s="5">
        <v>0.5</v>
      </c>
      <c r="Q36" s="4">
        <v>58.0</v>
      </c>
      <c r="S36" s="4">
        <f t="shared" si="19"/>
        <v>29</v>
      </c>
      <c r="U36" s="5">
        <v>0.5</v>
      </c>
      <c r="V36" s="4">
        <v>60.0</v>
      </c>
      <c r="X36" s="4">
        <f t="shared" si="20"/>
        <v>30</v>
      </c>
      <c r="Y36" s="5">
        <v>0.5</v>
      </c>
      <c r="Z36" s="4">
        <v>62.0</v>
      </c>
      <c r="AB36" s="4">
        <f t="shared" si="21"/>
        <v>31</v>
      </c>
      <c r="AC36" s="5">
        <v>0.5</v>
      </c>
      <c r="AD36" s="4">
        <v>10.0</v>
      </c>
      <c r="AF36" s="4">
        <f t="shared" si="13"/>
        <v>5</v>
      </c>
      <c r="AG36" s="5">
        <v>0.5</v>
      </c>
      <c r="AH36" s="4">
        <v>17.0</v>
      </c>
      <c r="AJ36" s="4">
        <f t="shared" si="14"/>
        <v>8.5</v>
      </c>
      <c r="AK36" s="5">
        <v>0.5</v>
      </c>
      <c r="AL36" s="4">
        <v>11.0</v>
      </c>
      <c r="AN36" s="4">
        <f t="shared" si="15"/>
        <v>5.5</v>
      </c>
      <c r="AO36" s="5">
        <v>0.5</v>
      </c>
      <c r="AP36" s="4">
        <v>4.0</v>
      </c>
      <c r="AR36" s="4">
        <f t="shared" si="16"/>
        <v>2</v>
      </c>
    </row>
    <row r="37" ht="14.25" customHeight="1">
      <c r="A37" s="4">
        <v>0.2</v>
      </c>
      <c r="B37" s="4">
        <v>9.0</v>
      </c>
      <c r="D37" s="4">
        <f t="shared" si="12"/>
        <v>1.8</v>
      </c>
      <c r="F37" s="5">
        <v>0.2</v>
      </c>
      <c r="G37" s="4">
        <v>13.0</v>
      </c>
      <c r="I37" s="4">
        <f t="shared" si="17"/>
        <v>2.6</v>
      </c>
      <c r="K37" s="5">
        <v>0.2</v>
      </c>
      <c r="L37" s="4">
        <v>5.0</v>
      </c>
      <c r="N37" s="4">
        <f t="shared" si="18"/>
        <v>1</v>
      </c>
      <c r="P37" s="5">
        <v>0.2</v>
      </c>
      <c r="Q37" s="4">
        <v>12.0</v>
      </c>
      <c r="S37" s="4">
        <f t="shared" si="19"/>
        <v>2.4</v>
      </c>
      <c r="U37" s="5">
        <v>0.2</v>
      </c>
      <c r="V37" s="4">
        <v>12.0</v>
      </c>
      <c r="X37" s="4">
        <f t="shared" si="20"/>
        <v>2.4</v>
      </c>
      <c r="Y37" s="5">
        <v>0.2</v>
      </c>
      <c r="Z37" s="4">
        <v>12.0</v>
      </c>
      <c r="AB37" s="4">
        <f t="shared" si="21"/>
        <v>2.4</v>
      </c>
      <c r="AC37" s="5">
        <v>0.2</v>
      </c>
      <c r="AD37" s="4">
        <v>5.0</v>
      </c>
      <c r="AF37" s="4">
        <f t="shared" si="13"/>
        <v>1</v>
      </c>
      <c r="AG37" s="5">
        <v>0.2</v>
      </c>
      <c r="AH37" s="4">
        <v>7.0</v>
      </c>
      <c r="AJ37" s="4">
        <f t="shared" si="14"/>
        <v>1.4</v>
      </c>
      <c r="AK37" s="5">
        <v>0.2</v>
      </c>
      <c r="AL37" s="4">
        <v>6.0</v>
      </c>
      <c r="AN37" s="4">
        <f t="shared" si="15"/>
        <v>1.2</v>
      </c>
      <c r="AO37" s="5">
        <v>0.2</v>
      </c>
      <c r="AP37" s="4">
        <v>7.0</v>
      </c>
      <c r="AR37" s="4">
        <f t="shared" si="16"/>
        <v>1.4</v>
      </c>
    </row>
    <row r="38" ht="14.25" customHeight="1">
      <c r="A38" s="4">
        <v>0.1</v>
      </c>
      <c r="B38" s="4">
        <v>19.0</v>
      </c>
      <c r="D38" s="4">
        <f t="shared" si="12"/>
        <v>1.9</v>
      </c>
      <c r="F38" s="5">
        <v>0.1</v>
      </c>
      <c r="G38" s="4">
        <v>7.0</v>
      </c>
      <c r="I38" s="4">
        <f t="shared" si="17"/>
        <v>0.7</v>
      </c>
      <c r="K38" s="5">
        <v>0.1</v>
      </c>
      <c r="L38" s="4">
        <v>2.0</v>
      </c>
      <c r="N38" s="4">
        <f t="shared" si="18"/>
        <v>0.2</v>
      </c>
      <c r="P38" s="5">
        <v>0.1</v>
      </c>
      <c r="Q38" s="4">
        <v>7.0</v>
      </c>
      <c r="S38" s="4">
        <f t="shared" si="19"/>
        <v>0.7</v>
      </c>
      <c r="U38" s="5">
        <v>0.1</v>
      </c>
      <c r="V38" s="4">
        <v>7.0</v>
      </c>
      <c r="X38" s="4">
        <f t="shared" si="20"/>
        <v>0.7</v>
      </c>
      <c r="Y38" s="5">
        <v>0.1</v>
      </c>
      <c r="Z38" s="4">
        <v>7.0</v>
      </c>
      <c r="AB38" s="4">
        <f t="shared" si="21"/>
        <v>0.7</v>
      </c>
      <c r="AC38" s="5">
        <v>0.1</v>
      </c>
      <c r="AD38" s="4">
        <v>0.0</v>
      </c>
      <c r="AF38" s="4">
        <f t="shared" si="13"/>
        <v>0</v>
      </c>
      <c r="AG38" s="5">
        <v>0.1</v>
      </c>
      <c r="AH38" s="4">
        <v>1.0</v>
      </c>
      <c r="AJ38" s="4">
        <f t="shared" si="14"/>
        <v>0.1</v>
      </c>
      <c r="AK38" s="5">
        <v>0.1</v>
      </c>
      <c r="AL38" s="4">
        <v>6.0</v>
      </c>
      <c r="AN38" s="4">
        <f t="shared" si="15"/>
        <v>0.6</v>
      </c>
      <c r="AO38" s="5">
        <v>0.1</v>
      </c>
      <c r="AP38" s="4">
        <v>6.0</v>
      </c>
      <c r="AR38" s="4">
        <f t="shared" si="16"/>
        <v>0.6</v>
      </c>
    </row>
    <row r="39" ht="14.25" customHeight="1">
      <c r="A39" s="4">
        <v>0.05</v>
      </c>
      <c r="B39" s="4">
        <v>2.0</v>
      </c>
      <c r="D39" s="4">
        <f t="shared" si="12"/>
        <v>0.1</v>
      </c>
      <c r="F39" s="5">
        <v>0.05</v>
      </c>
      <c r="I39" s="4">
        <f t="shared" si="17"/>
        <v>0</v>
      </c>
      <c r="K39" s="5">
        <v>0.05</v>
      </c>
      <c r="L39" s="4">
        <v>2.0</v>
      </c>
      <c r="N39" s="4">
        <f t="shared" si="18"/>
        <v>0.1</v>
      </c>
      <c r="P39" s="5">
        <v>0.05</v>
      </c>
      <c r="Q39" s="4">
        <v>2.0</v>
      </c>
      <c r="S39" s="4">
        <f t="shared" si="19"/>
        <v>0.1</v>
      </c>
      <c r="U39" s="5">
        <v>0.05</v>
      </c>
      <c r="V39" s="4">
        <v>2.0</v>
      </c>
      <c r="X39" s="4">
        <f t="shared" si="20"/>
        <v>0.1</v>
      </c>
      <c r="Y39" s="5">
        <v>0.05</v>
      </c>
      <c r="Z39" s="4">
        <v>3.0</v>
      </c>
      <c r="AB39" s="4">
        <f t="shared" si="21"/>
        <v>0.15</v>
      </c>
      <c r="AC39" s="5">
        <v>0.05</v>
      </c>
      <c r="AD39" s="4">
        <v>0.0</v>
      </c>
      <c r="AF39" s="4">
        <f t="shared" si="13"/>
        <v>0</v>
      </c>
      <c r="AG39" s="5">
        <v>0.05</v>
      </c>
      <c r="AH39" s="4">
        <v>1.0</v>
      </c>
      <c r="AJ39" s="4">
        <f t="shared" si="14"/>
        <v>0.05</v>
      </c>
      <c r="AK39" s="5">
        <v>0.05</v>
      </c>
      <c r="AN39" s="4">
        <f t="shared" si="15"/>
        <v>0</v>
      </c>
      <c r="AO39" s="5">
        <v>0.05</v>
      </c>
      <c r="AR39" s="4">
        <f t="shared" si="16"/>
        <v>0</v>
      </c>
    </row>
    <row r="40" ht="14.25" customHeight="1">
      <c r="F40" s="5"/>
      <c r="K40" s="5"/>
      <c r="P40" s="5"/>
      <c r="U40" s="5"/>
      <c r="Y40" s="5"/>
      <c r="AC40" s="5"/>
      <c r="AG40" s="5"/>
      <c r="AK40" s="5"/>
      <c r="AO40" s="5"/>
    </row>
    <row r="41" ht="14.25" customHeight="1">
      <c r="A41" s="17" t="s">
        <v>19</v>
      </c>
      <c r="B41" s="17"/>
      <c r="C41" s="17"/>
      <c r="D41" s="17">
        <f>SUM(D28:D39)</f>
        <v>2034.8</v>
      </c>
      <c r="E41" s="21"/>
      <c r="F41" s="18" t="s">
        <v>19</v>
      </c>
      <c r="G41" s="17"/>
      <c r="H41" s="17"/>
      <c r="I41" s="17">
        <f>SUM(I29:I39)</f>
        <v>2825.3</v>
      </c>
      <c r="J41" s="21"/>
      <c r="K41" s="18" t="s">
        <v>19</v>
      </c>
      <c r="L41" s="17"/>
      <c r="M41" s="17"/>
      <c r="N41" s="17">
        <f>SUM(N29:N39)</f>
        <v>1649.3</v>
      </c>
      <c r="O41" s="21"/>
      <c r="P41" s="18" t="s">
        <v>19</v>
      </c>
      <c r="Q41" s="17"/>
      <c r="R41" s="17"/>
      <c r="S41" s="17">
        <f>SUM(S29:S39)</f>
        <v>1243.2</v>
      </c>
      <c r="T41" s="21"/>
      <c r="U41" s="18" t="s">
        <v>19</v>
      </c>
      <c r="V41" s="17"/>
      <c r="W41" s="17"/>
      <c r="X41" s="17">
        <f>SUM(X29:X39)</f>
        <v>1421.2</v>
      </c>
      <c r="Y41" s="18" t="s">
        <v>19</v>
      </c>
      <c r="Z41" s="17"/>
      <c r="AA41" s="17"/>
      <c r="AB41" s="17">
        <f>SUM(AB29:AB39)</f>
        <v>1952.25</v>
      </c>
      <c r="AC41" s="18" t="s">
        <v>19</v>
      </c>
      <c r="AD41" s="17"/>
      <c r="AE41" s="17"/>
      <c r="AF41" s="17">
        <f>SUM(AF28:AF39)</f>
        <v>1915</v>
      </c>
      <c r="AG41" s="18" t="s">
        <v>19</v>
      </c>
      <c r="AH41" s="17"/>
      <c r="AI41" s="17"/>
      <c r="AJ41" s="17">
        <f>SUM(AJ28:AJ39)</f>
        <v>1880.05</v>
      </c>
      <c r="AK41" s="18" t="s">
        <v>19</v>
      </c>
      <c r="AL41" s="17"/>
      <c r="AM41" s="17"/>
      <c r="AN41" s="17">
        <f>SUM(AN28:AN39)</f>
        <v>3371.3</v>
      </c>
      <c r="AO41" s="18" t="s">
        <v>19</v>
      </c>
      <c r="AP41" s="17"/>
      <c r="AQ41" s="17"/>
      <c r="AR41" s="17">
        <f>SUM(AR28:AR39)</f>
        <v>3088</v>
      </c>
    </row>
    <row r="42" ht="14.25" customHeight="1"/>
    <row r="43" ht="14.25" customHeight="1">
      <c r="A43" s="11" t="s">
        <v>20</v>
      </c>
      <c r="AC43" s="4" t="s">
        <v>101</v>
      </c>
      <c r="AG43" s="4" t="s">
        <v>102</v>
      </c>
    </row>
    <row r="44" ht="16.5" customHeight="1">
      <c r="A44" s="4" t="s">
        <v>22</v>
      </c>
      <c r="F44" s="5" t="s">
        <v>22</v>
      </c>
      <c r="K44" s="5" t="s">
        <v>22</v>
      </c>
      <c r="P44" s="5" t="s">
        <v>102</v>
      </c>
      <c r="U44" s="5"/>
      <c r="Y44" s="5"/>
      <c r="AC44" s="5"/>
      <c r="AG44" s="5" t="s">
        <v>103</v>
      </c>
      <c r="AK44" s="5"/>
      <c r="AO44" s="5" t="s">
        <v>23</v>
      </c>
    </row>
    <row r="45" ht="14.25" customHeight="1">
      <c r="F45" s="5"/>
      <c r="K45" s="5"/>
      <c r="P45" s="5" t="s">
        <v>104</v>
      </c>
      <c r="U45" s="5"/>
      <c r="Y45" s="5"/>
      <c r="AC45" s="5"/>
      <c r="AG45" s="5" t="s">
        <v>105</v>
      </c>
      <c r="AK45" s="5"/>
      <c r="AO45" s="5"/>
    </row>
    <row r="46" ht="14.25" customHeight="1">
      <c r="F46" s="5" t="s">
        <v>106</v>
      </c>
      <c r="K46" s="5" t="s">
        <v>107</v>
      </c>
      <c r="P46" s="5" t="s">
        <v>108</v>
      </c>
      <c r="U46" s="5"/>
      <c r="Y46" s="5"/>
      <c r="AC46" s="5"/>
      <c r="AG46" s="5" t="s">
        <v>109</v>
      </c>
      <c r="AK46" s="5"/>
      <c r="AO46" s="5"/>
    </row>
    <row r="47" ht="14.25" customHeight="1">
      <c r="F47" s="5"/>
      <c r="K47" s="5"/>
      <c r="P47" s="5" t="s">
        <v>110</v>
      </c>
      <c r="U47" s="5"/>
      <c r="Y47" s="5"/>
      <c r="AC47" s="5"/>
      <c r="AG47" s="5" t="s">
        <v>111</v>
      </c>
      <c r="AH47" s="4">
        <v>3825.0</v>
      </c>
      <c r="AK47" s="5"/>
      <c r="AO47" s="5"/>
    </row>
    <row r="48" ht="14.25" customHeight="1">
      <c r="F48" s="5" t="s">
        <v>112</v>
      </c>
      <c r="K48" s="5"/>
      <c r="P48" s="5" t="s">
        <v>113</v>
      </c>
      <c r="U48" s="5"/>
      <c r="Y48" s="5"/>
      <c r="AC48" s="5"/>
      <c r="AG48" s="5"/>
      <c r="AK48" s="5"/>
      <c r="AO48" s="5"/>
    </row>
    <row r="49" ht="14.25" customHeight="1">
      <c r="F49" s="5"/>
      <c r="K49" s="5"/>
      <c r="P49" s="5" t="s">
        <v>111</v>
      </c>
      <c r="Q49" s="4">
        <v>3330.0</v>
      </c>
      <c r="U49" s="5"/>
      <c r="Y49" s="5"/>
      <c r="AC49" s="5"/>
      <c r="AG49" s="5"/>
      <c r="AK49" s="5"/>
      <c r="AO49" s="5"/>
    </row>
    <row r="50" ht="14.25" customHeight="1">
      <c r="F50" s="5"/>
      <c r="K50" s="5"/>
      <c r="P50" s="5"/>
      <c r="U50" s="5"/>
      <c r="Y50" s="5"/>
      <c r="AC50" s="5"/>
      <c r="AG50" s="5"/>
      <c r="AK50" s="5"/>
    </row>
    <row r="51" ht="14.25" customHeight="1">
      <c r="F51" s="5"/>
      <c r="K51" s="5"/>
      <c r="P51" s="5"/>
      <c r="U51" s="5"/>
      <c r="Y51" s="5"/>
      <c r="AC51" s="5"/>
      <c r="AG51" s="5"/>
      <c r="AK51" s="5"/>
      <c r="AO51" s="5"/>
    </row>
    <row r="52" ht="14.25" customHeight="1">
      <c r="F52" s="5"/>
      <c r="K52" s="5"/>
      <c r="P52" s="5"/>
      <c r="U52" s="5"/>
      <c r="Y52" s="5"/>
      <c r="AC52" s="5"/>
      <c r="AG52" s="5"/>
      <c r="AK52" s="5"/>
      <c r="AO52" s="5"/>
    </row>
    <row r="53" ht="14.25" customHeight="1">
      <c r="F53" s="5"/>
      <c r="K53" s="5"/>
      <c r="P53" s="5"/>
      <c r="U53" s="5"/>
      <c r="Y53" s="5"/>
      <c r="AC53" s="5"/>
      <c r="AG53" s="5"/>
      <c r="AK53" s="5"/>
      <c r="AO53" s="5"/>
    </row>
    <row r="54" ht="14.25" customHeight="1">
      <c r="F54" s="5"/>
      <c r="K54" s="5"/>
      <c r="P54" s="5"/>
      <c r="U54" s="5"/>
      <c r="Y54" s="5"/>
      <c r="AC54" s="5"/>
      <c r="AG54" s="5"/>
      <c r="AK54" s="5"/>
      <c r="AO54" s="5"/>
    </row>
    <row r="55" ht="14.25" customHeight="1">
      <c r="F55" s="5"/>
      <c r="K55" s="5"/>
      <c r="P55" s="5"/>
      <c r="U55" s="5"/>
      <c r="Y55" s="5"/>
      <c r="AC55" s="5"/>
      <c r="AG55" s="5"/>
      <c r="AK55" s="5"/>
      <c r="AO55" s="5"/>
    </row>
    <row r="56" ht="14.25" customHeight="1">
      <c r="F56" s="5"/>
      <c r="K56" s="5"/>
      <c r="P56" s="5"/>
      <c r="U56" s="5"/>
      <c r="Y56" s="5"/>
      <c r="AC56" s="5"/>
      <c r="AG56" s="5"/>
      <c r="AK56" s="5"/>
      <c r="AO56" s="5" t="s">
        <v>24</v>
      </c>
    </row>
    <row r="57" ht="14.25" customHeight="1">
      <c r="F57" s="5"/>
      <c r="K57" s="5"/>
      <c r="P57" s="5"/>
      <c r="U57" s="5"/>
      <c r="Y57" s="5"/>
      <c r="AC57" s="5"/>
      <c r="AG57" s="5"/>
      <c r="AK57" s="5"/>
      <c r="AO57" s="5"/>
    </row>
    <row r="58" ht="14.25" customHeight="1">
      <c r="A58" s="17" t="s">
        <v>25</v>
      </c>
      <c r="B58" s="17"/>
      <c r="C58" s="17"/>
      <c r="D58" s="17">
        <v>904.2</v>
      </c>
      <c r="E58" s="21"/>
      <c r="F58" s="18" t="s">
        <v>25</v>
      </c>
      <c r="G58" s="17"/>
      <c r="H58" s="17"/>
      <c r="I58" s="17">
        <f>1342.3+13.15+904.2</f>
        <v>2259.65</v>
      </c>
      <c r="J58" s="21"/>
      <c r="K58" s="18" t="s">
        <v>25</v>
      </c>
      <c r="L58" s="17"/>
      <c r="M58" s="17"/>
      <c r="N58" s="17"/>
      <c r="O58" s="21"/>
      <c r="P58" s="18"/>
      <c r="Q58" s="17"/>
      <c r="R58" s="17"/>
      <c r="S58" s="17"/>
      <c r="T58" s="21"/>
      <c r="U58" s="18"/>
      <c r="V58" s="17"/>
      <c r="W58" s="17"/>
      <c r="X58" s="17"/>
      <c r="Y58" s="18"/>
      <c r="Z58" s="17"/>
      <c r="AA58" s="17"/>
      <c r="AB58" s="17"/>
      <c r="AC58" s="18"/>
      <c r="AD58" s="17"/>
      <c r="AE58" s="17"/>
      <c r="AF58" s="17"/>
      <c r="AG58" s="18"/>
      <c r="AH58" s="17"/>
      <c r="AI58" s="17"/>
      <c r="AJ58" s="17"/>
      <c r="AK58" s="18"/>
      <c r="AL58" s="17"/>
      <c r="AM58" s="17"/>
      <c r="AN58" s="17"/>
      <c r="AO58" s="18"/>
      <c r="AP58" s="17"/>
      <c r="AQ58" s="17"/>
      <c r="AR58" s="17"/>
    </row>
    <row r="59" ht="14.25" customHeight="1">
      <c r="P59" s="4">
        <v>65.0</v>
      </c>
    </row>
    <row r="60" ht="14.25" customHeight="1"/>
    <row r="61" ht="14.25" customHeight="1"/>
    <row r="62" ht="14.25" customHeight="1"/>
    <row r="63" ht="14.25" customHeight="1">
      <c r="P63" s="4" t="s">
        <v>26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Nicolas Baud_PRO</dc:creator>
</cp:coreProperties>
</file>
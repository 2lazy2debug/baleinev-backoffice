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nuel/Desktop/"/>
    </mc:Choice>
  </mc:AlternateContent>
  <xr:revisionPtr revIDLastSave="0" documentId="13_ncr:1_{253224BC-86BC-8842-912C-E33FDD3434B8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JOURNAL" sheetId="1" r:id="rId1"/>
    <sheet name="RESULTATS" sheetId="2" r:id="rId2"/>
    <sheet name="ADMINISTRATION" sheetId="3" r:id="rId3"/>
    <sheet name="COMMUNICATION" sheetId="4" r:id="rId4"/>
    <sheet name="DÉCORATION" sheetId="5" r:id="rId5"/>
    <sheet name="DIVERS" sheetId="6" r:id="rId6"/>
    <sheet name="ÉLECTRICITÉ" sheetId="7" r:id="rId7"/>
    <sheet name="ENTREES" sheetId="8" r:id="rId8"/>
    <sheet name="EVENTS" sheetId="9" r:id="rId9"/>
    <sheet name="INFRASTRUCTURE" sheetId="10" r:id="rId10"/>
    <sheet name="LOGES" sheetId="11" r:id="rId11"/>
    <sheet name="PROGRAMMATION" sheetId="12" r:id="rId12"/>
    <sheet name="PMW" sheetId="13" r:id="rId13"/>
    <sheet name="RAVITAILLEMENT" sheetId="14" r:id="rId14"/>
    <sheet name="SECURITE" sheetId="15" r:id="rId15"/>
    <sheet name="SPONSORING" sheetId="16" r:id="rId16"/>
    <sheet name="TECHNIQUE" sheetId="17" r:id="rId17"/>
    <sheet name="SANS EFFET" sheetId="18" r:id="rId18"/>
    <sheet name="Vide" sheetId="19" state="hidden" r:id="rId19"/>
    <sheet name="Vide_2" sheetId="20" state="hidden" r:id="rId20"/>
    <sheet name="A Propos" sheetId="21" r:id="rId21"/>
    <sheet name="Tabelle1" sheetId="22" state="hidden" r:id="rId22"/>
    <sheet name="DATA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A45" i="20"/>
  <c r="B45" i="20" s="1"/>
  <c r="A28" i="20"/>
  <c r="A29" i="20" s="1"/>
  <c r="C29" i="20" s="1"/>
  <c r="E23" i="20"/>
  <c r="E13" i="20"/>
  <c r="A35" i="19"/>
  <c r="E35" i="19" s="1"/>
  <c r="A25" i="19"/>
  <c r="A26" i="19" s="1"/>
  <c r="E20" i="19"/>
  <c r="E12" i="19"/>
  <c r="E23" i="18"/>
  <c r="E13" i="18"/>
  <c r="A51" i="17"/>
  <c r="C51" i="17" s="1"/>
  <c r="A29" i="17"/>
  <c r="C29" i="17" s="1"/>
  <c r="E24" i="17"/>
  <c r="E14" i="17"/>
  <c r="A74" i="16"/>
  <c r="E74" i="16" s="1"/>
  <c r="A55" i="16"/>
  <c r="E50" i="16"/>
  <c r="N15" i="16"/>
  <c r="E11" i="16"/>
  <c r="A48" i="15"/>
  <c r="A49" i="15" s="1"/>
  <c r="E49" i="15" s="1"/>
  <c r="A29" i="15"/>
  <c r="E29" i="15" s="1"/>
  <c r="E24" i="15"/>
  <c r="E14" i="15"/>
  <c r="A111" i="14"/>
  <c r="A27" i="14"/>
  <c r="E27" i="14" s="1"/>
  <c r="E22" i="14"/>
  <c r="E13" i="14"/>
  <c r="A49" i="13"/>
  <c r="A30" i="13"/>
  <c r="E25" i="13"/>
  <c r="E15" i="13"/>
  <c r="A78" i="12"/>
  <c r="A79" i="12" s="1"/>
  <c r="B79" i="12" s="1"/>
  <c r="A35" i="12"/>
  <c r="E35" i="12" s="1"/>
  <c r="E30" i="12"/>
  <c r="E20" i="12"/>
  <c r="E8" i="12"/>
  <c r="A49" i="11"/>
  <c r="E49" i="11" s="1"/>
  <c r="A30" i="11"/>
  <c r="B30" i="11" s="1"/>
  <c r="E25" i="11"/>
  <c r="E15" i="11"/>
  <c r="A76" i="10"/>
  <c r="A77" i="10" s="1"/>
  <c r="B77" i="10" s="1"/>
  <c r="A34" i="10"/>
  <c r="E34" i="10" s="1"/>
  <c r="E29" i="10"/>
  <c r="E20" i="10"/>
  <c r="E39" i="9"/>
  <c r="E21" i="9"/>
  <c r="A38" i="8"/>
  <c r="B38" i="8" s="1"/>
  <c r="A28" i="8"/>
  <c r="E28" i="8" s="1"/>
  <c r="F20" i="8"/>
  <c r="C19" i="8"/>
  <c r="E18" i="8"/>
  <c r="E23" i="8" s="1"/>
  <c r="E17" i="8"/>
  <c r="E16" i="8"/>
  <c r="E15" i="8"/>
  <c r="E8" i="8"/>
  <c r="A49" i="7"/>
  <c r="C49" i="7" s="1"/>
  <c r="A30" i="7"/>
  <c r="E30" i="7" s="1"/>
  <c r="E25" i="7"/>
  <c r="E15" i="7"/>
  <c r="A64" i="6"/>
  <c r="C64" i="6" s="1"/>
  <c r="E27" i="6"/>
  <c r="E17" i="6"/>
  <c r="A49" i="5"/>
  <c r="B49" i="5" s="1"/>
  <c r="E25" i="5"/>
  <c r="E15" i="5"/>
  <c r="C22" i="2" s="1"/>
  <c r="A59" i="4"/>
  <c r="A32" i="4"/>
  <c r="A33" i="4" s="1"/>
  <c r="E27" i="4"/>
  <c r="E20" i="4"/>
  <c r="C19" i="2" s="1"/>
  <c r="E25" i="3"/>
  <c r="E15" i="3"/>
  <c r="C20" i="2" s="1"/>
  <c r="L11" i="3"/>
  <c r="L10" i="3"/>
  <c r="L9" i="3"/>
  <c r="L8" i="3"/>
  <c r="L7" i="3"/>
  <c r="L6" i="3"/>
  <c r="L5" i="3"/>
  <c r="P27" i="2"/>
  <c r="I27" i="2"/>
  <c r="E27" i="2"/>
  <c r="C27" i="2"/>
  <c r="G27" i="2" s="1"/>
  <c r="B27" i="2"/>
  <c r="E26" i="2"/>
  <c r="G26" i="2" s="1"/>
  <c r="C26" i="2"/>
  <c r="B26" i="2"/>
  <c r="I25" i="2"/>
  <c r="P25" i="2" s="1"/>
  <c r="B25" i="2"/>
  <c r="I24" i="2"/>
  <c r="P24" i="2" s="1"/>
  <c r="E24" i="2"/>
  <c r="G24" i="2" s="1"/>
  <c r="C24" i="2"/>
  <c r="B24" i="2"/>
  <c r="P23" i="2"/>
  <c r="I23" i="2"/>
  <c r="E23" i="2"/>
  <c r="C23" i="2"/>
  <c r="B23" i="2"/>
  <c r="E22" i="2"/>
  <c r="B22" i="2"/>
  <c r="G21" i="2"/>
  <c r="E21" i="2"/>
  <c r="C21" i="2"/>
  <c r="B21" i="2"/>
  <c r="I21" i="2" s="1"/>
  <c r="P21" i="2" s="1"/>
  <c r="I20" i="2"/>
  <c r="P20" i="2" s="1"/>
  <c r="E20" i="2"/>
  <c r="B20" i="2"/>
  <c r="P19" i="2"/>
  <c r="I19" i="2"/>
  <c r="E19" i="2"/>
  <c r="B19" i="2"/>
  <c r="E18" i="2"/>
  <c r="C18" i="2"/>
  <c r="B18" i="2"/>
  <c r="I17" i="2"/>
  <c r="P17" i="2" s="1"/>
  <c r="E17" i="2"/>
  <c r="C17" i="2"/>
  <c r="G17" i="2" s="1"/>
  <c r="B17" i="2"/>
  <c r="I16" i="2"/>
  <c r="P16" i="2" s="1"/>
  <c r="E16" i="2"/>
  <c r="G16" i="2" s="1"/>
  <c r="C16" i="2"/>
  <c r="B16" i="2"/>
  <c r="I15" i="2"/>
  <c r="P15" i="2" s="1"/>
  <c r="G15" i="2"/>
  <c r="E15" i="2"/>
  <c r="C15" i="2"/>
  <c r="B15" i="2"/>
  <c r="E14" i="2"/>
  <c r="C14" i="2"/>
  <c r="B14" i="2"/>
  <c r="I13" i="2"/>
  <c r="P13" i="2" s="1"/>
  <c r="E13" i="2"/>
  <c r="C13" i="2"/>
  <c r="B13" i="2"/>
  <c r="C4" i="2"/>
  <c r="P573" i="1"/>
  <c r="O573" i="1"/>
  <c r="N573" i="1"/>
  <c r="M573" i="1"/>
  <c r="P572" i="1"/>
  <c r="O572" i="1"/>
  <c r="N572" i="1"/>
  <c r="M572" i="1"/>
  <c r="P571" i="1"/>
  <c r="O571" i="1"/>
  <c r="N571" i="1"/>
  <c r="M571" i="1"/>
  <c r="P570" i="1"/>
  <c r="O570" i="1"/>
  <c r="N570" i="1"/>
  <c r="M570" i="1"/>
  <c r="P569" i="1"/>
  <c r="O569" i="1"/>
  <c r="N569" i="1"/>
  <c r="M569" i="1"/>
  <c r="P568" i="1"/>
  <c r="O568" i="1"/>
  <c r="N568" i="1"/>
  <c r="M568" i="1"/>
  <c r="P567" i="1"/>
  <c r="O567" i="1"/>
  <c r="N567" i="1"/>
  <c r="M567" i="1"/>
  <c r="P566" i="1"/>
  <c r="O566" i="1"/>
  <c r="N566" i="1"/>
  <c r="M566" i="1"/>
  <c r="P565" i="1"/>
  <c r="O565" i="1"/>
  <c r="N565" i="1"/>
  <c r="M565" i="1"/>
  <c r="P564" i="1"/>
  <c r="O564" i="1"/>
  <c r="N564" i="1"/>
  <c r="M564" i="1"/>
  <c r="P563" i="1"/>
  <c r="O563" i="1"/>
  <c r="N563" i="1"/>
  <c r="M563" i="1"/>
  <c r="P562" i="1"/>
  <c r="O562" i="1"/>
  <c r="N562" i="1"/>
  <c r="M562" i="1"/>
  <c r="P561" i="1"/>
  <c r="O561" i="1"/>
  <c r="N561" i="1"/>
  <c r="M561" i="1"/>
  <c r="P560" i="1"/>
  <c r="O560" i="1"/>
  <c r="N560" i="1"/>
  <c r="M560" i="1"/>
  <c r="P559" i="1"/>
  <c r="O559" i="1"/>
  <c r="N559" i="1"/>
  <c r="M559" i="1"/>
  <c r="P558" i="1"/>
  <c r="O558" i="1"/>
  <c r="N558" i="1"/>
  <c r="M558" i="1"/>
  <c r="P557" i="1"/>
  <c r="O557" i="1"/>
  <c r="N557" i="1"/>
  <c r="M557" i="1"/>
  <c r="P556" i="1"/>
  <c r="O556" i="1"/>
  <c r="N556" i="1"/>
  <c r="M556" i="1"/>
  <c r="P555" i="1"/>
  <c r="O555" i="1"/>
  <c r="N555" i="1"/>
  <c r="M555" i="1"/>
  <c r="P554" i="1"/>
  <c r="O554" i="1"/>
  <c r="N554" i="1"/>
  <c r="M554" i="1"/>
  <c r="P553" i="1"/>
  <c r="O553" i="1"/>
  <c r="N553" i="1"/>
  <c r="M553" i="1"/>
  <c r="P552" i="1"/>
  <c r="O552" i="1"/>
  <c r="N552" i="1"/>
  <c r="M552" i="1"/>
  <c r="P551" i="1"/>
  <c r="O551" i="1"/>
  <c r="N551" i="1"/>
  <c r="M551" i="1"/>
  <c r="P550" i="1"/>
  <c r="O550" i="1"/>
  <c r="N550" i="1"/>
  <c r="M550" i="1"/>
  <c r="P549" i="1"/>
  <c r="O549" i="1"/>
  <c r="N549" i="1"/>
  <c r="M549" i="1"/>
  <c r="P548" i="1"/>
  <c r="O548" i="1"/>
  <c r="N548" i="1"/>
  <c r="M548" i="1"/>
  <c r="P547" i="1"/>
  <c r="O547" i="1"/>
  <c r="N547" i="1"/>
  <c r="M547" i="1"/>
  <c r="P546" i="1"/>
  <c r="O546" i="1"/>
  <c r="N546" i="1"/>
  <c r="M546" i="1"/>
  <c r="P545" i="1"/>
  <c r="O545" i="1"/>
  <c r="N545" i="1"/>
  <c r="M545" i="1"/>
  <c r="P544" i="1"/>
  <c r="O544" i="1"/>
  <c r="N544" i="1"/>
  <c r="M544" i="1"/>
  <c r="P543" i="1"/>
  <c r="O543" i="1"/>
  <c r="N543" i="1"/>
  <c r="M543" i="1"/>
  <c r="P542" i="1"/>
  <c r="O542" i="1"/>
  <c r="N542" i="1"/>
  <c r="M542" i="1"/>
  <c r="P541" i="1"/>
  <c r="O541" i="1"/>
  <c r="N541" i="1"/>
  <c r="M541" i="1"/>
  <c r="P540" i="1"/>
  <c r="O540" i="1"/>
  <c r="N540" i="1"/>
  <c r="M540" i="1"/>
  <c r="P539" i="1"/>
  <c r="O539" i="1"/>
  <c r="N539" i="1"/>
  <c r="M539" i="1"/>
  <c r="P538" i="1"/>
  <c r="O538" i="1"/>
  <c r="N538" i="1"/>
  <c r="M538" i="1"/>
  <c r="P537" i="1"/>
  <c r="O537" i="1"/>
  <c r="N537" i="1"/>
  <c r="M537" i="1"/>
  <c r="P536" i="1"/>
  <c r="O536" i="1"/>
  <c r="N536" i="1"/>
  <c r="M536" i="1"/>
  <c r="P535" i="1"/>
  <c r="O535" i="1"/>
  <c r="N535" i="1"/>
  <c r="M535" i="1"/>
  <c r="P534" i="1"/>
  <c r="O534" i="1"/>
  <c r="N534" i="1"/>
  <c r="M534" i="1"/>
  <c r="P533" i="1"/>
  <c r="O533" i="1"/>
  <c r="N533" i="1"/>
  <c r="M533" i="1"/>
  <c r="P532" i="1"/>
  <c r="O532" i="1"/>
  <c r="N532" i="1"/>
  <c r="M532" i="1"/>
  <c r="P531" i="1"/>
  <c r="O531" i="1"/>
  <c r="N531" i="1"/>
  <c r="M531" i="1"/>
  <c r="P530" i="1"/>
  <c r="O530" i="1"/>
  <c r="N530" i="1"/>
  <c r="M530" i="1"/>
  <c r="P529" i="1"/>
  <c r="O529" i="1"/>
  <c r="N529" i="1"/>
  <c r="M529" i="1"/>
  <c r="P528" i="1"/>
  <c r="O528" i="1"/>
  <c r="N528" i="1"/>
  <c r="M528" i="1"/>
  <c r="P527" i="1"/>
  <c r="O527" i="1"/>
  <c r="N527" i="1"/>
  <c r="M527" i="1"/>
  <c r="P526" i="1"/>
  <c r="O526" i="1"/>
  <c r="N526" i="1"/>
  <c r="M526" i="1"/>
  <c r="P525" i="1"/>
  <c r="O525" i="1"/>
  <c r="N525" i="1"/>
  <c r="M525" i="1"/>
  <c r="P524" i="1"/>
  <c r="O524" i="1"/>
  <c r="N524" i="1"/>
  <c r="M524" i="1"/>
  <c r="P523" i="1"/>
  <c r="O523" i="1"/>
  <c r="N523" i="1"/>
  <c r="M523" i="1"/>
  <c r="P522" i="1"/>
  <c r="O522" i="1"/>
  <c r="N522" i="1"/>
  <c r="M522" i="1"/>
  <c r="P521" i="1"/>
  <c r="O521" i="1"/>
  <c r="N521" i="1"/>
  <c r="M521" i="1"/>
  <c r="P520" i="1"/>
  <c r="O520" i="1"/>
  <c r="N520" i="1"/>
  <c r="M520" i="1"/>
  <c r="P519" i="1"/>
  <c r="O519" i="1"/>
  <c r="N519" i="1"/>
  <c r="M519" i="1"/>
  <c r="P518" i="1"/>
  <c r="O518" i="1"/>
  <c r="N518" i="1"/>
  <c r="M518" i="1"/>
  <c r="P517" i="1"/>
  <c r="O517" i="1"/>
  <c r="N517" i="1"/>
  <c r="M517" i="1"/>
  <c r="P516" i="1"/>
  <c r="O516" i="1"/>
  <c r="N516" i="1"/>
  <c r="M516" i="1"/>
  <c r="P515" i="1"/>
  <c r="O515" i="1"/>
  <c r="N515" i="1"/>
  <c r="M515" i="1"/>
  <c r="P514" i="1"/>
  <c r="O514" i="1"/>
  <c r="N514" i="1"/>
  <c r="M514" i="1"/>
  <c r="P513" i="1"/>
  <c r="O513" i="1"/>
  <c r="N513" i="1"/>
  <c r="M513" i="1"/>
  <c r="P512" i="1"/>
  <c r="O512" i="1"/>
  <c r="N512" i="1"/>
  <c r="M512" i="1"/>
  <c r="P511" i="1"/>
  <c r="O511" i="1"/>
  <c r="N511" i="1"/>
  <c r="M511" i="1"/>
  <c r="P510" i="1"/>
  <c r="O510" i="1"/>
  <c r="N510" i="1"/>
  <c r="M510" i="1"/>
  <c r="P509" i="1"/>
  <c r="O509" i="1"/>
  <c r="N509" i="1"/>
  <c r="M509" i="1"/>
  <c r="P508" i="1"/>
  <c r="O508" i="1"/>
  <c r="N508" i="1"/>
  <c r="M508" i="1"/>
  <c r="P507" i="1"/>
  <c r="O507" i="1"/>
  <c r="N507" i="1"/>
  <c r="M507" i="1"/>
  <c r="P506" i="1"/>
  <c r="O506" i="1"/>
  <c r="N506" i="1"/>
  <c r="M506" i="1"/>
  <c r="P505" i="1"/>
  <c r="O505" i="1"/>
  <c r="N505" i="1"/>
  <c r="M505" i="1"/>
  <c r="P504" i="1"/>
  <c r="O504" i="1"/>
  <c r="N504" i="1"/>
  <c r="M504" i="1"/>
  <c r="P503" i="1"/>
  <c r="O503" i="1"/>
  <c r="N503" i="1"/>
  <c r="M503" i="1"/>
  <c r="P502" i="1"/>
  <c r="O502" i="1"/>
  <c r="N502" i="1"/>
  <c r="M502" i="1"/>
  <c r="P501" i="1"/>
  <c r="O501" i="1"/>
  <c r="N501" i="1"/>
  <c r="M501" i="1"/>
  <c r="P500" i="1"/>
  <c r="O500" i="1"/>
  <c r="N500" i="1"/>
  <c r="M500" i="1"/>
  <c r="O499" i="1"/>
  <c r="N499" i="1"/>
  <c r="M499" i="1"/>
  <c r="L499" i="1"/>
  <c r="P499" i="1" s="1"/>
  <c r="O498" i="1"/>
  <c r="N498" i="1"/>
  <c r="M498" i="1"/>
  <c r="L498" i="1"/>
  <c r="P498" i="1" s="1"/>
  <c r="O497" i="1"/>
  <c r="N497" i="1"/>
  <c r="M497" i="1"/>
  <c r="L497" i="1"/>
  <c r="P497" i="1" s="1"/>
  <c r="O496" i="1"/>
  <c r="N496" i="1"/>
  <c r="M496" i="1"/>
  <c r="L496" i="1"/>
  <c r="P496" i="1" s="1"/>
  <c r="O495" i="1"/>
  <c r="N495" i="1"/>
  <c r="M495" i="1"/>
  <c r="L495" i="1"/>
  <c r="P495" i="1" s="1"/>
  <c r="O494" i="1"/>
  <c r="N494" i="1"/>
  <c r="M494" i="1"/>
  <c r="L494" i="1"/>
  <c r="P494" i="1" s="1"/>
  <c r="O493" i="1"/>
  <c r="N493" i="1"/>
  <c r="M493" i="1"/>
  <c r="L493" i="1"/>
  <c r="P493" i="1" s="1"/>
  <c r="O492" i="1"/>
  <c r="N492" i="1"/>
  <c r="M492" i="1"/>
  <c r="L492" i="1"/>
  <c r="P492" i="1" s="1"/>
  <c r="O491" i="1"/>
  <c r="N491" i="1"/>
  <c r="M491" i="1"/>
  <c r="L491" i="1"/>
  <c r="P491" i="1" s="1"/>
  <c r="O490" i="1"/>
  <c r="N490" i="1"/>
  <c r="M490" i="1"/>
  <c r="L490" i="1"/>
  <c r="P490" i="1" s="1"/>
  <c r="O489" i="1"/>
  <c r="N489" i="1"/>
  <c r="M489" i="1"/>
  <c r="L489" i="1"/>
  <c r="P489" i="1" s="1"/>
  <c r="O488" i="1"/>
  <c r="N488" i="1"/>
  <c r="M488" i="1"/>
  <c r="L488" i="1"/>
  <c r="P488" i="1" s="1"/>
  <c r="O487" i="1"/>
  <c r="N487" i="1"/>
  <c r="M487" i="1"/>
  <c r="L487" i="1"/>
  <c r="P487" i="1" s="1"/>
  <c r="O486" i="1"/>
  <c r="N486" i="1"/>
  <c r="M486" i="1"/>
  <c r="L486" i="1"/>
  <c r="P486" i="1" s="1"/>
  <c r="O485" i="1"/>
  <c r="N485" i="1"/>
  <c r="M485" i="1"/>
  <c r="L485" i="1"/>
  <c r="P485" i="1" s="1"/>
  <c r="O484" i="1"/>
  <c r="N484" i="1"/>
  <c r="M484" i="1"/>
  <c r="L484" i="1"/>
  <c r="P484" i="1" s="1"/>
  <c r="O483" i="1"/>
  <c r="N483" i="1"/>
  <c r="M483" i="1"/>
  <c r="L483" i="1"/>
  <c r="P483" i="1" s="1"/>
  <c r="O482" i="1"/>
  <c r="N482" i="1"/>
  <c r="M482" i="1"/>
  <c r="L482" i="1"/>
  <c r="P482" i="1" s="1"/>
  <c r="O481" i="1"/>
  <c r="N481" i="1"/>
  <c r="M481" i="1"/>
  <c r="L481" i="1"/>
  <c r="P481" i="1" s="1"/>
  <c r="O480" i="1"/>
  <c r="N480" i="1"/>
  <c r="M480" i="1"/>
  <c r="L480" i="1"/>
  <c r="P480" i="1" s="1"/>
  <c r="O479" i="1"/>
  <c r="N479" i="1"/>
  <c r="M479" i="1"/>
  <c r="L479" i="1"/>
  <c r="P479" i="1" s="1"/>
  <c r="O478" i="1"/>
  <c r="N478" i="1"/>
  <c r="M478" i="1"/>
  <c r="L478" i="1"/>
  <c r="P478" i="1" s="1"/>
  <c r="O477" i="1"/>
  <c r="N477" i="1"/>
  <c r="M477" i="1"/>
  <c r="L477" i="1"/>
  <c r="P477" i="1" s="1"/>
  <c r="O476" i="1"/>
  <c r="N476" i="1"/>
  <c r="M476" i="1"/>
  <c r="L476" i="1"/>
  <c r="P476" i="1" s="1"/>
  <c r="O475" i="1"/>
  <c r="N475" i="1"/>
  <c r="M475" i="1"/>
  <c r="L475" i="1"/>
  <c r="P475" i="1" s="1"/>
  <c r="O474" i="1"/>
  <c r="N474" i="1"/>
  <c r="M474" i="1"/>
  <c r="L474" i="1"/>
  <c r="P474" i="1" s="1"/>
  <c r="O473" i="1"/>
  <c r="N473" i="1"/>
  <c r="M473" i="1"/>
  <c r="L473" i="1"/>
  <c r="P473" i="1" s="1"/>
  <c r="O472" i="1"/>
  <c r="N472" i="1"/>
  <c r="M472" i="1"/>
  <c r="L472" i="1"/>
  <c r="P472" i="1" s="1"/>
  <c r="O471" i="1"/>
  <c r="N471" i="1"/>
  <c r="M471" i="1"/>
  <c r="L471" i="1"/>
  <c r="P471" i="1" s="1"/>
  <c r="O470" i="1"/>
  <c r="N470" i="1"/>
  <c r="M470" i="1"/>
  <c r="L470" i="1"/>
  <c r="P470" i="1" s="1"/>
  <c r="O469" i="1"/>
  <c r="N469" i="1"/>
  <c r="M469" i="1"/>
  <c r="L469" i="1"/>
  <c r="P469" i="1" s="1"/>
  <c r="O468" i="1"/>
  <c r="N468" i="1"/>
  <c r="M468" i="1"/>
  <c r="L468" i="1"/>
  <c r="P468" i="1" s="1"/>
  <c r="O467" i="1"/>
  <c r="N467" i="1"/>
  <c r="M467" i="1"/>
  <c r="L467" i="1"/>
  <c r="P467" i="1" s="1"/>
  <c r="O466" i="1"/>
  <c r="N466" i="1"/>
  <c r="M466" i="1"/>
  <c r="L466" i="1"/>
  <c r="P466" i="1" s="1"/>
  <c r="O465" i="1"/>
  <c r="N465" i="1"/>
  <c r="M465" i="1"/>
  <c r="L465" i="1"/>
  <c r="P465" i="1" s="1"/>
  <c r="O464" i="1"/>
  <c r="N464" i="1"/>
  <c r="M464" i="1"/>
  <c r="L464" i="1"/>
  <c r="P464" i="1" s="1"/>
  <c r="O463" i="1"/>
  <c r="N463" i="1"/>
  <c r="M463" i="1"/>
  <c r="L463" i="1"/>
  <c r="P463" i="1" s="1"/>
  <c r="O462" i="1"/>
  <c r="N462" i="1"/>
  <c r="M462" i="1"/>
  <c r="L462" i="1"/>
  <c r="P462" i="1" s="1"/>
  <c r="O461" i="1"/>
  <c r="N461" i="1"/>
  <c r="M461" i="1"/>
  <c r="L461" i="1"/>
  <c r="P461" i="1" s="1"/>
  <c r="O460" i="1"/>
  <c r="N460" i="1"/>
  <c r="M460" i="1"/>
  <c r="L460" i="1"/>
  <c r="P460" i="1" s="1"/>
  <c r="O459" i="1"/>
  <c r="N459" i="1"/>
  <c r="M459" i="1"/>
  <c r="L459" i="1"/>
  <c r="P459" i="1" s="1"/>
  <c r="O458" i="1"/>
  <c r="N458" i="1"/>
  <c r="M458" i="1"/>
  <c r="L458" i="1"/>
  <c r="P458" i="1" s="1"/>
  <c r="O457" i="1"/>
  <c r="N457" i="1"/>
  <c r="M457" i="1"/>
  <c r="L457" i="1"/>
  <c r="P457" i="1" s="1"/>
  <c r="O456" i="1"/>
  <c r="N456" i="1"/>
  <c r="M456" i="1"/>
  <c r="L456" i="1"/>
  <c r="P456" i="1" s="1"/>
  <c r="O455" i="1"/>
  <c r="N455" i="1"/>
  <c r="M455" i="1"/>
  <c r="L455" i="1"/>
  <c r="P455" i="1" s="1"/>
  <c r="O454" i="1"/>
  <c r="N454" i="1"/>
  <c r="M454" i="1"/>
  <c r="L454" i="1"/>
  <c r="P454" i="1" s="1"/>
  <c r="O453" i="1"/>
  <c r="N453" i="1"/>
  <c r="M453" i="1"/>
  <c r="L453" i="1"/>
  <c r="P453" i="1" s="1"/>
  <c r="O452" i="1"/>
  <c r="N452" i="1"/>
  <c r="M452" i="1"/>
  <c r="L452" i="1"/>
  <c r="P452" i="1" s="1"/>
  <c r="O451" i="1"/>
  <c r="N451" i="1"/>
  <c r="M451" i="1"/>
  <c r="L451" i="1"/>
  <c r="P451" i="1" s="1"/>
  <c r="O450" i="1"/>
  <c r="N450" i="1"/>
  <c r="M450" i="1"/>
  <c r="L450" i="1"/>
  <c r="P450" i="1" s="1"/>
  <c r="O449" i="1"/>
  <c r="N449" i="1"/>
  <c r="M449" i="1"/>
  <c r="L449" i="1"/>
  <c r="P449" i="1" s="1"/>
  <c r="O448" i="1"/>
  <c r="N448" i="1"/>
  <c r="M448" i="1"/>
  <c r="L448" i="1"/>
  <c r="P448" i="1" s="1"/>
  <c r="O447" i="1"/>
  <c r="N447" i="1"/>
  <c r="M447" i="1"/>
  <c r="L447" i="1"/>
  <c r="P447" i="1" s="1"/>
  <c r="O446" i="1"/>
  <c r="N446" i="1"/>
  <c r="M446" i="1"/>
  <c r="L446" i="1"/>
  <c r="P446" i="1" s="1"/>
  <c r="O445" i="1"/>
  <c r="N445" i="1"/>
  <c r="M445" i="1"/>
  <c r="L445" i="1"/>
  <c r="P445" i="1" s="1"/>
  <c r="O444" i="1"/>
  <c r="N444" i="1"/>
  <c r="M444" i="1"/>
  <c r="L444" i="1"/>
  <c r="P444" i="1" s="1"/>
  <c r="O443" i="1"/>
  <c r="N443" i="1"/>
  <c r="M443" i="1"/>
  <c r="L443" i="1"/>
  <c r="P443" i="1" s="1"/>
  <c r="O442" i="1"/>
  <c r="N442" i="1"/>
  <c r="M442" i="1"/>
  <c r="L442" i="1"/>
  <c r="P442" i="1" s="1"/>
  <c r="O441" i="1"/>
  <c r="N441" i="1"/>
  <c r="M441" i="1"/>
  <c r="L441" i="1"/>
  <c r="P441" i="1" s="1"/>
  <c r="O440" i="1"/>
  <c r="N440" i="1"/>
  <c r="M440" i="1"/>
  <c r="L440" i="1"/>
  <c r="P440" i="1" s="1"/>
  <c r="O439" i="1"/>
  <c r="N439" i="1"/>
  <c r="M439" i="1"/>
  <c r="L439" i="1"/>
  <c r="P439" i="1" s="1"/>
  <c r="O438" i="1"/>
  <c r="N438" i="1"/>
  <c r="M438" i="1"/>
  <c r="L438" i="1"/>
  <c r="P438" i="1" s="1"/>
  <c r="O437" i="1"/>
  <c r="N437" i="1"/>
  <c r="M437" i="1"/>
  <c r="L437" i="1"/>
  <c r="P437" i="1" s="1"/>
  <c r="O436" i="1"/>
  <c r="N436" i="1"/>
  <c r="M436" i="1"/>
  <c r="L436" i="1"/>
  <c r="P436" i="1" s="1"/>
  <c r="O435" i="1"/>
  <c r="N435" i="1"/>
  <c r="M435" i="1"/>
  <c r="L435" i="1"/>
  <c r="P435" i="1" s="1"/>
  <c r="O434" i="1"/>
  <c r="N434" i="1"/>
  <c r="M434" i="1"/>
  <c r="L434" i="1"/>
  <c r="P434" i="1" s="1"/>
  <c r="O433" i="1"/>
  <c r="N433" i="1"/>
  <c r="M433" i="1"/>
  <c r="L433" i="1"/>
  <c r="P433" i="1" s="1"/>
  <c r="O432" i="1"/>
  <c r="N432" i="1"/>
  <c r="M432" i="1"/>
  <c r="L432" i="1"/>
  <c r="P432" i="1" s="1"/>
  <c r="O431" i="1"/>
  <c r="N431" i="1"/>
  <c r="M431" i="1"/>
  <c r="L431" i="1"/>
  <c r="P431" i="1" s="1"/>
  <c r="O430" i="1"/>
  <c r="N430" i="1"/>
  <c r="M430" i="1"/>
  <c r="L430" i="1"/>
  <c r="P430" i="1" s="1"/>
  <c r="O429" i="1"/>
  <c r="N429" i="1"/>
  <c r="M429" i="1"/>
  <c r="L429" i="1"/>
  <c r="P429" i="1" s="1"/>
  <c r="O428" i="1"/>
  <c r="N428" i="1"/>
  <c r="M428" i="1"/>
  <c r="L428" i="1"/>
  <c r="P428" i="1" s="1"/>
  <c r="O427" i="1"/>
  <c r="N427" i="1"/>
  <c r="M427" i="1"/>
  <c r="L427" i="1"/>
  <c r="P427" i="1" s="1"/>
  <c r="O426" i="1"/>
  <c r="N426" i="1"/>
  <c r="M426" i="1"/>
  <c r="L426" i="1"/>
  <c r="P426" i="1" s="1"/>
  <c r="O425" i="1"/>
  <c r="N425" i="1"/>
  <c r="M425" i="1"/>
  <c r="L425" i="1"/>
  <c r="P425" i="1" s="1"/>
  <c r="O424" i="1"/>
  <c r="N424" i="1"/>
  <c r="M424" i="1"/>
  <c r="L424" i="1"/>
  <c r="P424" i="1" s="1"/>
  <c r="O423" i="1"/>
  <c r="N423" i="1"/>
  <c r="M423" i="1"/>
  <c r="L423" i="1"/>
  <c r="P423" i="1" s="1"/>
  <c r="O422" i="1"/>
  <c r="N422" i="1"/>
  <c r="M422" i="1"/>
  <c r="L422" i="1"/>
  <c r="P422" i="1" s="1"/>
  <c r="O421" i="1"/>
  <c r="N421" i="1"/>
  <c r="M421" i="1"/>
  <c r="L421" i="1"/>
  <c r="P421" i="1" s="1"/>
  <c r="O420" i="1"/>
  <c r="N420" i="1"/>
  <c r="M420" i="1"/>
  <c r="L420" i="1"/>
  <c r="P420" i="1" s="1"/>
  <c r="O419" i="1"/>
  <c r="N419" i="1"/>
  <c r="M419" i="1"/>
  <c r="L419" i="1"/>
  <c r="P419" i="1" s="1"/>
  <c r="O418" i="1"/>
  <c r="N418" i="1"/>
  <c r="M418" i="1"/>
  <c r="L418" i="1"/>
  <c r="P418" i="1" s="1"/>
  <c r="O417" i="1"/>
  <c r="N417" i="1"/>
  <c r="M417" i="1"/>
  <c r="L417" i="1"/>
  <c r="P417" i="1" s="1"/>
  <c r="O416" i="1"/>
  <c r="N416" i="1"/>
  <c r="M416" i="1"/>
  <c r="L416" i="1"/>
  <c r="P416" i="1" s="1"/>
  <c r="O415" i="1"/>
  <c r="N415" i="1"/>
  <c r="M415" i="1"/>
  <c r="L415" i="1"/>
  <c r="P415" i="1" s="1"/>
  <c r="O414" i="1"/>
  <c r="N414" i="1"/>
  <c r="M414" i="1"/>
  <c r="L414" i="1"/>
  <c r="P414" i="1" s="1"/>
  <c r="O413" i="1"/>
  <c r="N413" i="1"/>
  <c r="M413" i="1"/>
  <c r="L413" i="1"/>
  <c r="P413" i="1" s="1"/>
  <c r="O412" i="1"/>
  <c r="N412" i="1"/>
  <c r="M412" i="1"/>
  <c r="L412" i="1"/>
  <c r="P412" i="1" s="1"/>
  <c r="O411" i="1"/>
  <c r="N411" i="1"/>
  <c r="M411" i="1"/>
  <c r="L411" i="1"/>
  <c r="P411" i="1" s="1"/>
  <c r="O410" i="1"/>
  <c r="N410" i="1"/>
  <c r="M410" i="1"/>
  <c r="L410" i="1"/>
  <c r="P410" i="1" s="1"/>
  <c r="O409" i="1"/>
  <c r="N409" i="1"/>
  <c r="M409" i="1"/>
  <c r="L409" i="1"/>
  <c r="P409" i="1" s="1"/>
  <c r="O408" i="1"/>
  <c r="N408" i="1"/>
  <c r="M408" i="1"/>
  <c r="L408" i="1"/>
  <c r="P408" i="1" s="1"/>
  <c r="O407" i="1"/>
  <c r="N407" i="1"/>
  <c r="M407" i="1"/>
  <c r="L407" i="1"/>
  <c r="P407" i="1" s="1"/>
  <c r="O406" i="1"/>
  <c r="N406" i="1"/>
  <c r="M406" i="1"/>
  <c r="L406" i="1"/>
  <c r="P406" i="1" s="1"/>
  <c r="O405" i="1"/>
  <c r="N405" i="1"/>
  <c r="M405" i="1"/>
  <c r="L405" i="1"/>
  <c r="P405" i="1" s="1"/>
  <c r="O404" i="1"/>
  <c r="N404" i="1"/>
  <c r="M404" i="1"/>
  <c r="L404" i="1"/>
  <c r="P404" i="1" s="1"/>
  <c r="O403" i="1"/>
  <c r="N403" i="1"/>
  <c r="M403" i="1"/>
  <c r="L403" i="1"/>
  <c r="P403" i="1" s="1"/>
  <c r="O402" i="1"/>
  <c r="N402" i="1"/>
  <c r="M402" i="1"/>
  <c r="L402" i="1"/>
  <c r="P402" i="1" s="1"/>
  <c r="O401" i="1"/>
  <c r="N401" i="1"/>
  <c r="M401" i="1"/>
  <c r="L401" i="1"/>
  <c r="P401" i="1" s="1"/>
  <c r="O400" i="1"/>
  <c r="N400" i="1"/>
  <c r="M400" i="1"/>
  <c r="L400" i="1"/>
  <c r="P400" i="1" s="1"/>
  <c r="O399" i="1"/>
  <c r="N399" i="1"/>
  <c r="M399" i="1"/>
  <c r="L399" i="1"/>
  <c r="P399" i="1" s="1"/>
  <c r="O398" i="1"/>
  <c r="N398" i="1"/>
  <c r="M398" i="1"/>
  <c r="L398" i="1"/>
  <c r="P398" i="1" s="1"/>
  <c r="O397" i="1"/>
  <c r="N397" i="1"/>
  <c r="M397" i="1"/>
  <c r="L397" i="1"/>
  <c r="P397" i="1" s="1"/>
  <c r="O396" i="1"/>
  <c r="N396" i="1"/>
  <c r="M396" i="1"/>
  <c r="L396" i="1"/>
  <c r="P396" i="1" s="1"/>
  <c r="O395" i="1"/>
  <c r="N395" i="1"/>
  <c r="M395" i="1"/>
  <c r="L395" i="1"/>
  <c r="P395" i="1" s="1"/>
  <c r="O394" i="1"/>
  <c r="N394" i="1"/>
  <c r="M394" i="1"/>
  <c r="L394" i="1"/>
  <c r="P394" i="1" s="1"/>
  <c r="O393" i="1"/>
  <c r="N393" i="1"/>
  <c r="M393" i="1"/>
  <c r="L393" i="1"/>
  <c r="P393" i="1" s="1"/>
  <c r="O392" i="1"/>
  <c r="N392" i="1"/>
  <c r="M392" i="1"/>
  <c r="L392" i="1"/>
  <c r="P392" i="1" s="1"/>
  <c r="O391" i="1"/>
  <c r="N391" i="1"/>
  <c r="M391" i="1"/>
  <c r="L391" i="1"/>
  <c r="P391" i="1" s="1"/>
  <c r="O390" i="1"/>
  <c r="N390" i="1"/>
  <c r="M390" i="1"/>
  <c r="L390" i="1"/>
  <c r="P390" i="1" s="1"/>
  <c r="O389" i="1"/>
  <c r="N389" i="1"/>
  <c r="M389" i="1"/>
  <c r="L389" i="1"/>
  <c r="P389" i="1" s="1"/>
  <c r="O388" i="1"/>
  <c r="N388" i="1"/>
  <c r="M388" i="1"/>
  <c r="L388" i="1"/>
  <c r="P388" i="1" s="1"/>
  <c r="O387" i="1"/>
  <c r="N387" i="1"/>
  <c r="M387" i="1"/>
  <c r="L387" i="1"/>
  <c r="P387" i="1" s="1"/>
  <c r="O386" i="1"/>
  <c r="N386" i="1"/>
  <c r="M386" i="1"/>
  <c r="L386" i="1"/>
  <c r="P386" i="1" s="1"/>
  <c r="O385" i="1"/>
  <c r="N385" i="1"/>
  <c r="M385" i="1"/>
  <c r="L385" i="1"/>
  <c r="P385" i="1" s="1"/>
  <c r="O384" i="1"/>
  <c r="N384" i="1"/>
  <c r="M384" i="1"/>
  <c r="L384" i="1"/>
  <c r="P384" i="1" s="1"/>
  <c r="O383" i="1"/>
  <c r="N383" i="1"/>
  <c r="M383" i="1"/>
  <c r="L383" i="1"/>
  <c r="P383" i="1" s="1"/>
  <c r="O382" i="1"/>
  <c r="N382" i="1"/>
  <c r="M382" i="1"/>
  <c r="L382" i="1"/>
  <c r="P382" i="1" s="1"/>
  <c r="O381" i="1"/>
  <c r="N381" i="1"/>
  <c r="M381" i="1"/>
  <c r="L381" i="1"/>
  <c r="P381" i="1" s="1"/>
  <c r="O380" i="1"/>
  <c r="N380" i="1"/>
  <c r="M380" i="1"/>
  <c r="L380" i="1"/>
  <c r="P380" i="1" s="1"/>
  <c r="O379" i="1"/>
  <c r="N379" i="1"/>
  <c r="M379" i="1"/>
  <c r="L379" i="1"/>
  <c r="P379" i="1" s="1"/>
  <c r="O378" i="1"/>
  <c r="N378" i="1"/>
  <c r="M378" i="1"/>
  <c r="L378" i="1"/>
  <c r="P378" i="1" s="1"/>
  <c r="O377" i="1"/>
  <c r="N377" i="1"/>
  <c r="M377" i="1"/>
  <c r="L377" i="1"/>
  <c r="P377" i="1" s="1"/>
  <c r="O376" i="1"/>
  <c r="N376" i="1"/>
  <c r="M376" i="1"/>
  <c r="L376" i="1"/>
  <c r="P376" i="1" s="1"/>
  <c r="O375" i="1"/>
  <c r="N375" i="1"/>
  <c r="M375" i="1"/>
  <c r="L375" i="1"/>
  <c r="P375" i="1" s="1"/>
  <c r="O374" i="1"/>
  <c r="N374" i="1"/>
  <c r="M374" i="1"/>
  <c r="L374" i="1"/>
  <c r="P374" i="1" s="1"/>
  <c r="O373" i="1"/>
  <c r="N373" i="1"/>
  <c r="M373" i="1"/>
  <c r="L373" i="1"/>
  <c r="P373" i="1" s="1"/>
  <c r="O372" i="1"/>
  <c r="N372" i="1"/>
  <c r="M372" i="1"/>
  <c r="L372" i="1"/>
  <c r="P372" i="1" s="1"/>
  <c r="O371" i="1"/>
  <c r="N371" i="1"/>
  <c r="M371" i="1"/>
  <c r="L371" i="1"/>
  <c r="P371" i="1" s="1"/>
  <c r="O370" i="1"/>
  <c r="N370" i="1"/>
  <c r="M370" i="1"/>
  <c r="L370" i="1"/>
  <c r="P370" i="1" s="1"/>
  <c r="O369" i="1"/>
  <c r="N369" i="1"/>
  <c r="M369" i="1"/>
  <c r="L369" i="1"/>
  <c r="P369" i="1" s="1"/>
  <c r="O368" i="1"/>
  <c r="N368" i="1"/>
  <c r="M368" i="1"/>
  <c r="L368" i="1"/>
  <c r="P368" i="1" s="1"/>
  <c r="O367" i="1"/>
  <c r="N367" i="1"/>
  <c r="M367" i="1"/>
  <c r="L367" i="1"/>
  <c r="P367" i="1" s="1"/>
  <c r="O366" i="1"/>
  <c r="N366" i="1"/>
  <c r="M366" i="1"/>
  <c r="L366" i="1"/>
  <c r="P366" i="1" s="1"/>
  <c r="O365" i="1"/>
  <c r="N365" i="1"/>
  <c r="M365" i="1"/>
  <c r="L365" i="1"/>
  <c r="P365" i="1" s="1"/>
  <c r="O364" i="1"/>
  <c r="N364" i="1"/>
  <c r="M364" i="1"/>
  <c r="L364" i="1"/>
  <c r="P364" i="1" s="1"/>
  <c r="O363" i="1"/>
  <c r="N363" i="1"/>
  <c r="M363" i="1"/>
  <c r="L363" i="1"/>
  <c r="P363" i="1" s="1"/>
  <c r="O362" i="1"/>
  <c r="N362" i="1"/>
  <c r="M362" i="1"/>
  <c r="L362" i="1"/>
  <c r="P362" i="1" s="1"/>
  <c r="O361" i="1"/>
  <c r="N361" i="1"/>
  <c r="M361" i="1"/>
  <c r="L361" i="1"/>
  <c r="P361" i="1" s="1"/>
  <c r="O360" i="1"/>
  <c r="N360" i="1"/>
  <c r="M360" i="1"/>
  <c r="L360" i="1"/>
  <c r="P360" i="1" s="1"/>
  <c r="O359" i="1"/>
  <c r="N359" i="1"/>
  <c r="M359" i="1"/>
  <c r="L359" i="1"/>
  <c r="P359" i="1" s="1"/>
  <c r="O358" i="1"/>
  <c r="N358" i="1"/>
  <c r="M358" i="1"/>
  <c r="L358" i="1"/>
  <c r="P358" i="1" s="1"/>
  <c r="O357" i="1"/>
  <c r="N357" i="1"/>
  <c r="M357" i="1"/>
  <c r="L357" i="1"/>
  <c r="P357" i="1" s="1"/>
  <c r="O356" i="1"/>
  <c r="N356" i="1"/>
  <c r="M356" i="1"/>
  <c r="L356" i="1"/>
  <c r="P356" i="1" s="1"/>
  <c r="O355" i="1"/>
  <c r="N355" i="1"/>
  <c r="M355" i="1"/>
  <c r="L355" i="1"/>
  <c r="P355" i="1" s="1"/>
  <c r="O354" i="1"/>
  <c r="N354" i="1"/>
  <c r="M354" i="1"/>
  <c r="L354" i="1"/>
  <c r="P354" i="1" s="1"/>
  <c r="O353" i="1"/>
  <c r="N353" i="1"/>
  <c r="M353" i="1"/>
  <c r="L353" i="1"/>
  <c r="P353" i="1" s="1"/>
  <c r="O352" i="1"/>
  <c r="N352" i="1"/>
  <c r="M352" i="1"/>
  <c r="L352" i="1"/>
  <c r="P352" i="1" s="1"/>
  <c r="O351" i="1"/>
  <c r="N351" i="1"/>
  <c r="M351" i="1"/>
  <c r="L351" i="1"/>
  <c r="P351" i="1" s="1"/>
  <c r="O350" i="1"/>
  <c r="N350" i="1"/>
  <c r="M350" i="1"/>
  <c r="L350" i="1"/>
  <c r="P350" i="1" s="1"/>
  <c r="O349" i="1"/>
  <c r="N349" i="1"/>
  <c r="M349" i="1"/>
  <c r="L349" i="1"/>
  <c r="P349" i="1" s="1"/>
  <c r="O348" i="1"/>
  <c r="N348" i="1"/>
  <c r="M348" i="1"/>
  <c r="L348" i="1"/>
  <c r="P348" i="1" s="1"/>
  <c r="O347" i="1"/>
  <c r="N347" i="1"/>
  <c r="M347" i="1"/>
  <c r="L347" i="1"/>
  <c r="P347" i="1" s="1"/>
  <c r="O346" i="1"/>
  <c r="N346" i="1"/>
  <c r="M346" i="1"/>
  <c r="L346" i="1"/>
  <c r="P346" i="1" s="1"/>
  <c r="O345" i="1"/>
  <c r="N345" i="1"/>
  <c r="M345" i="1"/>
  <c r="L345" i="1"/>
  <c r="P345" i="1" s="1"/>
  <c r="O344" i="1"/>
  <c r="N344" i="1"/>
  <c r="M344" i="1"/>
  <c r="L344" i="1"/>
  <c r="P344" i="1" s="1"/>
  <c r="O343" i="1"/>
  <c r="N343" i="1"/>
  <c r="M343" i="1"/>
  <c r="L343" i="1"/>
  <c r="P343" i="1" s="1"/>
  <c r="O342" i="1"/>
  <c r="N342" i="1"/>
  <c r="M342" i="1"/>
  <c r="L342" i="1"/>
  <c r="P342" i="1" s="1"/>
  <c r="O341" i="1"/>
  <c r="N341" i="1"/>
  <c r="M341" i="1"/>
  <c r="L341" i="1"/>
  <c r="P341" i="1" s="1"/>
  <c r="O340" i="1"/>
  <c r="N340" i="1"/>
  <c r="M340" i="1"/>
  <c r="L340" i="1"/>
  <c r="P340" i="1" s="1"/>
  <c r="O339" i="1"/>
  <c r="N339" i="1"/>
  <c r="M339" i="1"/>
  <c r="L339" i="1"/>
  <c r="P339" i="1" s="1"/>
  <c r="O338" i="1"/>
  <c r="N338" i="1"/>
  <c r="M338" i="1"/>
  <c r="L338" i="1"/>
  <c r="P338" i="1" s="1"/>
  <c r="O337" i="1"/>
  <c r="N337" i="1"/>
  <c r="M337" i="1"/>
  <c r="L337" i="1"/>
  <c r="P337" i="1" s="1"/>
  <c r="O336" i="1"/>
  <c r="N336" i="1"/>
  <c r="M336" i="1"/>
  <c r="L336" i="1"/>
  <c r="P336" i="1" s="1"/>
  <c r="O335" i="1"/>
  <c r="N335" i="1"/>
  <c r="M335" i="1"/>
  <c r="L335" i="1"/>
  <c r="P335" i="1" s="1"/>
  <c r="O334" i="1"/>
  <c r="N334" i="1"/>
  <c r="M334" i="1"/>
  <c r="L334" i="1"/>
  <c r="P334" i="1" s="1"/>
  <c r="O333" i="1"/>
  <c r="N333" i="1"/>
  <c r="M333" i="1"/>
  <c r="L333" i="1"/>
  <c r="P333" i="1" s="1"/>
  <c r="O332" i="1"/>
  <c r="N332" i="1"/>
  <c r="M332" i="1"/>
  <c r="L332" i="1"/>
  <c r="P332" i="1" s="1"/>
  <c r="O331" i="1"/>
  <c r="N331" i="1"/>
  <c r="M331" i="1"/>
  <c r="L331" i="1"/>
  <c r="P331" i="1" s="1"/>
  <c r="O330" i="1"/>
  <c r="N330" i="1"/>
  <c r="M330" i="1"/>
  <c r="L330" i="1"/>
  <c r="P330" i="1" s="1"/>
  <c r="O329" i="1"/>
  <c r="N329" i="1"/>
  <c r="M329" i="1"/>
  <c r="L329" i="1"/>
  <c r="P329" i="1" s="1"/>
  <c r="O328" i="1"/>
  <c r="N328" i="1"/>
  <c r="M328" i="1"/>
  <c r="L328" i="1"/>
  <c r="P328" i="1" s="1"/>
  <c r="O327" i="1"/>
  <c r="N327" i="1"/>
  <c r="M327" i="1"/>
  <c r="L327" i="1"/>
  <c r="P327" i="1" s="1"/>
  <c r="O326" i="1"/>
  <c r="N326" i="1"/>
  <c r="M326" i="1"/>
  <c r="L326" i="1"/>
  <c r="P326" i="1" s="1"/>
  <c r="O325" i="1"/>
  <c r="N325" i="1"/>
  <c r="M325" i="1"/>
  <c r="L325" i="1"/>
  <c r="P325" i="1" s="1"/>
  <c r="O324" i="1"/>
  <c r="N324" i="1"/>
  <c r="M324" i="1"/>
  <c r="L324" i="1"/>
  <c r="P324" i="1" s="1"/>
  <c r="O323" i="1"/>
  <c r="N323" i="1"/>
  <c r="M323" i="1"/>
  <c r="L323" i="1"/>
  <c r="P323" i="1" s="1"/>
  <c r="O322" i="1"/>
  <c r="N322" i="1"/>
  <c r="M322" i="1"/>
  <c r="L322" i="1"/>
  <c r="P322" i="1" s="1"/>
  <c r="O321" i="1"/>
  <c r="N321" i="1"/>
  <c r="M321" i="1"/>
  <c r="L321" i="1"/>
  <c r="P321" i="1" s="1"/>
  <c r="O320" i="1"/>
  <c r="N320" i="1"/>
  <c r="M320" i="1"/>
  <c r="L320" i="1"/>
  <c r="P320" i="1" s="1"/>
  <c r="O319" i="1"/>
  <c r="N319" i="1"/>
  <c r="M319" i="1"/>
  <c r="L319" i="1"/>
  <c r="P319" i="1" s="1"/>
  <c r="O318" i="1"/>
  <c r="N318" i="1"/>
  <c r="M318" i="1"/>
  <c r="L318" i="1"/>
  <c r="P318" i="1" s="1"/>
  <c r="O317" i="1"/>
  <c r="N317" i="1"/>
  <c r="M317" i="1"/>
  <c r="L317" i="1"/>
  <c r="P317" i="1" s="1"/>
  <c r="O316" i="1"/>
  <c r="N316" i="1"/>
  <c r="M316" i="1"/>
  <c r="L316" i="1"/>
  <c r="P316" i="1" s="1"/>
  <c r="O315" i="1"/>
  <c r="N315" i="1"/>
  <c r="M315" i="1"/>
  <c r="L315" i="1"/>
  <c r="P315" i="1" s="1"/>
  <c r="O314" i="1"/>
  <c r="N314" i="1"/>
  <c r="M314" i="1"/>
  <c r="L314" i="1"/>
  <c r="P314" i="1" s="1"/>
  <c r="O313" i="1"/>
  <c r="N313" i="1"/>
  <c r="M313" i="1"/>
  <c r="L313" i="1"/>
  <c r="P313" i="1" s="1"/>
  <c r="O312" i="1"/>
  <c r="N312" i="1"/>
  <c r="M312" i="1"/>
  <c r="L312" i="1"/>
  <c r="P312" i="1" s="1"/>
  <c r="O311" i="1"/>
  <c r="N311" i="1"/>
  <c r="M311" i="1"/>
  <c r="L311" i="1"/>
  <c r="P311" i="1" s="1"/>
  <c r="O310" i="1"/>
  <c r="N310" i="1"/>
  <c r="M310" i="1"/>
  <c r="L310" i="1"/>
  <c r="P310" i="1" s="1"/>
  <c r="O309" i="1"/>
  <c r="N309" i="1"/>
  <c r="M309" i="1"/>
  <c r="L309" i="1"/>
  <c r="P309" i="1" s="1"/>
  <c r="O308" i="1"/>
  <c r="N308" i="1"/>
  <c r="M308" i="1"/>
  <c r="L308" i="1"/>
  <c r="P308" i="1" s="1"/>
  <c r="O307" i="1"/>
  <c r="N307" i="1"/>
  <c r="M307" i="1"/>
  <c r="L307" i="1"/>
  <c r="P307" i="1" s="1"/>
  <c r="O306" i="1"/>
  <c r="N306" i="1"/>
  <c r="M306" i="1"/>
  <c r="L306" i="1"/>
  <c r="P306" i="1" s="1"/>
  <c r="O305" i="1"/>
  <c r="N305" i="1"/>
  <c r="M305" i="1"/>
  <c r="L305" i="1"/>
  <c r="P305" i="1" s="1"/>
  <c r="O304" i="1"/>
  <c r="N304" i="1"/>
  <c r="M304" i="1"/>
  <c r="L304" i="1"/>
  <c r="P304" i="1" s="1"/>
  <c r="O303" i="1"/>
  <c r="N303" i="1"/>
  <c r="M303" i="1"/>
  <c r="L303" i="1"/>
  <c r="P303" i="1" s="1"/>
  <c r="O302" i="1"/>
  <c r="N302" i="1"/>
  <c r="M302" i="1"/>
  <c r="L302" i="1"/>
  <c r="P302" i="1" s="1"/>
  <c r="O301" i="1"/>
  <c r="N301" i="1"/>
  <c r="M301" i="1"/>
  <c r="L301" i="1"/>
  <c r="P301" i="1" s="1"/>
  <c r="O300" i="1"/>
  <c r="N300" i="1"/>
  <c r="M300" i="1"/>
  <c r="L300" i="1"/>
  <c r="P300" i="1" s="1"/>
  <c r="O299" i="1"/>
  <c r="N299" i="1"/>
  <c r="M299" i="1"/>
  <c r="L299" i="1"/>
  <c r="P299" i="1" s="1"/>
  <c r="O298" i="1"/>
  <c r="N298" i="1"/>
  <c r="M298" i="1"/>
  <c r="L298" i="1"/>
  <c r="P298" i="1" s="1"/>
  <c r="O297" i="1"/>
  <c r="N297" i="1"/>
  <c r="M297" i="1"/>
  <c r="L297" i="1"/>
  <c r="P297" i="1" s="1"/>
  <c r="O296" i="1"/>
  <c r="N296" i="1"/>
  <c r="M296" i="1"/>
  <c r="L296" i="1"/>
  <c r="P296" i="1" s="1"/>
  <c r="O295" i="1"/>
  <c r="N295" i="1"/>
  <c r="M295" i="1"/>
  <c r="L295" i="1"/>
  <c r="P295" i="1" s="1"/>
  <c r="O294" i="1"/>
  <c r="N294" i="1"/>
  <c r="M294" i="1"/>
  <c r="L294" i="1"/>
  <c r="P294" i="1" s="1"/>
  <c r="O293" i="1"/>
  <c r="N293" i="1"/>
  <c r="M293" i="1"/>
  <c r="L293" i="1"/>
  <c r="P293" i="1" s="1"/>
  <c r="O292" i="1"/>
  <c r="N292" i="1"/>
  <c r="M292" i="1"/>
  <c r="L292" i="1"/>
  <c r="P292" i="1" s="1"/>
  <c r="O291" i="1"/>
  <c r="N291" i="1"/>
  <c r="M291" i="1"/>
  <c r="L291" i="1"/>
  <c r="P291" i="1" s="1"/>
  <c r="O290" i="1"/>
  <c r="N290" i="1"/>
  <c r="M290" i="1"/>
  <c r="L290" i="1"/>
  <c r="P290" i="1" s="1"/>
  <c r="O289" i="1"/>
  <c r="N289" i="1"/>
  <c r="M289" i="1"/>
  <c r="L289" i="1"/>
  <c r="P289" i="1" s="1"/>
  <c r="O288" i="1"/>
  <c r="N288" i="1"/>
  <c r="M288" i="1"/>
  <c r="L288" i="1"/>
  <c r="P288" i="1" s="1"/>
  <c r="O287" i="1"/>
  <c r="N287" i="1"/>
  <c r="M287" i="1"/>
  <c r="L287" i="1"/>
  <c r="P287" i="1" s="1"/>
  <c r="O286" i="1"/>
  <c r="N286" i="1"/>
  <c r="M286" i="1"/>
  <c r="L286" i="1"/>
  <c r="P286" i="1" s="1"/>
  <c r="O285" i="1"/>
  <c r="N285" i="1"/>
  <c r="M285" i="1"/>
  <c r="L285" i="1"/>
  <c r="P285" i="1" s="1"/>
  <c r="O284" i="1"/>
  <c r="N284" i="1"/>
  <c r="M284" i="1"/>
  <c r="L284" i="1"/>
  <c r="P284" i="1" s="1"/>
  <c r="O283" i="1"/>
  <c r="N283" i="1"/>
  <c r="M283" i="1"/>
  <c r="L283" i="1"/>
  <c r="P283" i="1" s="1"/>
  <c r="O282" i="1"/>
  <c r="N282" i="1"/>
  <c r="M282" i="1"/>
  <c r="L282" i="1"/>
  <c r="P282" i="1" s="1"/>
  <c r="O281" i="1"/>
  <c r="N281" i="1"/>
  <c r="M281" i="1"/>
  <c r="L281" i="1"/>
  <c r="P281" i="1" s="1"/>
  <c r="O280" i="1"/>
  <c r="N280" i="1"/>
  <c r="M280" i="1"/>
  <c r="L280" i="1"/>
  <c r="P280" i="1" s="1"/>
  <c r="O279" i="1"/>
  <c r="N279" i="1"/>
  <c r="M279" i="1"/>
  <c r="L279" i="1"/>
  <c r="P279" i="1" s="1"/>
  <c r="O278" i="1"/>
  <c r="N278" i="1"/>
  <c r="M278" i="1"/>
  <c r="L278" i="1"/>
  <c r="P278" i="1" s="1"/>
  <c r="O277" i="1"/>
  <c r="N277" i="1"/>
  <c r="M277" i="1"/>
  <c r="L277" i="1"/>
  <c r="P277" i="1" s="1"/>
  <c r="O276" i="1"/>
  <c r="N276" i="1"/>
  <c r="M276" i="1"/>
  <c r="L276" i="1"/>
  <c r="P276" i="1" s="1"/>
  <c r="O275" i="1"/>
  <c r="N275" i="1"/>
  <c r="M275" i="1"/>
  <c r="L275" i="1"/>
  <c r="P275" i="1" s="1"/>
  <c r="O274" i="1"/>
  <c r="N274" i="1"/>
  <c r="M274" i="1"/>
  <c r="L274" i="1"/>
  <c r="P274" i="1" s="1"/>
  <c r="O273" i="1"/>
  <c r="N273" i="1"/>
  <c r="M273" i="1"/>
  <c r="L273" i="1"/>
  <c r="P273" i="1" s="1"/>
  <c r="O272" i="1"/>
  <c r="N272" i="1"/>
  <c r="M272" i="1"/>
  <c r="L272" i="1"/>
  <c r="P272" i="1" s="1"/>
  <c r="O271" i="1"/>
  <c r="N271" i="1"/>
  <c r="M271" i="1"/>
  <c r="L271" i="1"/>
  <c r="P271" i="1" s="1"/>
  <c r="O270" i="1"/>
  <c r="N270" i="1"/>
  <c r="M270" i="1"/>
  <c r="L270" i="1"/>
  <c r="P270" i="1" s="1"/>
  <c r="O269" i="1"/>
  <c r="N269" i="1"/>
  <c r="M269" i="1"/>
  <c r="L269" i="1"/>
  <c r="P269" i="1" s="1"/>
  <c r="O268" i="1"/>
  <c r="N268" i="1"/>
  <c r="M268" i="1"/>
  <c r="L268" i="1"/>
  <c r="P268" i="1" s="1"/>
  <c r="O267" i="1"/>
  <c r="N267" i="1"/>
  <c r="M267" i="1"/>
  <c r="L267" i="1"/>
  <c r="P267" i="1" s="1"/>
  <c r="O266" i="1"/>
  <c r="N266" i="1"/>
  <c r="M266" i="1"/>
  <c r="L266" i="1"/>
  <c r="P266" i="1" s="1"/>
  <c r="O265" i="1"/>
  <c r="N265" i="1"/>
  <c r="M265" i="1"/>
  <c r="L265" i="1"/>
  <c r="P265" i="1" s="1"/>
  <c r="O264" i="1"/>
  <c r="N264" i="1"/>
  <c r="M264" i="1"/>
  <c r="L264" i="1"/>
  <c r="P264" i="1" s="1"/>
  <c r="O263" i="1"/>
  <c r="N263" i="1"/>
  <c r="M263" i="1"/>
  <c r="L263" i="1"/>
  <c r="P263" i="1" s="1"/>
  <c r="O262" i="1"/>
  <c r="N262" i="1"/>
  <c r="M262" i="1"/>
  <c r="L262" i="1"/>
  <c r="P262" i="1" s="1"/>
  <c r="O261" i="1"/>
  <c r="N261" i="1"/>
  <c r="M261" i="1"/>
  <c r="L261" i="1"/>
  <c r="P261" i="1" s="1"/>
  <c r="O260" i="1"/>
  <c r="N260" i="1"/>
  <c r="M260" i="1"/>
  <c r="L260" i="1"/>
  <c r="P260" i="1" s="1"/>
  <c r="O259" i="1"/>
  <c r="N259" i="1"/>
  <c r="M259" i="1"/>
  <c r="L259" i="1"/>
  <c r="P259" i="1" s="1"/>
  <c r="O258" i="1"/>
  <c r="N258" i="1"/>
  <c r="M258" i="1"/>
  <c r="L258" i="1"/>
  <c r="P258" i="1" s="1"/>
  <c r="O257" i="1"/>
  <c r="N257" i="1"/>
  <c r="M257" i="1"/>
  <c r="L257" i="1"/>
  <c r="P257" i="1" s="1"/>
  <c r="O256" i="1"/>
  <c r="N256" i="1"/>
  <c r="M256" i="1"/>
  <c r="L256" i="1"/>
  <c r="P256" i="1" s="1"/>
  <c r="O255" i="1"/>
  <c r="N255" i="1"/>
  <c r="M255" i="1"/>
  <c r="L255" i="1"/>
  <c r="P255" i="1" s="1"/>
  <c r="O254" i="1"/>
  <c r="N254" i="1"/>
  <c r="M254" i="1"/>
  <c r="L254" i="1"/>
  <c r="P254" i="1" s="1"/>
  <c r="O253" i="1"/>
  <c r="N253" i="1"/>
  <c r="M253" i="1"/>
  <c r="L253" i="1"/>
  <c r="P253" i="1" s="1"/>
  <c r="O252" i="1"/>
  <c r="N252" i="1"/>
  <c r="M252" i="1"/>
  <c r="L252" i="1"/>
  <c r="P252" i="1" s="1"/>
  <c r="O251" i="1"/>
  <c r="N251" i="1"/>
  <c r="M251" i="1"/>
  <c r="L251" i="1"/>
  <c r="P251" i="1" s="1"/>
  <c r="O250" i="1"/>
  <c r="N250" i="1"/>
  <c r="M250" i="1"/>
  <c r="L250" i="1"/>
  <c r="P250" i="1" s="1"/>
  <c r="O249" i="1"/>
  <c r="N249" i="1"/>
  <c r="M249" i="1"/>
  <c r="L249" i="1"/>
  <c r="P249" i="1" s="1"/>
  <c r="O248" i="1"/>
  <c r="N248" i="1"/>
  <c r="M248" i="1"/>
  <c r="L248" i="1"/>
  <c r="P248" i="1" s="1"/>
  <c r="O247" i="1"/>
  <c r="N247" i="1"/>
  <c r="M247" i="1"/>
  <c r="L247" i="1"/>
  <c r="P247" i="1" s="1"/>
  <c r="O246" i="1"/>
  <c r="N246" i="1"/>
  <c r="M246" i="1"/>
  <c r="L246" i="1"/>
  <c r="P246" i="1" s="1"/>
  <c r="O245" i="1"/>
  <c r="N245" i="1"/>
  <c r="M245" i="1"/>
  <c r="L245" i="1"/>
  <c r="P245" i="1" s="1"/>
  <c r="O244" i="1"/>
  <c r="N244" i="1"/>
  <c r="M244" i="1"/>
  <c r="L244" i="1"/>
  <c r="P244" i="1" s="1"/>
  <c r="O243" i="1"/>
  <c r="N243" i="1"/>
  <c r="M243" i="1"/>
  <c r="L243" i="1"/>
  <c r="P243" i="1" s="1"/>
  <c r="O242" i="1"/>
  <c r="N242" i="1"/>
  <c r="M242" i="1"/>
  <c r="L242" i="1"/>
  <c r="P242" i="1" s="1"/>
  <c r="O241" i="1"/>
  <c r="N241" i="1"/>
  <c r="M241" i="1"/>
  <c r="L241" i="1"/>
  <c r="P241" i="1" s="1"/>
  <c r="O240" i="1"/>
  <c r="N240" i="1"/>
  <c r="M240" i="1"/>
  <c r="L240" i="1"/>
  <c r="P240" i="1" s="1"/>
  <c r="O239" i="1"/>
  <c r="N239" i="1"/>
  <c r="M239" i="1"/>
  <c r="L239" i="1"/>
  <c r="P239" i="1" s="1"/>
  <c r="O238" i="1"/>
  <c r="N238" i="1"/>
  <c r="M238" i="1"/>
  <c r="L238" i="1"/>
  <c r="P238" i="1" s="1"/>
  <c r="O237" i="1"/>
  <c r="N237" i="1"/>
  <c r="M237" i="1"/>
  <c r="L237" i="1"/>
  <c r="P237" i="1" s="1"/>
  <c r="O236" i="1"/>
  <c r="N236" i="1"/>
  <c r="M236" i="1"/>
  <c r="L236" i="1"/>
  <c r="P236" i="1" s="1"/>
  <c r="O235" i="1"/>
  <c r="N235" i="1"/>
  <c r="M235" i="1"/>
  <c r="L235" i="1"/>
  <c r="P235" i="1" s="1"/>
  <c r="O234" i="1"/>
  <c r="N234" i="1"/>
  <c r="M234" i="1"/>
  <c r="L234" i="1"/>
  <c r="P234" i="1" s="1"/>
  <c r="O233" i="1"/>
  <c r="N233" i="1"/>
  <c r="M233" i="1"/>
  <c r="L233" i="1"/>
  <c r="P233" i="1" s="1"/>
  <c r="O232" i="1"/>
  <c r="N232" i="1"/>
  <c r="M232" i="1"/>
  <c r="L232" i="1"/>
  <c r="P232" i="1" s="1"/>
  <c r="O231" i="1"/>
  <c r="N231" i="1"/>
  <c r="M231" i="1"/>
  <c r="L231" i="1"/>
  <c r="P231" i="1" s="1"/>
  <c r="O230" i="1"/>
  <c r="N230" i="1"/>
  <c r="M230" i="1"/>
  <c r="L230" i="1"/>
  <c r="P230" i="1" s="1"/>
  <c r="O229" i="1"/>
  <c r="N229" i="1"/>
  <c r="M229" i="1"/>
  <c r="L229" i="1"/>
  <c r="P229" i="1" s="1"/>
  <c r="O228" i="1"/>
  <c r="N228" i="1"/>
  <c r="M228" i="1"/>
  <c r="L228" i="1"/>
  <c r="P228" i="1" s="1"/>
  <c r="O227" i="1"/>
  <c r="N227" i="1"/>
  <c r="M227" i="1"/>
  <c r="L227" i="1"/>
  <c r="P227" i="1" s="1"/>
  <c r="O226" i="1"/>
  <c r="N226" i="1"/>
  <c r="M226" i="1"/>
  <c r="L226" i="1"/>
  <c r="P226" i="1" s="1"/>
  <c r="O225" i="1"/>
  <c r="N225" i="1"/>
  <c r="M225" i="1"/>
  <c r="L225" i="1"/>
  <c r="P225" i="1" s="1"/>
  <c r="O224" i="1"/>
  <c r="N224" i="1"/>
  <c r="M224" i="1"/>
  <c r="L224" i="1"/>
  <c r="P224" i="1" s="1"/>
  <c r="O223" i="1"/>
  <c r="N223" i="1"/>
  <c r="M223" i="1"/>
  <c r="L223" i="1"/>
  <c r="P223" i="1" s="1"/>
  <c r="O222" i="1"/>
  <c r="N222" i="1"/>
  <c r="M222" i="1"/>
  <c r="L222" i="1"/>
  <c r="P222" i="1" s="1"/>
  <c r="O221" i="1"/>
  <c r="N221" i="1"/>
  <c r="M221" i="1"/>
  <c r="L221" i="1"/>
  <c r="P221" i="1" s="1"/>
  <c r="O220" i="1"/>
  <c r="N220" i="1"/>
  <c r="M220" i="1"/>
  <c r="L220" i="1"/>
  <c r="P220" i="1" s="1"/>
  <c r="E19" i="1"/>
  <c r="C6" i="1"/>
  <c r="A44" i="9" s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C5" i="1"/>
  <c r="A178" i="9" s="1"/>
  <c r="D178" i="9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A112" i="14"/>
  <c r="B48" i="15" l="1"/>
  <c r="D38" i="8"/>
  <c r="C78" i="12"/>
  <c r="A65" i="6"/>
  <c r="A66" i="6" s="1"/>
  <c r="E78" i="12"/>
  <c r="C111" i="14"/>
  <c r="B51" i="17"/>
  <c r="C25" i="19"/>
  <c r="D51" i="17"/>
  <c r="D64" i="6"/>
  <c r="C38" i="8"/>
  <c r="E51" i="17"/>
  <c r="A36" i="19"/>
  <c r="B36" i="19" s="1"/>
  <c r="B78" i="12"/>
  <c r="D49" i="5"/>
  <c r="D78" i="12"/>
  <c r="C32" i="4"/>
  <c r="E49" i="5"/>
  <c r="B76" i="10"/>
  <c r="C30" i="11"/>
  <c r="A52" i="17"/>
  <c r="C52" i="17" s="1"/>
  <c r="E25" i="19"/>
  <c r="A50" i="5"/>
  <c r="D50" i="5" s="1"/>
  <c r="C76" i="10"/>
  <c r="D30" i="11"/>
  <c r="D76" i="10"/>
  <c r="E30" i="11"/>
  <c r="C30" i="7"/>
  <c r="E76" i="10"/>
  <c r="A31" i="11"/>
  <c r="E31" i="11" s="1"/>
  <c r="B35" i="12"/>
  <c r="D30" i="7"/>
  <c r="E38" i="8"/>
  <c r="B34" i="10"/>
  <c r="C35" i="12"/>
  <c r="B27" i="14"/>
  <c r="D29" i="15"/>
  <c r="A31" i="7"/>
  <c r="D31" i="7" s="1"/>
  <c r="C34" i="10"/>
  <c r="B49" i="11"/>
  <c r="D35" i="12"/>
  <c r="C49" i="5"/>
  <c r="E64" i="6"/>
  <c r="B25" i="19"/>
  <c r="C79" i="12"/>
  <c r="D79" i="12"/>
  <c r="G19" i="2"/>
  <c r="E7" i="8"/>
  <c r="E6" i="8"/>
  <c r="E12" i="8" s="1"/>
  <c r="C25" i="2" s="1"/>
  <c r="E25" i="2"/>
  <c r="O29" i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N24" i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D44" i="9"/>
  <c r="C44" i="9"/>
  <c r="B44" i="9"/>
  <c r="E44" i="9"/>
  <c r="A12" i="23"/>
  <c r="A28" i="23"/>
  <c r="B59" i="4"/>
  <c r="E59" i="4"/>
  <c r="D59" i="4"/>
  <c r="C59" i="4"/>
  <c r="P4" i="1"/>
  <c r="C2" i="1" s="1"/>
  <c r="A60" i="4"/>
  <c r="A2" i="23"/>
  <c r="A18" i="23"/>
  <c r="I14" i="2"/>
  <c r="P14" i="2" s="1"/>
  <c r="G23" i="2"/>
  <c r="C7" i="1"/>
  <c r="C8" i="1" s="1"/>
  <c r="A6" i="23"/>
  <c r="A22" i="23"/>
  <c r="I18" i="2"/>
  <c r="P18" i="2" s="1"/>
  <c r="C33" i="4"/>
  <c r="A34" i="4"/>
  <c r="D33" i="4"/>
  <c r="G14" i="2"/>
  <c r="A10" i="23"/>
  <c r="A26" i="23"/>
  <c r="I22" i="2"/>
  <c r="P22" i="2" s="1"/>
  <c r="B33" i="4"/>
  <c r="G13" i="2"/>
  <c r="G18" i="2"/>
  <c r="E33" i="4"/>
  <c r="G22" i="2"/>
  <c r="A50" i="7"/>
  <c r="E49" i="7"/>
  <c r="D49" i="7"/>
  <c r="B49" i="7"/>
  <c r="B28" i="8"/>
  <c r="A13" i="23"/>
  <c r="A29" i="23"/>
  <c r="E178" i="9"/>
  <c r="B178" i="9"/>
  <c r="C178" i="9"/>
  <c r="A4" i="23"/>
  <c r="A20" i="23"/>
  <c r="A8" i="23"/>
  <c r="A24" i="23"/>
  <c r="A9" i="23"/>
  <c r="A25" i="23"/>
  <c r="A14" i="23"/>
  <c r="A30" i="23"/>
  <c r="I26" i="2"/>
  <c r="P26" i="2" s="1"/>
  <c r="E32" i="4"/>
  <c r="D32" i="4"/>
  <c r="C28" i="8"/>
  <c r="A1" i="23"/>
  <c r="A17" i="23"/>
  <c r="A5" i="23"/>
  <c r="A21" i="23"/>
  <c r="G20" i="2"/>
  <c r="B32" i="4"/>
  <c r="B64" i="6"/>
  <c r="D28" i="8"/>
  <c r="A3" i="23"/>
  <c r="A19" i="23"/>
  <c r="A23" i="23"/>
  <c r="A7" i="23"/>
  <c r="A11" i="23"/>
  <c r="A27" i="23"/>
  <c r="A31" i="23"/>
  <c r="A15" i="23"/>
  <c r="B30" i="7"/>
  <c r="A31" i="13"/>
  <c r="D30" i="13"/>
  <c r="C30" i="13"/>
  <c r="E30" i="13"/>
  <c r="B30" i="13"/>
  <c r="A50" i="13"/>
  <c r="E49" i="13"/>
  <c r="B49" i="13"/>
  <c r="C49" i="13"/>
  <c r="D49" i="13"/>
  <c r="D77" i="10"/>
  <c r="C77" i="10"/>
  <c r="A78" i="10"/>
  <c r="E77" i="10"/>
  <c r="A56" i="16"/>
  <c r="E55" i="16"/>
  <c r="D55" i="16"/>
  <c r="C55" i="16"/>
  <c r="B55" i="16"/>
  <c r="D49" i="11"/>
  <c r="C49" i="11"/>
  <c r="D27" i="14"/>
  <c r="C27" i="14"/>
  <c r="A50" i="15"/>
  <c r="C49" i="15"/>
  <c r="D49" i="15"/>
  <c r="B49" i="15"/>
  <c r="A50" i="11"/>
  <c r="A28" i="14"/>
  <c r="B111" i="14"/>
  <c r="E111" i="14"/>
  <c r="D111" i="14"/>
  <c r="C112" i="14"/>
  <c r="E112" i="14"/>
  <c r="D34" i="10"/>
  <c r="E79" i="12"/>
  <c r="B112" i="14"/>
  <c r="A80" i="12"/>
  <c r="D112" i="14"/>
  <c r="D74" i="16"/>
  <c r="C74" i="16"/>
  <c r="B74" i="16"/>
  <c r="C29" i="15"/>
  <c r="E48" i="15"/>
  <c r="D48" i="15"/>
  <c r="C48" i="15"/>
  <c r="E29" i="17"/>
  <c r="A30" i="17" a="1"/>
  <c r="A30" i="17" s="1"/>
  <c r="D29" i="17"/>
  <c r="B29" i="17"/>
  <c r="D26" i="19"/>
  <c r="C26" i="19"/>
  <c r="B26" i="19"/>
  <c r="A27" i="19"/>
  <c r="E26" i="19"/>
  <c r="D29" i="20"/>
  <c r="B29" i="20"/>
  <c r="A30" i="20"/>
  <c r="E29" i="20"/>
  <c r="D25" i="19"/>
  <c r="B28" i="20"/>
  <c r="C45" i="20"/>
  <c r="C28" i="20"/>
  <c r="D45" i="20"/>
  <c r="B35" i="19"/>
  <c r="D28" i="20"/>
  <c r="E45" i="20"/>
  <c r="C35" i="19"/>
  <c r="E28" i="20"/>
  <c r="A46" i="20"/>
  <c r="D35" i="19"/>
  <c r="A39" i="8" a="1"/>
  <c r="A30" i="15" a="1"/>
  <c r="A35" i="10"/>
  <c r="A29" i="8"/>
  <c r="A113" i="14"/>
  <c r="A36" i="12"/>
  <c r="A75" i="16"/>
  <c r="A45" i="9"/>
  <c r="A39" i="8" l="1"/>
  <c r="E39" i="8" s="1"/>
  <c r="A30" i="15"/>
  <c r="A31" i="15" s="1"/>
  <c r="D35" i="10"/>
  <c r="B36" i="12"/>
  <c r="E75" i="16"/>
  <c r="D31" i="11"/>
  <c r="B75" i="16"/>
  <c r="E36" i="19"/>
  <c r="A37" i="19"/>
  <c r="E37" i="19" s="1"/>
  <c r="A37" i="12"/>
  <c r="A38" i="12" s="1"/>
  <c r="D36" i="12"/>
  <c r="C36" i="19"/>
  <c r="D75" i="16"/>
  <c r="C36" i="12"/>
  <c r="E65" i="6"/>
  <c r="D36" i="19"/>
  <c r="E50" i="5"/>
  <c r="A76" i="16"/>
  <c r="E76" i="16" s="1"/>
  <c r="C31" i="7"/>
  <c r="A32" i="7"/>
  <c r="B32" i="7" s="1"/>
  <c r="E36" i="12"/>
  <c r="B31" i="7"/>
  <c r="D65" i="6"/>
  <c r="B65" i="6"/>
  <c r="C31" i="11"/>
  <c r="C75" i="16"/>
  <c r="E52" i="17"/>
  <c r="C65" i="6"/>
  <c r="A53" i="17"/>
  <c r="A54" i="17" s="1"/>
  <c r="A51" i="5"/>
  <c r="A52" i="5" s="1"/>
  <c r="D52" i="17"/>
  <c r="B52" i="17"/>
  <c r="B50" i="5"/>
  <c r="B31" i="11"/>
  <c r="C50" i="5"/>
  <c r="A32" i="11"/>
  <c r="B32" i="11" s="1"/>
  <c r="E31" i="7"/>
  <c r="A36" i="10"/>
  <c r="D36" i="10" s="1"/>
  <c r="E35" i="10"/>
  <c r="C35" i="10"/>
  <c r="B35" i="10"/>
  <c r="B45" i="9"/>
  <c r="D45" i="9"/>
  <c r="C45" i="9"/>
  <c r="E45" i="9"/>
  <c r="C29" i="2"/>
  <c r="C28" i="2"/>
  <c r="A35" i="4"/>
  <c r="C34" i="4"/>
  <c r="B34" i="4"/>
  <c r="E34" i="4"/>
  <c r="D34" i="4"/>
  <c r="B56" i="16"/>
  <c r="A57" i="16"/>
  <c r="D56" i="16"/>
  <c r="E56" i="16"/>
  <c r="C56" i="16"/>
  <c r="E50" i="13"/>
  <c r="A51" i="13"/>
  <c r="B50" i="13"/>
  <c r="D50" i="13"/>
  <c r="C50" i="13"/>
  <c r="B29" i="8"/>
  <c r="D29" i="8"/>
  <c r="C29" i="8"/>
  <c r="A30" i="8"/>
  <c r="E29" i="8"/>
  <c r="C28" i="14"/>
  <c r="B28" i="14"/>
  <c r="E28" i="14"/>
  <c r="D28" i="14"/>
  <c r="A29" i="14"/>
  <c r="A79" i="10"/>
  <c r="C78" i="10"/>
  <c r="D78" i="10"/>
  <c r="B78" i="10"/>
  <c r="E78" i="10"/>
  <c r="E46" i="20"/>
  <c r="D46" i="20"/>
  <c r="C46" i="20"/>
  <c r="B46" i="20"/>
  <c r="A47" i="20"/>
  <c r="A28" i="19"/>
  <c r="E27" i="19"/>
  <c r="D27" i="19"/>
  <c r="B27" i="19"/>
  <c r="C27" i="19"/>
  <c r="B50" i="11"/>
  <c r="D50" i="11"/>
  <c r="C50" i="11"/>
  <c r="E50" i="11"/>
  <c r="A51" i="11"/>
  <c r="G25" i="2"/>
  <c r="M5" i="1"/>
  <c r="L6" i="1"/>
  <c r="L7" i="1" s="1"/>
  <c r="A67" i="6"/>
  <c r="E66" i="6"/>
  <c r="C66" i="6"/>
  <c r="D66" i="6"/>
  <c r="B66" i="6"/>
  <c r="C9" i="1"/>
  <c r="A32" i="6"/>
  <c r="E80" i="12"/>
  <c r="D80" i="12"/>
  <c r="C80" i="12"/>
  <c r="B80" i="12"/>
  <c r="A81" i="12"/>
  <c r="A114" i="14"/>
  <c r="E113" i="14"/>
  <c r="D113" i="14"/>
  <c r="B113" i="14"/>
  <c r="C113" i="14"/>
  <c r="C50" i="15"/>
  <c r="B50" i="15"/>
  <c r="A51" i="15"/>
  <c r="E50" i="15"/>
  <c r="D50" i="15"/>
  <c r="E30" i="20"/>
  <c r="D30" i="20"/>
  <c r="C30" i="20"/>
  <c r="B30" i="20"/>
  <c r="A31" i="20"/>
  <c r="D30" i="17"/>
  <c r="E30" i="17"/>
  <c r="C30" i="17"/>
  <c r="B30" i="17"/>
  <c r="A31" i="17"/>
  <c r="B31" i="13"/>
  <c r="E31" i="13"/>
  <c r="D31" i="13"/>
  <c r="C31" i="13"/>
  <c r="A32" i="13"/>
  <c r="E28" i="2"/>
  <c r="E29" i="2" s="1"/>
  <c r="B50" i="7"/>
  <c r="E50" i="7"/>
  <c r="A51" i="7"/>
  <c r="D50" i="7"/>
  <c r="C50" i="7"/>
  <c r="E60" i="4"/>
  <c r="C60" i="4"/>
  <c r="A61" i="4"/>
  <c r="D60" i="4"/>
  <c r="B60" i="4"/>
  <c r="A40" i="8"/>
  <c r="A179" i="9"/>
  <c r="D39" i="8" l="1"/>
  <c r="C39" i="8"/>
  <c r="C30" i="15"/>
  <c r="B39" i="8"/>
  <c r="D30" i="15"/>
  <c r="B30" i="15"/>
  <c r="A41" i="8"/>
  <c r="C41" i="8" s="1"/>
  <c r="E30" i="15"/>
  <c r="B37" i="19"/>
  <c r="C37" i="19"/>
  <c r="A38" i="19"/>
  <c r="A39" i="19" s="1"/>
  <c r="D37" i="19"/>
  <c r="E40" i="8"/>
  <c r="D37" i="12"/>
  <c r="C37" i="12"/>
  <c r="B37" i="12"/>
  <c r="E37" i="12"/>
  <c r="D40" i="8"/>
  <c r="C32" i="7"/>
  <c r="C40" i="8"/>
  <c r="E32" i="7"/>
  <c r="B40" i="8"/>
  <c r="A33" i="7"/>
  <c r="B33" i="7" s="1"/>
  <c r="C76" i="16"/>
  <c r="D53" i="17"/>
  <c r="A77" i="16"/>
  <c r="D77" i="16" s="1"/>
  <c r="B76" i="16"/>
  <c r="B53" i="17"/>
  <c r="D76" i="16"/>
  <c r="E53" i="17"/>
  <c r="D32" i="7"/>
  <c r="C51" i="5"/>
  <c r="C53" i="17"/>
  <c r="D51" i="5"/>
  <c r="B51" i="5"/>
  <c r="E51" i="5"/>
  <c r="B36" i="10"/>
  <c r="C36" i="10"/>
  <c r="E36" i="10"/>
  <c r="A37" i="10"/>
  <c r="E37" i="10" s="1"/>
  <c r="A33" i="11"/>
  <c r="D32" i="11"/>
  <c r="E32" i="11"/>
  <c r="C32" i="11"/>
  <c r="E179" i="9"/>
  <c r="D179" i="9"/>
  <c r="C179" i="9"/>
  <c r="B179" i="9"/>
  <c r="P7" i="1"/>
  <c r="L8" i="1"/>
  <c r="C52" i="5"/>
  <c r="B52" i="5"/>
  <c r="D52" i="5"/>
  <c r="E52" i="5"/>
  <c r="A53" i="5"/>
  <c r="D57" i="16"/>
  <c r="C57" i="16"/>
  <c r="B57" i="16"/>
  <c r="A58" i="16"/>
  <c r="E57" i="16"/>
  <c r="F19" i="2"/>
  <c r="F15" i="2"/>
  <c r="F23" i="2"/>
  <c r="D18" i="2"/>
  <c r="D14" i="2"/>
  <c r="F27" i="2"/>
  <c r="D26" i="2"/>
  <c r="F20" i="2"/>
  <c r="F16" i="2"/>
  <c r="D21" i="2"/>
  <c r="D17" i="2"/>
  <c r="D22" i="2"/>
  <c r="F26" i="2"/>
  <c r="D24" i="2"/>
  <c r="D19" i="2"/>
  <c r="F24" i="2"/>
  <c r="D27" i="2"/>
  <c r="F18" i="2"/>
  <c r="D20" i="2"/>
  <c r="D13" i="2"/>
  <c r="F17" i="2"/>
  <c r="D16" i="2"/>
  <c r="D15" i="2"/>
  <c r="D23" i="2"/>
  <c r="F14" i="2"/>
  <c r="F22" i="2"/>
  <c r="F13" i="2"/>
  <c r="F21" i="2"/>
  <c r="B31" i="20"/>
  <c r="A32" i="20"/>
  <c r="E31" i="20"/>
  <c r="D31" i="20"/>
  <c r="C31" i="20"/>
  <c r="B38" i="12"/>
  <c r="A39" i="12"/>
  <c r="E38" i="12"/>
  <c r="C38" i="12"/>
  <c r="D38" i="12"/>
  <c r="E67" i="6"/>
  <c r="D67" i="6"/>
  <c r="C67" i="6"/>
  <c r="B67" i="6"/>
  <c r="A68" i="6"/>
  <c r="D54" i="17"/>
  <c r="B54" i="17"/>
  <c r="A55" i="17"/>
  <c r="E54" i="17"/>
  <c r="C54" i="17"/>
  <c r="B28" i="19"/>
  <c r="E28" i="19"/>
  <c r="A29" i="19"/>
  <c r="C28" i="19"/>
  <c r="D28" i="19"/>
  <c r="D61" i="4"/>
  <c r="C61" i="4"/>
  <c r="A62" i="4"/>
  <c r="E61" i="4"/>
  <c r="B61" i="4"/>
  <c r="A48" i="20"/>
  <c r="E47" i="20"/>
  <c r="D47" i="20"/>
  <c r="C47" i="20"/>
  <c r="B47" i="20"/>
  <c r="D51" i="13"/>
  <c r="C51" i="13"/>
  <c r="B51" i="13"/>
  <c r="E51" i="13"/>
  <c r="A52" i="13"/>
  <c r="E51" i="11"/>
  <c r="C51" i="11"/>
  <c r="B51" i="11"/>
  <c r="A52" i="11"/>
  <c r="D51" i="11"/>
  <c r="B31" i="17"/>
  <c r="E31" i="17"/>
  <c r="D31" i="17"/>
  <c r="C31" i="17"/>
  <c r="A32" i="17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D25" i="2"/>
  <c r="F25" i="2"/>
  <c r="B79" i="10"/>
  <c r="A80" i="10"/>
  <c r="D79" i="10"/>
  <c r="E79" i="10"/>
  <c r="C79" i="10"/>
  <c r="D31" i="15"/>
  <c r="C31" i="15"/>
  <c r="B31" i="15"/>
  <c r="A32" i="15"/>
  <c r="E31" i="15"/>
  <c r="A36" i="4"/>
  <c r="E35" i="4"/>
  <c r="B35" i="4"/>
  <c r="D35" i="4"/>
  <c r="C35" i="4"/>
  <c r="E32" i="13"/>
  <c r="D32" i="13"/>
  <c r="A33" i="13"/>
  <c r="C32" i="13"/>
  <c r="B32" i="13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P5" i="1"/>
  <c r="C32" i="6"/>
  <c r="B32" i="6"/>
  <c r="D32" i="6"/>
  <c r="E32" i="6"/>
  <c r="E51" i="7"/>
  <c r="D51" i="7"/>
  <c r="A52" i="7"/>
  <c r="B51" i="7"/>
  <c r="C51" i="7"/>
  <c r="E114" i="14"/>
  <c r="A115" i="14"/>
  <c r="C114" i="14"/>
  <c r="D114" i="14"/>
  <c r="B114" i="14"/>
  <c r="A52" i="15"/>
  <c r="E51" i="15"/>
  <c r="D51" i="15"/>
  <c r="C51" i="15"/>
  <c r="B51" i="15"/>
  <c r="A82" i="12"/>
  <c r="E81" i="12"/>
  <c r="B81" i="12"/>
  <c r="D81" i="12"/>
  <c r="C81" i="12"/>
  <c r="A30" i="14"/>
  <c r="E29" i="14"/>
  <c r="B29" i="14"/>
  <c r="C29" i="14"/>
  <c r="D29" i="14"/>
  <c r="E30" i="8"/>
  <c r="D30" i="8"/>
  <c r="B30" i="8"/>
  <c r="C30" i="8"/>
  <c r="A31" i="8"/>
  <c r="A180" i="9"/>
  <c r="A33" i="6"/>
  <c r="A46" i="9"/>
  <c r="A42" i="8" l="1"/>
  <c r="A43" i="8" s="1"/>
  <c r="B41" i="8"/>
  <c r="D41" i="8"/>
  <c r="E41" i="8"/>
  <c r="A78" i="16"/>
  <c r="B78" i="16" s="1"/>
  <c r="B38" i="19"/>
  <c r="C38" i="19"/>
  <c r="D38" i="19"/>
  <c r="E38" i="19"/>
  <c r="D33" i="7"/>
  <c r="C33" i="7"/>
  <c r="E77" i="16"/>
  <c r="A34" i="7"/>
  <c r="B34" i="7" s="1"/>
  <c r="E33" i="7"/>
  <c r="C77" i="16"/>
  <c r="B77" i="16"/>
  <c r="B33" i="11"/>
  <c r="D33" i="11"/>
  <c r="C33" i="11"/>
  <c r="A34" i="11"/>
  <c r="E33" i="11"/>
  <c r="A38" i="10"/>
  <c r="C37" i="10"/>
  <c r="D37" i="10"/>
  <c r="B37" i="10"/>
  <c r="E33" i="6"/>
  <c r="B33" i="6"/>
  <c r="D33" i="6"/>
  <c r="C33" i="6"/>
  <c r="D180" i="9"/>
  <c r="C180" i="9"/>
  <c r="B180" i="9"/>
  <c r="E180" i="9"/>
  <c r="B46" i="9"/>
  <c r="E46" i="9"/>
  <c r="D46" i="9"/>
  <c r="C46" i="9"/>
  <c r="D31" i="8"/>
  <c r="C31" i="8"/>
  <c r="A32" i="8"/>
  <c r="E31" i="8"/>
  <c r="B31" i="8"/>
  <c r="E32" i="20"/>
  <c r="C32" i="20"/>
  <c r="B32" i="20"/>
  <c r="A33" i="20"/>
  <c r="D32" i="20"/>
  <c r="A54" i="5"/>
  <c r="E53" i="5"/>
  <c r="D53" i="5"/>
  <c r="C53" i="5"/>
  <c r="B53" i="5"/>
  <c r="A53" i="13"/>
  <c r="C52" i="13"/>
  <c r="D52" i="13"/>
  <c r="E52" i="13"/>
  <c r="B52" i="13"/>
  <c r="E29" i="19"/>
  <c r="D29" i="19"/>
  <c r="C29" i="19"/>
  <c r="B29" i="19"/>
  <c r="A30" i="19"/>
  <c r="B52" i="15"/>
  <c r="A53" i="15"/>
  <c r="E52" i="15"/>
  <c r="D52" i="15"/>
  <c r="C52" i="15"/>
  <c r="E52" i="7"/>
  <c r="B52" i="7"/>
  <c r="D52" i="7"/>
  <c r="C52" i="7"/>
  <c r="A53" i="7"/>
  <c r="E32" i="17"/>
  <c r="B32" i="17"/>
  <c r="A33" i="17"/>
  <c r="D32" i="17"/>
  <c r="C32" i="17"/>
  <c r="C82" i="12"/>
  <c r="B82" i="12"/>
  <c r="D82" i="12"/>
  <c r="A83" i="12"/>
  <c r="E82" i="12"/>
  <c r="E42" i="8"/>
  <c r="D42" i="8"/>
  <c r="E33" i="13"/>
  <c r="A34" i="13"/>
  <c r="D33" i="13"/>
  <c r="C33" i="13"/>
  <c r="B33" i="13"/>
  <c r="D36" i="4"/>
  <c r="A37" i="4"/>
  <c r="E36" i="4"/>
  <c r="B36" i="4"/>
  <c r="C36" i="4"/>
  <c r="C48" i="20"/>
  <c r="B48" i="20"/>
  <c r="A49" i="20"/>
  <c r="E48" i="20"/>
  <c r="D48" i="20"/>
  <c r="C62" i="4"/>
  <c r="B62" i="4"/>
  <c r="A63" i="4"/>
  <c r="D62" i="4"/>
  <c r="E62" i="4"/>
  <c r="D68" i="6"/>
  <c r="C68" i="6"/>
  <c r="E68" i="6"/>
  <c r="A69" i="6"/>
  <c r="B68" i="6"/>
  <c r="E39" i="12"/>
  <c r="D39" i="12"/>
  <c r="C39" i="12"/>
  <c r="B39" i="12"/>
  <c r="A40" i="12"/>
  <c r="E80" i="10"/>
  <c r="D80" i="10"/>
  <c r="C80" i="10"/>
  <c r="B80" i="10"/>
  <c r="A81" i="10"/>
  <c r="A59" i="16"/>
  <c r="E58" i="16"/>
  <c r="C58" i="16"/>
  <c r="D58" i="16"/>
  <c r="B58" i="16"/>
  <c r="A33" i="15"/>
  <c r="E32" i="15"/>
  <c r="C32" i="15"/>
  <c r="D32" i="15"/>
  <c r="B32" i="15"/>
  <c r="P6" i="1"/>
  <c r="A53" i="11"/>
  <c r="C52" i="11"/>
  <c r="E52" i="11"/>
  <c r="B52" i="11"/>
  <c r="D52" i="11"/>
  <c r="A40" i="19"/>
  <c r="E39" i="19"/>
  <c r="D39" i="19"/>
  <c r="C39" i="19"/>
  <c r="B39" i="19"/>
  <c r="D115" i="14"/>
  <c r="A116" i="14"/>
  <c r="E115" i="14"/>
  <c r="C115" i="14"/>
  <c r="B115" i="14"/>
  <c r="E30" i="14"/>
  <c r="A31" i="14"/>
  <c r="B30" i="14"/>
  <c r="D30" i="14"/>
  <c r="C30" i="14"/>
  <c r="C26" i="1"/>
  <c r="C27" i="1" s="1"/>
  <c r="E55" i="17"/>
  <c r="D55" i="17"/>
  <c r="C55" i="17"/>
  <c r="A56" i="17"/>
  <c r="B55" i="17"/>
  <c r="L9" i="1"/>
  <c r="P8" i="1"/>
  <c r="A181" i="9"/>
  <c r="A34" i="6"/>
  <c r="A47" i="9"/>
  <c r="B42" i="8" l="1"/>
  <c r="C42" i="8"/>
  <c r="D34" i="7"/>
  <c r="E78" i="16"/>
  <c r="D78" i="16"/>
  <c r="C78" i="16"/>
  <c r="A79" i="16"/>
  <c r="A80" i="16" s="1"/>
  <c r="E34" i="7"/>
  <c r="A35" i="7"/>
  <c r="B35" i="7" s="1"/>
  <c r="C34" i="7"/>
  <c r="E38" i="10"/>
  <c r="A39" i="10"/>
  <c r="D38" i="10"/>
  <c r="C38" i="10"/>
  <c r="B38" i="10"/>
  <c r="A35" i="11"/>
  <c r="B34" i="11"/>
  <c r="E34" i="11"/>
  <c r="D34" i="11"/>
  <c r="C34" i="11"/>
  <c r="C181" i="9"/>
  <c r="E181" i="9"/>
  <c r="D181" i="9"/>
  <c r="B181" i="9"/>
  <c r="E47" i="9"/>
  <c r="D47" i="9"/>
  <c r="C47" i="9"/>
  <c r="B47" i="9"/>
  <c r="B34" i="6"/>
  <c r="A35" i="6"/>
  <c r="C34" i="6"/>
  <c r="E34" i="6"/>
  <c r="D34" i="6"/>
  <c r="B56" i="17"/>
  <c r="A57" i="17"/>
  <c r="E56" i="17"/>
  <c r="D56" i="17"/>
  <c r="C56" i="17"/>
  <c r="A70" i="6"/>
  <c r="E69" i="6"/>
  <c r="D69" i="6"/>
  <c r="B69" i="6"/>
  <c r="C69" i="6"/>
  <c r="A84" i="12"/>
  <c r="E83" i="12"/>
  <c r="B83" i="12"/>
  <c r="D83" i="12"/>
  <c r="C83" i="12"/>
  <c r="A50" i="20"/>
  <c r="E49" i="20"/>
  <c r="D49" i="20"/>
  <c r="C49" i="20"/>
  <c r="B49" i="20"/>
  <c r="A31" i="19"/>
  <c r="E30" i="19"/>
  <c r="C30" i="19"/>
  <c r="D30" i="19"/>
  <c r="B30" i="19"/>
  <c r="A52" i="18"/>
  <c r="C28" i="1"/>
  <c r="C29" i="1" s="1"/>
  <c r="C30" i="1" s="1"/>
  <c r="C31" i="1" s="1"/>
  <c r="C32" i="1" s="1"/>
  <c r="C33" i="1" s="1"/>
  <c r="D40" i="19"/>
  <c r="C40" i="19"/>
  <c r="B40" i="19"/>
  <c r="A41" i="19"/>
  <c r="E40" i="19"/>
  <c r="B33" i="15"/>
  <c r="E33" i="15"/>
  <c r="C33" i="15"/>
  <c r="D33" i="15"/>
  <c r="A34" i="15"/>
  <c r="C43" i="8"/>
  <c r="B43" i="8"/>
  <c r="A44" i="8"/>
  <c r="E43" i="8"/>
  <c r="D43" i="8"/>
  <c r="C53" i="7"/>
  <c r="B53" i="7"/>
  <c r="A54" i="7"/>
  <c r="E53" i="7"/>
  <c r="D53" i="7"/>
  <c r="D53" i="15"/>
  <c r="C53" i="15"/>
  <c r="B53" i="15"/>
  <c r="A54" i="15"/>
  <c r="E53" i="15"/>
  <c r="D54" i="5"/>
  <c r="A55" i="5" a="1"/>
  <c r="A55" i="5" s="1"/>
  <c r="C54" i="5"/>
  <c r="B54" i="5"/>
  <c r="E54" i="5"/>
  <c r="C32" i="8"/>
  <c r="B32" i="8"/>
  <c r="D32" i="8"/>
  <c r="A33" i="8"/>
  <c r="E32" i="8"/>
  <c r="A41" i="12"/>
  <c r="E40" i="12"/>
  <c r="B40" i="12"/>
  <c r="D40" i="12"/>
  <c r="C40" i="12"/>
  <c r="D37" i="4"/>
  <c r="C37" i="4"/>
  <c r="B37" i="4"/>
  <c r="A38" i="4"/>
  <c r="E37" i="4"/>
  <c r="D116" i="14"/>
  <c r="A117" i="14"/>
  <c r="B116" i="14"/>
  <c r="C116" i="14"/>
  <c r="E116" i="14"/>
  <c r="A34" i="20"/>
  <c r="E33" i="20"/>
  <c r="D33" i="20"/>
  <c r="C33" i="20"/>
  <c r="B33" i="20"/>
  <c r="D81" i="10"/>
  <c r="E81" i="10"/>
  <c r="C81" i="10"/>
  <c r="A82" i="10"/>
  <c r="B81" i="10"/>
  <c r="B53" i="13"/>
  <c r="A54" i="13"/>
  <c r="E53" i="13"/>
  <c r="D53" i="13"/>
  <c r="C53" i="13"/>
  <c r="P9" i="1"/>
  <c r="L10" i="1"/>
  <c r="D31" i="14"/>
  <c r="C31" i="14"/>
  <c r="B31" i="14"/>
  <c r="A32" i="14"/>
  <c r="E31" i="14"/>
  <c r="C53" i="11"/>
  <c r="B53" i="11"/>
  <c r="D53" i="11"/>
  <c r="A54" i="11"/>
  <c r="E53" i="11"/>
  <c r="B59" i="16"/>
  <c r="E59" i="16"/>
  <c r="C59" i="16"/>
  <c r="A60" i="16"/>
  <c r="D59" i="16"/>
  <c r="A64" i="4"/>
  <c r="C63" i="4"/>
  <c r="B63" i="4"/>
  <c r="E63" i="4"/>
  <c r="D63" i="4"/>
  <c r="D33" i="17"/>
  <c r="C33" i="17"/>
  <c r="B33" i="17"/>
  <c r="E33" i="17"/>
  <c r="A34" i="17"/>
  <c r="C34" i="13"/>
  <c r="B34" i="13"/>
  <c r="A35" i="13"/>
  <c r="E34" i="13"/>
  <c r="D34" i="13"/>
  <c r="A48" i="9"/>
  <c r="A182" i="9"/>
  <c r="B79" i="16" l="1"/>
  <c r="D79" i="16"/>
  <c r="C79" i="16"/>
  <c r="E79" i="16"/>
  <c r="E35" i="7"/>
  <c r="A36" i="7"/>
  <c r="E36" i="7" s="1"/>
  <c r="C35" i="7"/>
  <c r="D35" i="7"/>
  <c r="E35" i="11"/>
  <c r="C35" i="11"/>
  <c r="A36" i="11"/>
  <c r="B35" i="11"/>
  <c r="D35" i="11"/>
  <c r="C39" i="10"/>
  <c r="A40" i="10"/>
  <c r="E39" i="10"/>
  <c r="D39" i="10"/>
  <c r="B39" i="10"/>
  <c r="C48" i="9"/>
  <c r="E48" i="9"/>
  <c r="B48" i="9"/>
  <c r="D48" i="9"/>
  <c r="B182" i="9"/>
  <c r="D182" i="9"/>
  <c r="C182" i="9"/>
  <c r="E182" i="9"/>
  <c r="C44" i="8"/>
  <c r="B44" i="8"/>
  <c r="D44" i="8"/>
  <c r="E44" i="8"/>
  <c r="A45" i="8"/>
  <c r="A51" i="20"/>
  <c r="E50" i="20"/>
  <c r="D50" i="20"/>
  <c r="C50" i="20"/>
  <c r="B50" i="20"/>
  <c r="B70" i="6"/>
  <c r="E70" i="6"/>
  <c r="A71" i="6"/>
  <c r="D70" i="6"/>
  <c r="C70" i="6"/>
  <c r="C34" i="17"/>
  <c r="A35" i="17"/>
  <c r="E34" i="17"/>
  <c r="D34" i="17"/>
  <c r="B34" i="17"/>
  <c r="A55" i="11"/>
  <c r="E54" i="11"/>
  <c r="B54" i="11"/>
  <c r="D54" i="11"/>
  <c r="C54" i="11"/>
  <c r="C82" i="10"/>
  <c r="B82" i="10"/>
  <c r="A83" i="10"/>
  <c r="E82" i="10"/>
  <c r="D82" i="10"/>
  <c r="B38" i="4"/>
  <c r="A39" i="4"/>
  <c r="D38" i="4"/>
  <c r="E38" i="4"/>
  <c r="C38" i="4"/>
  <c r="C41" i="12"/>
  <c r="B41" i="12"/>
  <c r="D41" i="12"/>
  <c r="E41" i="12"/>
  <c r="A42" i="12"/>
  <c r="E41" i="19"/>
  <c r="E42" i="19" s="1"/>
  <c r="D41" i="19"/>
  <c r="C41" i="19"/>
  <c r="B41" i="19"/>
  <c r="E54" i="7"/>
  <c r="A55" i="7" a="1"/>
  <c r="A55" i="7" s="1"/>
  <c r="B54" i="7"/>
  <c r="C54" i="7"/>
  <c r="D54" i="7"/>
  <c r="E34" i="15"/>
  <c r="D34" i="15"/>
  <c r="C34" i="15"/>
  <c r="A35" i="15"/>
  <c r="B34" i="15"/>
  <c r="C31" i="19"/>
  <c r="B31" i="19"/>
  <c r="E31" i="19"/>
  <c r="E32" i="19" s="1"/>
  <c r="D31" i="19"/>
  <c r="C84" i="12"/>
  <c r="B84" i="12"/>
  <c r="A85" i="12"/>
  <c r="E84" i="12"/>
  <c r="D84" i="12"/>
  <c r="E57" i="17"/>
  <c r="E58" i="17" s="1"/>
  <c r="L15" i="2" s="1"/>
  <c r="C57" i="17"/>
  <c r="D57" i="17"/>
  <c r="B57" i="17"/>
  <c r="D35" i="6"/>
  <c r="C35" i="6"/>
  <c r="B35" i="6"/>
  <c r="A36" i="6"/>
  <c r="E35" i="6"/>
  <c r="E33" i="8"/>
  <c r="D33" i="8"/>
  <c r="C33" i="8"/>
  <c r="A34" i="8" a="1"/>
  <c r="A34" i="8" s="1"/>
  <c r="B33" i="8"/>
  <c r="E60" i="16"/>
  <c r="D60" i="16"/>
  <c r="C60" i="16"/>
  <c r="A61" i="16"/>
  <c r="B60" i="16"/>
  <c r="E54" i="13"/>
  <c r="D54" i="13"/>
  <c r="A55" i="13"/>
  <c r="B54" i="13"/>
  <c r="C54" i="13"/>
  <c r="E54" i="15"/>
  <c r="E55" i="15" s="1"/>
  <c r="L13" i="2" s="1"/>
  <c r="C54" i="15"/>
  <c r="B54" i="15"/>
  <c r="D54" i="15"/>
  <c r="A30" i="3"/>
  <c r="C34" i="1"/>
  <c r="C35" i="1" s="1"/>
  <c r="C34" i="20"/>
  <c r="A35" i="20"/>
  <c r="E34" i="20"/>
  <c r="D34" i="20"/>
  <c r="B34" i="20"/>
  <c r="C55" i="5"/>
  <c r="B55" i="5"/>
  <c r="E55" i="5"/>
  <c r="E56" i="5" s="1"/>
  <c r="L22" i="2" s="1"/>
  <c r="D55" i="5"/>
  <c r="A36" i="13"/>
  <c r="E35" i="13"/>
  <c r="D35" i="13"/>
  <c r="C35" i="13"/>
  <c r="B35" i="13"/>
  <c r="A81" i="16"/>
  <c r="E80" i="16"/>
  <c r="B80" i="16"/>
  <c r="C80" i="16"/>
  <c r="D80" i="16"/>
  <c r="A33" i="14"/>
  <c r="C32" i="14"/>
  <c r="D32" i="14"/>
  <c r="E32" i="14"/>
  <c r="B32" i="14"/>
  <c r="B117" i="14"/>
  <c r="A118" i="14"/>
  <c r="E117" i="14"/>
  <c r="D117" i="14"/>
  <c r="C117" i="14"/>
  <c r="B52" i="18"/>
  <c r="C52" i="18"/>
  <c r="D52" i="18"/>
  <c r="E52" i="18"/>
  <c r="B64" i="4"/>
  <c r="A65" i="4"/>
  <c r="C64" i="4"/>
  <c r="E64" i="4"/>
  <c r="D64" i="4"/>
  <c r="L11" i="1"/>
  <c r="P10" i="1"/>
  <c r="A53" i="18"/>
  <c r="A183" i="9"/>
  <c r="A49" i="9"/>
  <c r="D36" i="7" l="1"/>
  <c r="B36" i="7"/>
  <c r="A37" i="7"/>
  <c r="E37" i="7" s="1"/>
  <c r="C36" i="7"/>
  <c r="A41" i="10"/>
  <c r="C40" i="10"/>
  <c r="D40" i="10"/>
  <c r="E40" i="10"/>
  <c r="B40" i="10"/>
  <c r="E36" i="11"/>
  <c r="B36" i="11"/>
  <c r="A37" i="11"/>
  <c r="D36" i="11"/>
  <c r="C36" i="11"/>
  <c r="E183" i="9"/>
  <c r="D183" i="9"/>
  <c r="C183" i="9"/>
  <c r="B183" i="9"/>
  <c r="E53" i="18"/>
  <c r="D53" i="18"/>
  <c r="C53" i="18"/>
  <c r="B53" i="18"/>
  <c r="C49" i="9"/>
  <c r="B49" i="9"/>
  <c r="D49" i="9"/>
  <c r="E49" i="9"/>
  <c r="D51" i="20"/>
  <c r="C51" i="20"/>
  <c r="B51" i="20"/>
  <c r="E51" i="20"/>
  <c r="E52" i="20" s="1"/>
  <c r="A36" i="17"/>
  <c r="C35" i="17"/>
  <c r="B35" i="17"/>
  <c r="E35" i="17"/>
  <c r="D35" i="17"/>
  <c r="E118" i="14"/>
  <c r="C118" i="14"/>
  <c r="A119" i="14"/>
  <c r="D118" i="14"/>
  <c r="B118" i="14"/>
  <c r="A37" i="6"/>
  <c r="B36" i="6"/>
  <c r="E36" i="6"/>
  <c r="D36" i="6"/>
  <c r="C36" i="6"/>
  <c r="B55" i="11"/>
  <c r="E55" i="11"/>
  <c r="E56" i="11" s="1"/>
  <c r="L24" i="2" s="1"/>
  <c r="D55" i="11"/>
  <c r="C55" i="11"/>
  <c r="E71" i="6"/>
  <c r="D71" i="6"/>
  <c r="A72" i="6"/>
  <c r="C71" i="6"/>
  <c r="B71" i="6"/>
  <c r="A46" i="8"/>
  <c r="E45" i="8"/>
  <c r="C45" i="8"/>
  <c r="B45" i="8"/>
  <c r="D45" i="8"/>
  <c r="P11" i="1"/>
  <c r="L12" i="1"/>
  <c r="A84" i="10"/>
  <c r="E83" i="10"/>
  <c r="B83" i="10"/>
  <c r="C83" i="10"/>
  <c r="D83" i="10"/>
  <c r="D65" i="4"/>
  <c r="A66" i="4"/>
  <c r="B65" i="4"/>
  <c r="C65" i="4"/>
  <c r="E65" i="4"/>
  <c r="E81" i="16"/>
  <c r="D81" i="16"/>
  <c r="C81" i="16"/>
  <c r="A82" i="16"/>
  <c r="B81" i="16"/>
  <c r="A56" i="3"/>
  <c r="C36" i="1"/>
  <c r="C37" i="1" s="1"/>
  <c r="C38" i="1" s="1"/>
  <c r="C39" i="1" s="1"/>
  <c r="D30" i="3"/>
  <c r="C30" i="3"/>
  <c r="B30" i="3"/>
  <c r="E30" i="3"/>
  <c r="D55" i="13"/>
  <c r="B55" i="13"/>
  <c r="C55" i="13"/>
  <c r="E55" i="13"/>
  <c r="E56" i="13" s="1"/>
  <c r="L21" i="2" s="1"/>
  <c r="E55" i="7"/>
  <c r="E56" i="7" s="1"/>
  <c r="L23" i="2" s="1"/>
  <c r="D55" i="7"/>
  <c r="C55" i="7"/>
  <c r="B55" i="7"/>
  <c r="B33" i="14"/>
  <c r="A34" i="14"/>
  <c r="E33" i="14"/>
  <c r="D33" i="14"/>
  <c r="C33" i="14"/>
  <c r="C34" i="8"/>
  <c r="E34" i="8"/>
  <c r="E35" i="8" s="1"/>
  <c r="J25" i="2" s="1"/>
  <c r="D34" i="8"/>
  <c r="B34" i="8"/>
  <c r="D85" i="12"/>
  <c r="C85" i="12"/>
  <c r="B85" i="12"/>
  <c r="E85" i="12"/>
  <c r="A86" i="12"/>
  <c r="A36" i="15"/>
  <c r="E35" i="15"/>
  <c r="B35" i="15"/>
  <c r="C35" i="15"/>
  <c r="D35" i="15"/>
  <c r="A36" i="20"/>
  <c r="D35" i="20"/>
  <c r="C35" i="20"/>
  <c r="B35" i="20"/>
  <c r="E35" i="20"/>
  <c r="A62" i="16"/>
  <c r="B61" i="16"/>
  <c r="E61" i="16"/>
  <c r="C61" i="16"/>
  <c r="D61" i="16"/>
  <c r="A43" i="12"/>
  <c r="E42" i="12"/>
  <c r="B42" i="12"/>
  <c r="D42" i="12"/>
  <c r="C42" i="12"/>
  <c r="E39" i="4"/>
  <c r="B39" i="4"/>
  <c r="A40" i="4"/>
  <c r="D39" i="4"/>
  <c r="C39" i="4"/>
  <c r="A37" i="13"/>
  <c r="E36" i="13"/>
  <c r="B36" i="13"/>
  <c r="D36" i="13"/>
  <c r="C36" i="13"/>
  <c r="A184" i="9"/>
  <c r="A50" i="9"/>
  <c r="A31" i="3"/>
  <c r="A54" i="18"/>
  <c r="A38" i="7" l="1"/>
  <c r="A39" i="7" s="1"/>
  <c r="C37" i="7"/>
  <c r="B37" i="7"/>
  <c r="D37" i="7"/>
  <c r="D37" i="11"/>
  <c r="B37" i="11"/>
  <c r="E37" i="11"/>
  <c r="A38" i="11"/>
  <c r="C37" i="11"/>
  <c r="A42" i="10"/>
  <c r="B41" i="10"/>
  <c r="E41" i="10"/>
  <c r="D41" i="10"/>
  <c r="C41" i="10"/>
  <c r="E50" i="9"/>
  <c r="D50" i="9"/>
  <c r="C50" i="9"/>
  <c r="B50" i="9"/>
  <c r="D184" i="9"/>
  <c r="E184" i="9"/>
  <c r="B184" i="9"/>
  <c r="C184" i="9"/>
  <c r="D31" i="3"/>
  <c r="C31" i="3"/>
  <c r="E31" i="3"/>
  <c r="B31" i="3"/>
  <c r="E34" i="14"/>
  <c r="D34" i="14"/>
  <c r="A35" i="14"/>
  <c r="C34" i="14"/>
  <c r="B34" i="14"/>
  <c r="D37" i="13"/>
  <c r="C37" i="13"/>
  <c r="E37" i="13"/>
  <c r="B37" i="13"/>
  <c r="A38" i="13"/>
  <c r="C36" i="15"/>
  <c r="B36" i="15"/>
  <c r="D36" i="15"/>
  <c r="A37" i="15"/>
  <c r="E36" i="15"/>
  <c r="A37" i="20"/>
  <c r="E36" i="20"/>
  <c r="D36" i="20"/>
  <c r="C36" i="20"/>
  <c r="B36" i="20"/>
  <c r="A28" i="18"/>
  <c r="C40" i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P12" i="1"/>
  <c r="L13" i="1"/>
  <c r="D56" i="3"/>
  <c r="C56" i="3"/>
  <c r="E56" i="3"/>
  <c r="B56" i="3"/>
  <c r="E72" i="6"/>
  <c r="B72" i="6"/>
  <c r="D72" i="6"/>
  <c r="C72" i="6"/>
  <c r="A73" i="6"/>
  <c r="A120" i="14"/>
  <c r="E119" i="14"/>
  <c r="B119" i="14"/>
  <c r="C119" i="14"/>
  <c r="D119" i="14"/>
  <c r="A37" i="17"/>
  <c r="E36" i="17"/>
  <c r="C36" i="17"/>
  <c r="D36" i="17"/>
  <c r="B36" i="17"/>
  <c r="C62" i="16"/>
  <c r="B62" i="16"/>
  <c r="D62" i="16"/>
  <c r="E62" i="16"/>
  <c r="A63" i="16"/>
  <c r="A67" i="4"/>
  <c r="E66" i="4"/>
  <c r="D66" i="4"/>
  <c r="C66" i="4"/>
  <c r="B66" i="4"/>
  <c r="E84" i="10"/>
  <c r="C84" i="10"/>
  <c r="A85" i="10"/>
  <c r="D84" i="10"/>
  <c r="B84" i="10"/>
  <c r="D82" i="16"/>
  <c r="C82" i="16"/>
  <c r="B82" i="16"/>
  <c r="A83" i="16"/>
  <c r="E82" i="16"/>
  <c r="B37" i="6"/>
  <c r="D37" i="6"/>
  <c r="C37" i="6"/>
  <c r="E37" i="6"/>
  <c r="A38" i="6"/>
  <c r="C43" i="12"/>
  <c r="B43" i="12"/>
  <c r="E43" i="12"/>
  <c r="A44" i="12"/>
  <c r="D43" i="12"/>
  <c r="C86" i="12"/>
  <c r="B86" i="12"/>
  <c r="E86" i="12"/>
  <c r="E87" i="12" s="1"/>
  <c r="L14" i="2" s="1"/>
  <c r="D86" i="12"/>
  <c r="D54" i="18"/>
  <c r="E54" i="18"/>
  <c r="C54" i="18"/>
  <c r="B54" i="18"/>
  <c r="E40" i="4"/>
  <c r="D40" i="4"/>
  <c r="B40" i="4"/>
  <c r="A41" i="4"/>
  <c r="C40" i="4"/>
  <c r="D46" i="8"/>
  <c r="C46" i="8"/>
  <c r="E46" i="8"/>
  <c r="B46" i="8"/>
  <c r="A47" i="8"/>
  <c r="A185" i="9"/>
  <c r="A32" i="3"/>
  <c r="A55" i="18"/>
  <c r="A51" i="9"/>
  <c r="A57" i="3"/>
  <c r="D38" i="7" l="1"/>
  <c r="C38" i="7"/>
  <c r="B38" i="7"/>
  <c r="E38" i="7"/>
  <c r="D42" i="10"/>
  <c r="C42" i="10"/>
  <c r="B42" i="10"/>
  <c r="A43" i="10"/>
  <c r="E42" i="10"/>
  <c r="C38" i="11"/>
  <c r="D38" i="11"/>
  <c r="B38" i="11"/>
  <c r="E38" i="11"/>
  <c r="A39" i="11"/>
  <c r="B32" i="3"/>
  <c r="E32" i="3"/>
  <c r="D32" i="3"/>
  <c r="C32" i="3"/>
  <c r="C185" i="9"/>
  <c r="B185" i="9"/>
  <c r="E185" i="9"/>
  <c r="D185" i="9"/>
  <c r="B57" i="3"/>
  <c r="C57" i="3"/>
  <c r="E57" i="3"/>
  <c r="D57" i="3"/>
  <c r="D51" i="9"/>
  <c r="E51" i="9"/>
  <c r="C51" i="9"/>
  <c r="B51" i="9"/>
  <c r="C39" i="7"/>
  <c r="B39" i="7"/>
  <c r="D39" i="7"/>
  <c r="E39" i="7"/>
  <c r="A40" i="7"/>
  <c r="D85" i="10"/>
  <c r="C85" i="10"/>
  <c r="E85" i="10"/>
  <c r="B85" i="10"/>
  <c r="A86" i="10"/>
  <c r="A64" i="16"/>
  <c r="E63" i="16"/>
  <c r="D63" i="16"/>
  <c r="C63" i="16"/>
  <c r="B63" i="16"/>
  <c r="E38" i="6"/>
  <c r="D38" i="6"/>
  <c r="B38" i="6"/>
  <c r="A39" i="6"/>
  <c r="C38" i="6"/>
  <c r="D83" i="16"/>
  <c r="C83" i="16"/>
  <c r="B83" i="16"/>
  <c r="A84" i="16"/>
  <c r="E83" i="16"/>
  <c r="D37" i="17"/>
  <c r="B37" i="17"/>
  <c r="A38" i="17"/>
  <c r="E37" i="17"/>
  <c r="C37" i="17"/>
  <c r="P13" i="1"/>
  <c r="L14" i="1"/>
  <c r="A30" i="5"/>
  <c r="C75" i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D37" i="20"/>
  <c r="B37" i="20"/>
  <c r="A38" i="20"/>
  <c r="E37" i="20"/>
  <c r="C37" i="20"/>
  <c r="A39" i="13"/>
  <c r="E38" i="13"/>
  <c r="B38" i="13"/>
  <c r="D38" i="13"/>
  <c r="C38" i="13"/>
  <c r="E28" i="18"/>
  <c r="C28" i="18"/>
  <c r="D28" i="18"/>
  <c r="B28" i="18"/>
  <c r="C120" i="14"/>
  <c r="B120" i="14"/>
  <c r="A121" i="14"/>
  <c r="E120" i="14"/>
  <c r="D120" i="14"/>
  <c r="A38" i="15"/>
  <c r="E37" i="15"/>
  <c r="D37" i="15"/>
  <c r="C37" i="15"/>
  <c r="B37" i="15"/>
  <c r="D35" i="14"/>
  <c r="A36" i="14"/>
  <c r="B35" i="14"/>
  <c r="C35" i="14"/>
  <c r="E35" i="14"/>
  <c r="D44" i="12"/>
  <c r="C44" i="12"/>
  <c r="B44" i="12"/>
  <c r="E44" i="12"/>
  <c r="A45" i="12"/>
  <c r="D47" i="8"/>
  <c r="C47" i="8"/>
  <c r="E47" i="8"/>
  <c r="B47" i="8"/>
  <c r="A48" i="8"/>
  <c r="C41" i="4"/>
  <c r="A42" i="4"/>
  <c r="E41" i="4"/>
  <c r="B41" i="4"/>
  <c r="D41" i="4"/>
  <c r="C55" i="18"/>
  <c r="B55" i="18"/>
  <c r="D55" i="18"/>
  <c r="E55" i="18"/>
  <c r="B67" i="4"/>
  <c r="E67" i="4"/>
  <c r="A68" i="4"/>
  <c r="D67" i="4"/>
  <c r="C67" i="4"/>
  <c r="C73" i="6"/>
  <c r="B73" i="6"/>
  <c r="A74" i="6"/>
  <c r="E73" i="6"/>
  <c r="D73" i="6"/>
  <c r="A56" i="18"/>
  <c r="A58" i="3"/>
  <c r="A52" i="9"/>
  <c r="A29" i="18"/>
  <c r="A186" i="9"/>
  <c r="A33" i="3"/>
  <c r="D43" i="10" l="1"/>
  <c r="B43" i="10"/>
  <c r="E43" i="10"/>
  <c r="A44" i="10"/>
  <c r="C43" i="10"/>
  <c r="C39" i="11"/>
  <c r="E39" i="11"/>
  <c r="D39" i="11"/>
  <c r="B39" i="11"/>
  <c r="A40" i="11"/>
  <c r="E186" i="9"/>
  <c r="B186" i="9"/>
  <c r="C186" i="9"/>
  <c r="D186" i="9"/>
  <c r="D29" i="18"/>
  <c r="B29" i="18"/>
  <c r="E29" i="18"/>
  <c r="C29" i="18"/>
  <c r="E58" i="3"/>
  <c r="B58" i="3"/>
  <c r="D58" i="3"/>
  <c r="C58" i="3"/>
  <c r="E33" i="3"/>
  <c r="B33" i="3"/>
  <c r="D33" i="3"/>
  <c r="C33" i="3"/>
  <c r="D52" i="9"/>
  <c r="C52" i="9"/>
  <c r="E52" i="9"/>
  <c r="B52" i="9"/>
  <c r="C36" i="14"/>
  <c r="B36" i="14"/>
  <c r="D36" i="14"/>
  <c r="A37" i="14"/>
  <c r="E36" i="14"/>
  <c r="A49" i="8"/>
  <c r="D48" i="8"/>
  <c r="C48" i="8"/>
  <c r="E48" i="8"/>
  <c r="B48" i="8"/>
  <c r="B39" i="13"/>
  <c r="C39" i="13"/>
  <c r="D39" i="13"/>
  <c r="A40" i="13"/>
  <c r="E39" i="13"/>
  <c r="P14" i="1"/>
  <c r="L15" i="1"/>
  <c r="B84" i="16"/>
  <c r="A85" i="16"/>
  <c r="E84" i="16"/>
  <c r="D84" i="16"/>
  <c r="C84" i="16"/>
  <c r="E38" i="15"/>
  <c r="A39" i="15"/>
  <c r="C38" i="15"/>
  <c r="B38" i="15"/>
  <c r="D38" i="15"/>
  <c r="E64" i="16"/>
  <c r="A65" i="16"/>
  <c r="D64" i="16"/>
  <c r="C64" i="16"/>
  <c r="B64" i="16"/>
  <c r="E68" i="4"/>
  <c r="E85" i="4" s="1"/>
  <c r="L19" i="2" s="1"/>
  <c r="A69" i="4"/>
  <c r="D68" i="4"/>
  <c r="B68" i="4"/>
  <c r="C68" i="4"/>
  <c r="A46" i="12"/>
  <c r="C45" i="12"/>
  <c r="B45" i="12"/>
  <c r="E45" i="12"/>
  <c r="D45" i="12"/>
  <c r="A87" i="10"/>
  <c r="C86" i="10"/>
  <c r="E86" i="10"/>
  <c r="B86" i="10"/>
  <c r="D86" i="10"/>
  <c r="A122" i="14"/>
  <c r="E121" i="14"/>
  <c r="B121" i="14"/>
  <c r="D121" i="14"/>
  <c r="C121" i="14"/>
  <c r="A39" i="17"/>
  <c r="E38" i="17"/>
  <c r="D38" i="17"/>
  <c r="C38" i="17"/>
  <c r="B38" i="17"/>
  <c r="E38" i="20"/>
  <c r="D38" i="20"/>
  <c r="C38" i="20"/>
  <c r="B38" i="20"/>
  <c r="A39" i="20"/>
  <c r="D39" i="6"/>
  <c r="C39" i="6"/>
  <c r="A40" i="6"/>
  <c r="B39" i="6"/>
  <c r="E39" i="6"/>
  <c r="A75" i="6"/>
  <c r="E74" i="6"/>
  <c r="B74" i="6"/>
  <c r="C74" i="6"/>
  <c r="D74" i="6"/>
  <c r="A43" i="4"/>
  <c r="C42" i="4"/>
  <c r="B42" i="4"/>
  <c r="D42" i="4"/>
  <c r="E42" i="4"/>
  <c r="A57" i="18"/>
  <c r="E56" i="18"/>
  <c r="D56" i="18"/>
  <c r="B56" i="18"/>
  <c r="C56" i="18"/>
  <c r="D30" i="5"/>
  <c r="C30" i="5"/>
  <c r="E30" i="5"/>
  <c r="B30" i="5"/>
  <c r="A41" i="7"/>
  <c r="E40" i="7"/>
  <c r="D40" i="7"/>
  <c r="C40" i="7"/>
  <c r="B40" i="7"/>
  <c r="A34" i="3"/>
  <c r="A187" i="9"/>
  <c r="A30" i="18"/>
  <c r="A31" i="5"/>
  <c r="A53" i="9"/>
  <c r="A59" i="3"/>
  <c r="A45" i="10" l="1"/>
  <c r="D44" i="10"/>
  <c r="C44" i="10"/>
  <c r="E44" i="10"/>
  <c r="B44" i="10"/>
  <c r="D40" i="11"/>
  <c r="C40" i="11"/>
  <c r="E40" i="11"/>
  <c r="B40" i="11"/>
  <c r="A41" i="11"/>
  <c r="B53" i="9"/>
  <c r="E53" i="9"/>
  <c r="C53" i="9"/>
  <c r="D53" i="9"/>
  <c r="E59" i="3"/>
  <c r="D59" i="3"/>
  <c r="C59" i="3"/>
  <c r="B59" i="3"/>
  <c r="C30" i="18"/>
  <c r="E30" i="18"/>
  <c r="D30" i="18"/>
  <c r="B30" i="18"/>
  <c r="E31" i="5"/>
  <c r="D31" i="5"/>
  <c r="C31" i="5"/>
  <c r="B31" i="5"/>
  <c r="E34" i="3"/>
  <c r="D34" i="3"/>
  <c r="B34" i="3"/>
  <c r="C34" i="3"/>
  <c r="E187" i="9"/>
  <c r="D187" i="9"/>
  <c r="C187" i="9"/>
  <c r="B187" i="9"/>
  <c r="B87" i="10"/>
  <c r="E87" i="10"/>
  <c r="E88" i="10" s="1"/>
  <c r="L16" i="2" s="1"/>
  <c r="C87" i="10"/>
  <c r="D87" i="10"/>
  <c r="A44" i="4"/>
  <c r="E43" i="4"/>
  <c r="D43" i="4"/>
  <c r="C43" i="4"/>
  <c r="B43" i="4"/>
  <c r="D69" i="4"/>
  <c r="E69" i="4"/>
  <c r="C69" i="4"/>
  <c r="B69" i="4"/>
  <c r="A70" i="4"/>
  <c r="D41" i="7"/>
  <c r="C41" i="7"/>
  <c r="B41" i="7"/>
  <c r="A42" i="7"/>
  <c r="E41" i="7"/>
  <c r="C40" i="6"/>
  <c r="B40" i="6"/>
  <c r="D40" i="6"/>
  <c r="A41" i="6"/>
  <c r="E40" i="6"/>
  <c r="D65" i="16"/>
  <c r="C65" i="16"/>
  <c r="B65" i="16"/>
  <c r="A66" i="16"/>
  <c r="E65" i="16"/>
  <c r="E85" i="16"/>
  <c r="C85" i="16"/>
  <c r="B85" i="16"/>
  <c r="D85" i="16"/>
  <c r="A86" i="16"/>
  <c r="A38" i="14"/>
  <c r="E37" i="14"/>
  <c r="B37" i="14"/>
  <c r="D37" i="14"/>
  <c r="C37" i="14"/>
  <c r="B122" i="14"/>
  <c r="C122" i="14"/>
  <c r="E122" i="14"/>
  <c r="D122" i="14"/>
  <c r="A123" i="14"/>
  <c r="E57" i="18"/>
  <c r="A58" i="18"/>
  <c r="D57" i="18"/>
  <c r="B57" i="18"/>
  <c r="C57" i="18"/>
  <c r="B39" i="20"/>
  <c r="A40" i="20"/>
  <c r="E39" i="20"/>
  <c r="D39" i="20"/>
  <c r="C39" i="20"/>
  <c r="B46" i="12"/>
  <c r="D46" i="12"/>
  <c r="C46" i="12"/>
  <c r="A47" i="12"/>
  <c r="E46" i="12"/>
  <c r="P15" i="1"/>
  <c r="L16" i="1"/>
  <c r="B75" i="6"/>
  <c r="A76" i="6"/>
  <c r="E75" i="6"/>
  <c r="E92" i="6" s="1"/>
  <c r="L27" i="2" s="1"/>
  <c r="D75" i="6"/>
  <c r="C75" i="6"/>
  <c r="B39" i="17"/>
  <c r="D39" i="17"/>
  <c r="A40" i="17"/>
  <c r="E39" i="17"/>
  <c r="C39" i="17"/>
  <c r="D39" i="15"/>
  <c r="C39" i="15"/>
  <c r="B39" i="15"/>
  <c r="A40" i="15"/>
  <c r="E39" i="15"/>
  <c r="E40" i="13"/>
  <c r="D40" i="13"/>
  <c r="B40" i="13"/>
  <c r="A41" i="13"/>
  <c r="C40" i="13"/>
  <c r="B49" i="8"/>
  <c r="E49" i="8"/>
  <c r="D49" i="8"/>
  <c r="A50" i="8"/>
  <c r="C49" i="8"/>
  <c r="A32" i="5"/>
  <c r="A35" i="3"/>
  <c r="A60" i="3"/>
  <c r="A31" i="18"/>
  <c r="A54" i="9"/>
  <c r="A188" i="9"/>
  <c r="E41" i="11" l="1"/>
  <c r="B41" i="11"/>
  <c r="D41" i="11"/>
  <c r="C41" i="11"/>
  <c r="A42" i="11"/>
  <c r="C45" i="10"/>
  <c r="A46" i="10"/>
  <c r="E45" i="10"/>
  <c r="B45" i="10"/>
  <c r="D45" i="10"/>
  <c r="C35" i="3"/>
  <c r="D35" i="3"/>
  <c r="B35" i="3"/>
  <c r="E35" i="3"/>
  <c r="C60" i="3"/>
  <c r="E60" i="3"/>
  <c r="D60" i="3"/>
  <c r="B60" i="3"/>
  <c r="D31" i="18"/>
  <c r="B31" i="18"/>
  <c r="C31" i="18"/>
  <c r="E31" i="18"/>
  <c r="D188" i="9"/>
  <c r="C188" i="9"/>
  <c r="E188" i="9"/>
  <c r="B188" i="9"/>
  <c r="B54" i="9"/>
  <c r="E54" i="9"/>
  <c r="D54" i="9"/>
  <c r="C54" i="9"/>
  <c r="B32" i="5"/>
  <c r="A33" i="5"/>
  <c r="C32" i="5"/>
  <c r="D32" i="5"/>
  <c r="E32" i="5"/>
  <c r="D76" i="6"/>
  <c r="C76" i="6"/>
  <c r="B76" i="6"/>
  <c r="A77" i="6"/>
  <c r="E76" i="6"/>
  <c r="D58" i="18"/>
  <c r="C58" i="18"/>
  <c r="B58" i="18"/>
  <c r="E58" i="18"/>
  <c r="A59" i="18"/>
  <c r="A42" i="6"/>
  <c r="E41" i="6"/>
  <c r="D41" i="6"/>
  <c r="C41" i="6"/>
  <c r="B41" i="6"/>
  <c r="C70" i="4"/>
  <c r="B70" i="4"/>
  <c r="A71" i="4"/>
  <c r="E70" i="4"/>
  <c r="D70" i="4"/>
  <c r="D44" i="4"/>
  <c r="A45" i="4"/>
  <c r="E44" i="4"/>
  <c r="C44" i="4"/>
  <c r="B44" i="4"/>
  <c r="A41" i="15"/>
  <c r="E40" i="15"/>
  <c r="B40" i="15"/>
  <c r="C40" i="15"/>
  <c r="D40" i="15"/>
  <c r="E40" i="20"/>
  <c r="C40" i="20"/>
  <c r="B40" i="20"/>
  <c r="A41" i="20"/>
  <c r="D40" i="20"/>
  <c r="D123" i="14"/>
  <c r="A124" i="14"/>
  <c r="B123" i="14"/>
  <c r="C123" i="14"/>
  <c r="E123" i="14"/>
  <c r="A67" i="16"/>
  <c r="E66" i="16"/>
  <c r="B66" i="16"/>
  <c r="C66" i="16"/>
  <c r="D66" i="16"/>
  <c r="E50" i="8"/>
  <c r="D50" i="8"/>
  <c r="A51" i="8"/>
  <c r="C50" i="8"/>
  <c r="B50" i="8"/>
  <c r="E47" i="12"/>
  <c r="D47" i="12"/>
  <c r="C47" i="12"/>
  <c r="B47" i="12"/>
  <c r="A48" i="12"/>
  <c r="E38" i="14"/>
  <c r="A39" i="14"/>
  <c r="D38" i="14"/>
  <c r="C38" i="14"/>
  <c r="B38" i="14"/>
  <c r="C41" i="13"/>
  <c r="B41" i="13"/>
  <c r="A42" i="13"/>
  <c r="E41" i="13"/>
  <c r="D41" i="13"/>
  <c r="E40" i="17"/>
  <c r="A41" i="17"/>
  <c r="D40" i="17"/>
  <c r="C40" i="17"/>
  <c r="B40" i="17"/>
  <c r="P16" i="1"/>
  <c r="L17" i="1"/>
  <c r="A87" i="16"/>
  <c r="E86" i="16"/>
  <c r="D86" i="16"/>
  <c r="C86" i="16"/>
  <c r="B86" i="16"/>
  <c r="D42" i="7"/>
  <c r="C42" i="7"/>
  <c r="A43" i="7"/>
  <c r="E42" i="7"/>
  <c r="B42" i="7"/>
  <c r="A189" i="9"/>
  <c r="A32" i="18"/>
  <c r="A61" i="3"/>
  <c r="A36" i="3"/>
  <c r="A55" i="9"/>
  <c r="B46" i="10" l="1"/>
  <c r="D46" i="10"/>
  <c r="C46" i="10"/>
  <c r="A47" i="10"/>
  <c r="E46" i="10"/>
  <c r="C42" i="11"/>
  <c r="D42" i="11"/>
  <c r="E42" i="11"/>
  <c r="B42" i="11"/>
  <c r="A43" i="11"/>
  <c r="E32" i="18"/>
  <c r="D32" i="18"/>
  <c r="C32" i="18"/>
  <c r="B32" i="18"/>
  <c r="C189" i="9"/>
  <c r="E189" i="9"/>
  <c r="D189" i="9"/>
  <c r="B189" i="9"/>
  <c r="C36" i="3"/>
  <c r="B36" i="3"/>
  <c r="E36" i="3"/>
  <c r="D36" i="3"/>
  <c r="B55" i="9"/>
  <c r="E55" i="9"/>
  <c r="D55" i="9"/>
  <c r="C55" i="9"/>
  <c r="A60" i="18"/>
  <c r="E59" i="18"/>
  <c r="C59" i="18"/>
  <c r="D59" i="18"/>
  <c r="B59" i="18"/>
  <c r="E41" i="20"/>
  <c r="E42" i="20" s="1"/>
  <c r="D41" i="20"/>
  <c r="C41" i="20"/>
  <c r="B41" i="20"/>
  <c r="C61" i="3"/>
  <c r="B61" i="3"/>
  <c r="E61" i="3"/>
  <c r="D61" i="3"/>
  <c r="C87" i="16"/>
  <c r="B87" i="16"/>
  <c r="A88" i="16"/>
  <c r="E87" i="16"/>
  <c r="D87" i="16"/>
  <c r="B41" i="15"/>
  <c r="D41" i="15"/>
  <c r="A42" i="15"/>
  <c r="E41" i="15"/>
  <c r="C41" i="15"/>
  <c r="A44" i="7"/>
  <c r="D43" i="7"/>
  <c r="E43" i="7"/>
  <c r="B43" i="7"/>
  <c r="C43" i="7"/>
  <c r="D39" i="14"/>
  <c r="C39" i="14"/>
  <c r="B39" i="14"/>
  <c r="E39" i="14"/>
  <c r="A40" i="14"/>
  <c r="B67" i="16"/>
  <c r="D67" i="16"/>
  <c r="A68" i="16"/>
  <c r="E67" i="16"/>
  <c r="C67" i="16"/>
  <c r="D42" i="6"/>
  <c r="E42" i="6"/>
  <c r="C42" i="6"/>
  <c r="A43" i="6"/>
  <c r="B42" i="6"/>
  <c r="A72" i="4"/>
  <c r="E71" i="4"/>
  <c r="D71" i="4"/>
  <c r="C71" i="4"/>
  <c r="B71" i="4"/>
  <c r="B41" i="17"/>
  <c r="A42" i="17"/>
  <c r="C41" i="17"/>
  <c r="E41" i="17"/>
  <c r="D41" i="17"/>
  <c r="E51" i="8"/>
  <c r="D51" i="8"/>
  <c r="A52" i="8"/>
  <c r="B51" i="8"/>
  <c r="C51" i="8"/>
  <c r="E33" i="5"/>
  <c r="D33" i="5"/>
  <c r="A34" i="5"/>
  <c r="C33" i="5"/>
  <c r="B33" i="5"/>
  <c r="P17" i="1"/>
  <c r="L18" i="1"/>
  <c r="C124" i="14"/>
  <c r="B124" i="14"/>
  <c r="A125" i="14"/>
  <c r="D124" i="14"/>
  <c r="E124" i="14"/>
  <c r="A78" i="6"/>
  <c r="B77" i="6"/>
  <c r="D77" i="6"/>
  <c r="C77" i="6"/>
  <c r="E77" i="6"/>
  <c r="C42" i="13"/>
  <c r="B42" i="13"/>
  <c r="D42" i="13"/>
  <c r="E42" i="13"/>
  <c r="A43" i="13"/>
  <c r="D48" i="12"/>
  <c r="A49" i="12"/>
  <c r="B48" i="12"/>
  <c r="E48" i="12"/>
  <c r="C48" i="12"/>
  <c r="D45" i="4"/>
  <c r="C45" i="4"/>
  <c r="B45" i="4"/>
  <c r="A46" i="4"/>
  <c r="E45" i="4"/>
  <c r="A62" i="3"/>
  <c r="A190" i="9"/>
  <c r="A37" i="3"/>
  <c r="A33" i="18"/>
  <c r="A56" i="9"/>
  <c r="D47" i="10" l="1"/>
  <c r="C47" i="10"/>
  <c r="A48" i="10"/>
  <c r="E47" i="10"/>
  <c r="B47" i="10"/>
  <c r="C43" i="11"/>
  <c r="B43" i="11"/>
  <c r="D43" i="11"/>
  <c r="E43" i="11"/>
  <c r="A44" i="11"/>
  <c r="B190" i="9"/>
  <c r="C190" i="9"/>
  <c r="D190" i="9"/>
  <c r="E190" i="9"/>
  <c r="E37" i="3"/>
  <c r="D37" i="3"/>
  <c r="C37" i="3"/>
  <c r="B37" i="3"/>
  <c r="E56" i="9"/>
  <c r="D56" i="9"/>
  <c r="B56" i="9"/>
  <c r="C56" i="9"/>
  <c r="A44" i="13"/>
  <c r="E43" i="13"/>
  <c r="C43" i="13"/>
  <c r="B43" i="13"/>
  <c r="D43" i="13"/>
  <c r="A73" i="4"/>
  <c r="E72" i="4"/>
  <c r="D72" i="4"/>
  <c r="C72" i="4"/>
  <c r="B72" i="4"/>
  <c r="E68" i="16"/>
  <c r="D68" i="16"/>
  <c r="C68" i="16"/>
  <c r="A69" i="16"/>
  <c r="B68" i="16"/>
  <c r="E62" i="3"/>
  <c r="E79" i="3" s="1"/>
  <c r="L20" i="2" s="1"/>
  <c r="C62" i="3"/>
  <c r="B62" i="3"/>
  <c r="D62" i="3"/>
  <c r="B125" i="14"/>
  <c r="E125" i="14"/>
  <c r="C125" i="14"/>
  <c r="A126" i="14"/>
  <c r="D125" i="14"/>
  <c r="B78" i="6"/>
  <c r="D78" i="6"/>
  <c r="C78" i="6"/>
  <c r="A79" i="6"/>
  <c r="E78" i="6"/>
  <c r="C42" i="17"/>
  <c r="E42" i="17"/>
  <c r="D42" i="17"/>
  <c r="B42" i="17"/>
  <c r="A43" i="17"/>
  <c r="B44" i="7"/>
  <c r="A45" i="7"/>
  <c r="E44" i="7"/>
  <c r="D44" i="7"/>
  <c r="C44" i="7"/>
  <c r="A89" i="16"/>
  <c r="E88" i="16"/>
  <c r="D88" i="16"/>
  <c r="B88" i="16"/>
  <c r="C88" i="16"/>
  <c r="B60" i="18"/>
  <c r="A61" i="18"/>
  <c r="E60" i="18"/>
  <c r="D60" i="18"/>
  <c r="C60" i="18"/>
  <c r="C49" i="12"/>
  <c r="B49" i="12"/>
  <c r="E49" i="12"/>
  <c r="D49" i="12"/>
  <c r="A50" i="12"/>
  <c r="B46" i="4"/>
  <c r="A47" i="4"/>
  <c r="E46" i="4"/>
  <c r="C46" i="4"/>
  <c r="D46" i="4"/>
  <c r="A35" i="5"/>
  <c r="C34" i="5"/>
  <c r="B34" i="5"/>
  <c r="E34" i="5"/>
  <c r="D34" i="5"/>
  <c r="D33" i="18"/>
  <c r="B33" i="18"/>
  <c r="A34" i="18"/>
  <c r="E33" i="18"/>
  <c r="C33" i="18"/>
  <c r="A41" i="14"/>
  <c r="C40" i="14"/>
  <c r="B40" i="14"/>
  <c r="E40" i="14"/>
  <c r="D40" i="14"/>
  <c r="P18" i="1"/>
  <c r="L19" i="1"/>
  <c r="D43" i="6"/>
  <c r="C43" i="6"/>
  <c r="A44" i="6"/>
  <c r="E43" i="6"/>
  <c r="B43" i="6"/>
  <c r="C52" i="8"/>
  <c r="B52" i="8"/>
  <c r="A53" i="8"/>
  <c r="E52" i="8"/>
  <c r="D52" i="8"/>
  <c r="E42" i="15"/>
  <c r="D42" i="15"/>
  <c r="C42" i="15"/>
  <c r="B42" i="15"/>
  <c r="A43" i="15"/>
  <c r="A63" i="3"/>
  <c r="A57" i="9"/>
  <c r="A191" i="9"/>
  <c r="A38" i="3"/>
  <c r="A49" i="10" l="1"/>
  <c r="C48" i="10"/>
  <c r="E48" i="10"/>
  <c r="D48" i="10"/>
  <c r="B48" i="10"/>
  <c r="B44" i="11"/>
  <c r="E44" i="11"/>
  <c r="D44" i="11"/>
  <c r="C44" i="11"/>
  <c r="A45" i="11" a="1"/>
  <c r="A45" i="11" s="1"/>
  <c r="D38" i="3"/>
  <c r="E38" i="3"/>
  <c r="B38" i="3"/>
  <c r="C38" i="3"/>
  <c r="E57" i="9"/>
  <c r="D57" i="9"/>
  <c r="C57" i="9"/>
  <c r="B57" i="9"/>
  <c r="E191" i="9"/>
  <c r="D191" i="9"/>
  <c r="B191" i="9"/>
  <c r="C191" i="9"/>
  <c r="A45" i="6"/>
  <c r="D44" i="6"/>
  <c r="C44" i="6"/>
  <c r="B44" i="6"/>
  <c r="E44" i="6"/>
  <c r="E126" i="14"/>
  <c r="C126" i="14"/>
  <c r="B126" i="14"/>
  <c r="A127" i="14"/>
  <c r="D126" i="14"/>
  <c r="D63" i="3"/>
  <c r="E63" i="3"/>
  <c r="C63" i="3"/>
  <c r="B63" i="3"/>
  <c r="A44" i="15"/>
  <c r="E43" i="15"/>
  <c r="C43" i="15"/>
  <c r="B43" i="15"/>
  <c r="D43" i="15"/>
  <c r="B41" i="14"/>
  <c r="A42" i="14"/>
  <c r="D41" i="14"/>
  <c r="C41" i="14"/>
  <c r="E41" i="14"/>
  <c r="A70" i="16" a="1"/>
  <c r="A70" i="16" s="1"/>
  <c r="E69" i="16"/>
  <c r="D69" i="16"/>
  <c r="C69" i="16"/>
  <c r="B69" i="16"/>
  <c r="D73" i="4"/>
  <c r="C73" i="4"/>
  <c r="A74" i="4"/>
  <c r="B73" i="4"/>
  <c r="E73" i="4"/>
  <c r="E61" i="18"/>
  <c r="D61" i="18"/>
  <c r="C61" i="18"/>
  <c r="A62" i="18"/>
  <c r="B61" i="18"/>
  <c r="E53" i="8"/>
  <c r="G53" i="8" s="1"/>
  <c r="A54" i="8"/>
  <c r="D53" i="8"/>
  <c r="B53" i="8"/>
  <c r="C53" i="8"/>
  <c r="P19" i="1"/>
  <c r="L20" i="1"/>
  <c r="C35" i="5"/>
  <c r="B35" i="5"/>
  <c r="E35" i="5"/>
  <c r="A36" i="5"/>
  <c r="D35" i="5"/>
  <c r="A51" i="12"/>
  <c r="E50" i="12"/>
  <c r="D50" i="12"/>
  <c r="C50" i="12"/>
  <c r="B50" i="12"/>
  <c r="E45" i="7"/>
  <c r="E46" i="7" s="1"/>
  <c r="J23" i="2" s="1"/>
  <c r="D45" i="7"/>
  <c r="C45" i="7"/>
  <c r="B45" i="7"/>
  <c r="E79" i="6"/>
  <c r="D79" i="6"/>
  <c r="B79" i="6"/>
  <c r="C79" i="6"/>
  <c r="A80" i="6"/>
  <c r="E34" i="18"/>
  <c r="C34" i="18"/>
  <c r="A35" i="18"/>
  <c r="B34" i="18"/>
  <c r="D34" i="18"/>
  <c r="A44" i="17"/>
  <c r="D43" i="17"/>
  <c r="C43" i="17"/>
  <c r="E43" i="17"/>
  <c r="B43" i="17"/>
  <c r="E47" i="4"/>
  <c r="B47" i="4"/>
  <c r="D47" i="4"/>
  <c r="C47" i="4"/>
  <c r="A48" i="4"/>
  <c r="B89" i="16"/>
  <c r="E89" i="16"/>
  <c r="C89" i="16"/>
  <c r="A90" i="16"/>
  <c r="D89" i="16"/>
  <c r="E44" i="13"/>
  <c r="D44" i="13"/>
  <c r="C44" i="13"/>
  <c r="B44" i="13"/>
  <c r="A45" i="13"/>
  <c r="A64" i="3"/>
  <c r="A58" i="9"/>
  <c r="A39" i="3"/>
  <c r="A192" i="9"/>
  <c r="B45" i="11" l="1"/>
  <c r="D45" i="11"/>
  <c r="E45" i="11"/>
  <c r="E46" i="11" s="1"/>
  <c r="J24" i="2" s="1"/>
  <c r="N24" i="2" s="1"/>
  <c r="Q24" i="2" s="1"/>
  <c r="C45" i="11"/>
  <c r="D49" i="10"/>
  <c r="A50" i="10"/>
  <c r="C49" i="10"/>
  <c r="B49" i="10"/>
  <c r="E49" i="10"/>
  <c r="D192" i="9"/>
  <c r="E192" i="9"/>
  <c r="C192" i="9"/>
  <c r="B192" i="9"/>
  <c r="C58" i="9"/>
  <c r="D58" i="9"/>
  <c r="E58" i="9"/>
  <c r="B58" i="9"/>
  <c r="D39" i="3"/>
  <c r="C39" i="3"/>
  <c r="B39" i="3"/>
  <c r="E39" i="3"/>
  <c r="A75" i="4"/>
  <c r="E74" i="4"/>
  <c r="D74" i="4"/>
  <c r="C74" i="4"/>
  <c r="B74" i="4"/>
  <c r="E127" i="14"/>
  <c r="D127" i="14"/>
  <c r="C127" i="14"/>
  <c r="A128" i="14"/>
  <c r="B127" i="14"/>
  <c r="B45" i="6"/>
  <c r="A46" i="6"/>
  <c r="E45" i="6"/>
  <c r="D45" i="6"/>
  <c r="C45" i="6"/>
  <c r="C44" i="15"/>
  <c r="B44" i="15"/>
  <c r="E44" i="15"/>
  <c r="E45" i="15" s="1"/>
  <c r="J13" i="2" s="1"/>
  <c r="D44" i="15"/>
  <c r="P20" i="1"/>
  <c r="L21" i="1"/>
  <c r="A63" i="18"/>
  <c r="D62" i="18"/>
  <c r="C62" i="18"/>
  <c r="B62" i="18"/>
  <c r="E62" i="18"/>
  <c r="D64" i="3"/>
  <c r="C64" i="3"/>
  <c r="A65" i="3"/>
  <c r="E64" i="3"/>
  <c r="B64" i="3"/>
  <c r="D44" i="17"/>
  <c r="C44" i="17"/>
  <c r="B44" i="17"/>
  <c r="A45" i="17"/>
  <c r="E44" i="17"/>
  <c r="E48" i="4"/>
  <c r="D48" i="4"/>
  <c r="A49" i="4"/>
  <c r="C48" i="4"/>
  <c r="B48" i="4"/>
  <c r="E51" i="12"/>
  <c r="D51" i="12"/>
  <c r="C51" i="12"/>
  <c r="A52" i="12"/>
  <c r="B51" i="12"/>
  <c r="A37" i="5"/>
  <c r="E36" i="5"/>
  <c r="C36" i="5"/>
  <c r="B36" i="5"/>
  <c r="D36" i="5"/>
  <c r="E42" i="14"/>
  <c r="D42" i="14"/>
  <c r="A43" i="14"/>
  <c r="B42" i="14"/>
  <c r="C42" i="14"/>
  <c r="B35" i="18"/>
  <c r="A36" i="18"/>
  <c r="E35" i="18"/>
  <c r="D35" i="18"/>
  <c r="C35" i="18"/>
  <c r="D45" i="13"/>
  <c r="C45" i="13"/>
  <c r="E45" i="13"/>
  <c r="E46" i="13" s="1"/>
  <c r="J21" i="2" s="1"/>
  <c r="B45" i="13"/>
  <c r="D90" i="16"/>
  <c r="A91" i="16"/>
  <c r="E90" i="16"/>
  <c r="C90" i="16"/>
  <c r="B90" i="16"/>
  <c r="D80" i="6"/>
  <c r="C80" i="6"/>
  <c r="A81" i="6"/>
  <c r="E80" i="6"/>
  <c r="B80" i="6"/>
  <c r="N23" i="2"/>
  <c r="Q23" i="2" s="1"/>
  <c r="E54" i="8"/>
  <c r="D54" i="8"/>
  <c r="A55" i="8"/>
  <c r="C54" i="8"/>
  <c r="B54" i="8"/>
  <c r="B70" i="16"/>
  <c r="E70" i="16"/>
  <c r="E71" i="16" s="1"/>
  <c r="J18" i="2" s="1"/>
  <c r="C70" i="16"/>
  <c r="D70" i="16"/>
  <c r="A59" i="9"/>
  <c r="A40" i="3"/>
  <c r="A193" i="9"/>
  <c r="D50" i="10" l="1"/>
  <c r="A51" i="10"/>
  <c r="E50" i="10"/>
  <c r="B50" i="10"/>
  <c r="C50" i="10"/>
  <c r="D59" i="9"/>
  <c r="C59" i="9"/>
  <c r="E59" i="9"/>
  <c r="B59" i="9"/>
  <c r="C193" i="9"/>
  <c r="B193" i="9"/>
  <c r="E193" i="9"/>
  <c r="D193" i="9"/>
  <c r="E36" i="18"/>
  <c r="C36" i="18"/>
  <c r="D36" i="18"/>
  <c r="B36" i="18"/>
  <c r="A37" i="18"/>
  <c r="D128" i="14"/>
  <c r="E128" i="14"/>
  <c r="C128" i="14"/>
  <c r="A129" i="14"/>
  <c r="B128" i="14"/>
  <c r="B75" i="4"/>
  <c r="A76" i="4"/>
  <c r="C75" i="4"/>
  <c r="E75" i="4"/>
  <c r="D75" i="4"/>
  <c r="C37" i="5"/>
  <c r="D37" i="5"/>
  <c r="B37" i="5"/>
  <c r="A38" i="5"/>
  <c r="E37" i="5"/>
  <c r="C49" i="4"/>
  <c r="A50" i="4"/>
  <c r="E49" i="4"/>
  <c r="D49" i="4"/>
  <c r="B49" i="4"/>
  <c r="B40" i="3"/>
  <c r="D40" i="3"/>
  <c r="C40" i="3"/>
  <c r="E40" i="3"/>
  <c r="C63" i="18"/>
  <c r="B63" i="18"/>
  <c r="A64" i="18"/>
  <c r="E63" i="18"/>
  <c r="D63" i="18"/>
  <c r="C81" i="6"/>
  <c r="B81" i="6"/>
  <c r="D81" i="6"/>
  <c r="A82" i="6"/>
  <c r="E81" i="6"/>
  <c r="C55" i="8"/>
  <c r="B55" i="8"/>
  <c r="A56" i="8"/>
  <c r="E55" i="8"/>
  <c r="D55" i="8"/>
  <c r="L22" i="1"/>
  <c r="P21" i="1"/>
  <c r="N21" i="2"/>
  <c r="Q21" i="2" s="1"/>
  <c r="B65" i="3"/>
  <c r="A66" i="3"/>
  <c r="E65" i="3"/>
  <c r="D65" i="3"/>
  <c r="C65" i="3"/>
  <c r="E46" i="6"/>
  <c r="D46" i="6"/>
  <c r="A47" i="6"/>
  <c r="B46" i="6"/>
  <c r="C46" i="6"/>
  <c r="C91" i="16"/>
  <c r="B91" i="16"/>
  <c r="D91" i="16"/>
  <c r="A92" i="16"/>
  <c r="E91" i="16"/>
  <c r="D52" i="12"/>
  <c r="C52" i="12"/>
  <c r="A53" i="12"/>
  <c r="E52" i="12"/>
  <c r="B52" i="12"/>
  <c r="D43" i="14"/>
  <c r="A44" i="14"/>
  <c r="E43" i="14"/>
  <c r="B43" i="14"/>
  <c r="C43" i="14"/>
  <c r="D45" i="17"/>
  <c r="A46" i="17"/>
  <c r="B45" i="17"/>
  <c r="E45" i="17"/>
  <c r="C45" i="17"/>
  <c r="N13" i="2"/>
  <c r="Q13" i="2" s="1"/>
  <c r="A60" i="9"/>
  <c r="A41" i="3"/>
  <c r="A194" i="9"/>
  <c r="D51" i="10" l="1"/>
  <c r="A52" i="10"/>
  <c r="C51" i="10"/>
  <c r="B51" i="10"/>
  <c r="E51" i="10"/>
  <c r="E194" i="9"/>
  <c r="B194" i="9"/>
  <c r="C194" i="9"/>
  <c r="D194" i="9"/>
  <c r="C60" i="9"/>
  <c r="D60" i="9"/>
  <c r="B60" i="9"/>
  <c r="E60" i="9"/>
  <c r="E76" i="4"/>
  <c r="D76" i="4"/>
  <c r="C76" i="4"/>
  <c r="B76" i="4"/>
  <c r="A77" i="4"/>
  <c r="A38" i="18"/>
  <c r="D37" i="18"/>
  <c r="B37" i="18"/>
  <c r="C37" i="18"/>
  <c r="E37" i="18"/>
  <c r="E66" i="3"/>
  <c r="B66" i="3"/>
  <c r="A67" i="3"/>
  <c r="C66" i="3"/>
  <c r="D66" i="3"/>
  <c r="A48" i="6"/>
  <c r="E47" i="6"/>
  <c r="D47" i="6"/>
  <c r="C47" i="6"/>
  <c r="B47" i="6"/>
  <c r="A45" i="14"/>
  <c r="C44" i="14"/>
  <c r="B44" i="14"/>
  <c r="E44" i="14"/>
  <c r="D44" i="14"/>
  <c r="A47" i="17" a="1"/>
  <c r="A47" i="17" s="1"/>
  <c r="C46" i="17"/>
  <c r="B46" i="17"/>
  <c r="E46" i="17"/>
  <c r="D46" i="17"/>
  <c r="A65" i="18"/>
  <c r="E64" i="18"/>
  <c r="D64" i="18"/>
  <c r="B64" i="18"/>
  <c r="C64" i="18"/>
  <c r="A57" i="8"/>
  <c r="E56" i="8"/>
  <c r="D56" i="8"/>
  <c r="C56" i="8"/>
  <c r="B56" i="8"/>
  <c r="E41" i="3"/>
  <c r="B41" i="3"/>
  <c r="D41" i="3"/>
  <c r="C41" i="3"/>
  <c r="D38" i="5"/>
  <c r="C38" i="5"/>
  <c r="E38" i="5"/>
  <c r="B38" i="5"/>
  <c r="A39" i="5"/>
  <c r="A54" i="12"/>
  <c r="E53" i="12"/>
  <c r="D53" i="12"/>
  <c r="B53" i="12"/>
  <c r="C53" i="12"/>
  <c r="B92" i="16"/>
  <c r="E92" i="16"/>
  <c r="D92" i="16"/>
  <c r="C92" i="16"/>
  <c r="A93" i="16"/>
  <c r="A83" i="6"/>
  <c r="E82" i="6"/>
  <c r="D82" i="6"/>
  <c r="C82" i="6"/>
  <c r="B82" i="6"/>
  <c r="C129" i="14"/>
  <c r="E129" i="14"/>
  <c r="A130" i="14"/>
  <c r="D129" i="14"/>
  <c r="B129" i="14"/>
  <c r="P22" i="1"/>
  <c r="L23" i="1"/>
  <c r="A51" i="4"/>
  <c r="C50" i="4"/>
  <c r="B50" i="4"/>
  <c r="D50" i="4"/>
  <c r="E50" i="4"/>
  <c r="A42" i="3"/>
  <c r="A195" i="9"/>
  <c r="A61" i="9"/>
  <c r="A53" i="10" l="1"/>
  <c r="B52" i="10"/>
  <c r="D52" i="10"/>
  <c r="C52" i="10"/>
  <c r="E52" i="10"/>
  <c r="D61" i="9"/>
  <c r="C61" i="9"/>
  <c r="B61" i="9"/>
  <c r="E61" i="9"/>
  <c r="E195" i="9"/>
  <c r="C195" i="9"/>
  <c r="B195" i="9"/>
  <c r="D195" i="9"/>
  <c r="A52" i="4"/>
  <c r="E51" i="4"/>
  <c r="C51" i="4"/>
  <c r="D51" i="4"/>
  <c r="B51" i="4"/>
  <c r="C38" i="18"/>
  <c r="A39" i="18"/>
  <c r="E38" i="18"/>
  <c r="D38" i="18"/>
  <c r="B38" i="18"/>
  <c r="P23" i="1"/>
  <c r="L24" i="1"/>
  <c r="C48" i="6"/>
  <c r="B48" i="6"/>
  <c r="A49" i="6"/>
  <c r="E48" i="6"/>
  <c r="D48" i="6"/>
  <c r="A78" i="4"/>
  <c r="C77" i="4"/>
  <c r="B77" i="4"/>
  <c r="E77" i="4"/>
  <c r="D77" i="4"/>
  <c r="E65" i="18"/>
  <c r="B65" i="18"/>
  <c r="A66" i="18"/>
  <c r="C65" i="18"/>
  <c r="D65" i="18"/>
  <c r="A46" i="14"/>
  <c r="C45" i="14"/>
  <c r="D45" i="14"/>
  <c r="B45" i="14"/>
  <c r="E45" i="14"/>
  <c r="D83" i="6"/>
  <c r="A84" i="6"/>
  <c r="E83" i="6"/>
  <c r="B83" i="6"/>
  <c r="C83" i="6"/>
  <c r="A58" i="8"/>
  <c r="E57" i="8"/>
  <c r="B57" i="8"/>
  <c r="C57" i="8"/>
  <c r="D57" i="8"/>
  <c r="E67" i="3"/>
  <c r="D67" i="3"/>
  <c r="C67" i="3"/>
  <c r="B67" i="3"/>
  <c r="A68" i="3"/>
  <c r="A131" i="14"/>
  <c r="C130" i="14"/>
  <c r="E130" i="14"/>
  <c r="D130" i="14"/>
  <c r="B130" i="14"/>
  <c r="E93" i="16"/>
  <c r="A94" i="16"/>
  <c r="D93" i="16"/>
  <c r="C93" i="16"/>
  <c r="B93" i="16"/>
  <c r="B54" i="12"/>
  <c r="A55" i="12"/>
  <c r="E54" i="12"/>
  <c r="D54" i="12"/>
  <c r="C54" i="12"/>
  <c r="E42" i="3"/>
  <c r="D42" i="3"/>
  <c r="C42" i="3"/>
  <c r="B42" i="3"/>
  <c r="A40" i="5"/>
  <c r="C39" i="5"/>
  <c r="E39" i="5"/>
  <c r="B39" i="5"/>
  <c r="D39" i="5"/>
  <c r="E47" i="17"/>
  <c r="E48" i="17" s="1"/>
  <c r="J15" i="2" s="1"/>
  <c r="D47" i="17"/>
  <c r="B47" i="17"/>
  <c r="C47" i="17"/>
  <c r="A43" i="3"/>
  <c r="A196" i="9"/>
  <c r="A62" i="9"/>
  <c r="E53" i="10" l="1"/>
  <c r="B53" i="10"/>
  <c r="D53" i="10"/>
  <c r="C53" i="10"/>
  <c r="A54" i="10"/>
  <c r="D196" i="9"/>
  <c r="C196" i="9"/>
  <c r="B196" i="9"/>
  <c r="E196" i="9"/>
  <c r="C43" i="3"/>
  <c r="E43" i="3"/>
  <c r="B43" i="3"/>
  <c r="D43" i="3"/>
  <c r="C68" i="3"/>
  <c r="E68" i="3"/>
  <c r="D68" i="3"/>
  <c r="B68" i="3"/>
  <c r="A69" i="3"/>
  <c r="P24" i="1"/>
  <c r="L25" i="1"/>
  <c r="D58" i="8"/>
  <c r="C58" i="8"/>
  <c r="A59" i="8"/>
  <c r="E58" i="8"/>
  <c r="B58" i="8"/>
  <c r="C78" i="4"/>
  <c r="B78" i="4"/>
  <c r="A79" i="4"/>
  <c r="D78" i="4"/>
  <c r="E78" i="4"/>
  <c r="B62" i="9"/>
  <c r="E62" i="9"/>
  <c r="D62" i="9"/>
  <c r="C62" i="9"/>
  <c r="D46" i="14"/>
  <c r="B46" i="14"/>
  <c r="A47" i="14"/>
  <c r="E46" i="14"/>
  <c r="C46" i="14"/>
  <c r="N15" i="2"/>
  <c r="Q15" i="2" s="1"/>
  <c r="E131" i="14"/>
  <c r="B131" i="14"/>
  <c r="D131" i="14"/>
  <c r="A132" i="14"/>
  <c r="C131" i="14"/>
  <c r="B40" i="5"/>
  <c r="E40" i="5"/>
  <c r="D40" i="5"/>
  <c r="A41" i="5"/>
  <c r="C40" i="5"/>
  <c r="D52" i="4"/>
  <c r="E52" i="4"/>
  <c r="C52" i="4"/>
  <c r="B52" i="4"/>
  <c r="A53" i="4"/>
  <c r="E55" i="12"/>
  <c r="D55" i="12"/>
  <c r="A56" i="12"/>
  <c r="C55" i="12"/>
  <c r="B55" i="12"/>
  <c r="D94" i="16"/>
  <c r="C94" i="16"/>
  <c r="B94" i="16"/>
  <c r="A95" i="16"/>
  <c r="E94" i="16"/>
  <c r="D66" i="18"/>
  <c r="C66" i="18"/>
  <c r="B66" i="18"/>
  <c r="A67" i="18"/>
  <c r="E66" i="18"/>
  <c r="D84" i="6"/>
  <c r="C84" i="6"/>
  <c r="A85" i="6"/>
  <c r="E84" i="6"/>
  <c r="B84" i="6"/>
  <c r="A50" i="6"/>
  <c r="E49" i="6"/>
  <c r="C49" i="6"/>
  <c r="B49" i="6"/>
  <c r="D49" i="6"/>
  <c r="A40" i="18"/>
  <c r="D39" i="18"/>
  <c r="B39" i="18"/>
  <c r="C39" i="18"/>
  <c r="E39" i="18"/>
  <c r="A197" i="9"/>
  <c r="A63" i="9"/>
  <c r="A44" i="3"/>
  <c r="E54" i="10" l="1"/>
  <c r="D54" i="10"/>
  <c r="C54" i="10"/>
  <c r="A55" i="10"/>
  <c r="B54" i="10"/>
  <c r="C197" i="9"/>
  <c r="E197" i="9"/>
  <c r="D197" i="9"/>
  <c r="B197" i="9"/>
  <c r="E41" i="5"/>
  <c r="D41" i="5"/>
  <c r="C41" i="5"/>
  <c r="B41" i="5"/>
  <c r="A42" i="5"/>
  <c r="A51" i="6"/>
  <c r="C50" i="6"/>
  <c r="B50" i="6"/>
  <c r="E50" i="6"/>
  <c r="D50" i="6"/>
  <c r="D132" i="14"/>
  <c r="B132" i="14"/>
  <c r="C132" i="14"/>
  <c r="A133" i="14"/>
  <c r="E132" i="14"/>
  <c r="A48" i="14"/>
  <c r="E47" i="14"/>
  <c r="B47" i="14"/>
  <c r="D47" i="14"/>
  <c r="C47" i="14"/>
  <c r="C44" i="3"/>
  <c r="B44" i="3"/>
  <c r="D44" i="3"/>
  <c r="E44" i="3"/>
  <c r="A80" i="4"/>
  <c r="E79" i="4"/>
  <c r="C79" i="4"/>
  <c r="B79" i="4"/>
  <c r="D79" i="4"/>
  <c r="P25" i="1"/>
  <c r="L26" i="1"/>
  <c r="C95" i="16"/>
  <c r="A96" i="16"/>
  <c r="D95" i="16"/>
  <c r="E95" i="16"/>
  <c r="B95" i="16"/>
  <c r="B56" i="12"/>
  <c r="A57" i="12"/>
  <c r="D56" i="12"/>
  <c r="C56" i="12"/>
  <c r="E56" i="12"/>
  <c r="E40" i="18"/>
  <c r="A41" i="18"/>
  <c r="D40" i="18"/>
  <c r="C40" i="18"/>
  <c r="B40" i="18"/>
  <c r="A86" i="6"/>
  <c r="D85" i="6"/>
  <c r="E85" i="6"/>
  <c r="C85" i="6"/>
  <c r="B85" i="6"/>
  <c r="A70" i="3"/>
  <c r="C69" i="3"/>
  <c r="B69" i="3"/>
  <c r="E69" i="3"/>
  <c r="D69" i="3"/>
  <c r="D53" i="4"/>
  <c r="C53" i="4"/>
  <c r="A54" i="4"/>
  <c r="E53" i="4"/>
  <c r="B53" i="4"/>
  <c r="A68" i="18"/>
  <c r="E67" i="18"/>
  <c r="C67" i="18"/>
  <c r="D67" i="18"/>
  <c r="B67" i="18"/>
  <c r="B63" i="9"/>
  <c r="C63" i="9"/>
  <c r="D63" i="9"/>
  <c r="E63" i="9"/>
  <c r="A60" i="8"/>
  <c r="E59" i="8"/>
  <c r="B59" i="8"/>
  <c r="C59" i="8"/>
  <c r="D59" i="8"/>
  <c r="A45" i="3"/>
  <c r="A64" i="9"/>
  <c r="A198" i="9"/>
  <c r="B55" i="10" l="1"/>
  <c r="A56" i="10"/>
  <c r="E55" i="10"/>
  <c r="D55" i="10"/>
  <c r="C55" i="10"/>
  <c r="B198" i="9"/>
  <c r="E198" i="9"/>
  <c r="D198" i="9"/>
  <c r="C198" i="9"/>
  <c r="E64" i="9"/>
  <c r="D64" i="9"/>
  <c r="C64" i="9"/>
  <c r="B64" i="9"/>
  <c r="A71" i="3"/>
  <c r="E70" i="3"/>
  <c r="B70" i="3"/>
  <c r="D70" i="3"/>
  <c r="C70" i="3"/>
  <c r="C80" i="4"/>
  <c r="B80" i="4"/>
  <c r="A81" i="4"/>
  <c r="E80" i="4"/>
  <c r="D80" i="4"/>
  <c r="B54" i="4"/>
  <c r="A55" i="4" a="1"/>
  <c r="A55" i="4" s="1"/>
  <c r="E54" i="4"/>
  <c r="D54" i="4"/>
  <c r="C54" i="4"/>
  <c r="P26" i="1"/>
  <c r="L27" i="1"/>
  <c r="B48" i="14"/>
  <c r="A49" i="14"/>
  <c r="D48" i="14"/>
  <c r="E48" i="14"/>
  <c r="C48" i="14"/>
  <c r="D41" i="18"/>
  <c r="B41" i="18"/>
  <c r="E41" i="18"/>
  <c r="C41" i="18"/>
  <c r="A42" i="18"/>
  <c r="A97" i="16"/>
  <c r="C96" i="16"/>
  <c r="B96" i="16"/>
  <c r="E96" i="16"/>
  <c r="D96" i="16"/>
  <c r="A134" i="14"/>
  <c r="E133" i="14"/>
  <c r="E144" i="14" s="1"/>
  <c r="L17" i="2" s="1"/>
  <c r="C133" i="14"/>
  <c r="B133" i="14"/>
  <c r="D133" i="14"/>
  <c r="D51" i="6"/>
  <c r="C51" i="6"/>
  <c r="B51" i="6"/>
  <c r="A52" i="6"/>
  <c r="E51" i="6"/>
  <c r="B86" i="6"/>
  <c r="A87" i="6"/>
  <c r="E86" i="6"/>
  <c r="C86" i="6"/>
  <c r="D86" i="6"/>
  <c r="E45" i="3"/>
  <c r="D45" i="3"/>
  <c r="C45" i="3"/>
  <c r="B45" i="3"/>
  <c r="E42" i="5"/>
  <c r="D42" i="5"/>
  <c r="C42" i="5"/>
  <c r="A43" i="5"/>
  <c r="B42" i="5"/>
  <c r="B60" i="8"/>
  <c r="C60" i="8"/>
  <c r="A61" i="8"/>
  <c r="E60" i="8"/>
  <c r="D60" i="8"/>
  <c r="B68" i="18"/>
  <c r="A69" i="18"/>
  <c r="C68" i="18"/>
  <c r="D68" i="18"/>
  <c r="E68" i="18"/>
  <c r="C57" i="12"/>
  <c r="B57" i="12"/>
  <c r="A58" i="12"/>
  <c r="E57" i="12"/>
  <c r="D57" i="12"/>
  <c r="A65" i="9"/>
  <c r="A46" i="3"/>
  <c r="A199" i="9"/>
  <c r="A57" i="10" l="1"/>
  <c r="C56" i="10"/>
  <c r="B56" i="10"/>
  <c r="E56" i="10"/>
  <c r="D56" i="10"/>
  <c r="E199" i="9"/>
  <c r="D199" i="9"/>
  <c r="C199" i="9"/>
  <c r="B199" i="9"/>
  <c r="E69" i="18"/>
  <c r="D69" i="18"/>
  <c r="C69" i="18"/>
  <c r="A70" i="18"/>
  <c r="B69" i="18"/>
  <c r="B65" i="9"/>
  <c r="E65" i="9"/>
  <c r="D65" i="9"/>
  <c r="C65" i="9"/>
  <c r="E87" i="6"/>
  <c r="D87" i="6"/>
  <c r="A88" i="6"/>
  <c r="C87" i="6"/>
  <c r="B87" i="6"/>
  <c r="A98" i="16"/>
  <c r="E97" i="16"/>
  <c r="B97" i="16"/>
  <c r="D97" i="16"/>
  <c r="C97" i="16"/>
  <c r="E55" i="4"/>
  <c r="E56" i="4" s="1"/>
  <c r="J19" i="2" s="1"/>
  <c r="B55" i="4"/>
  <c r="C55" i="4"/>
  <c r="D55" i="4"/>
  <c r="A53" i="6"/>
  <c r="C52" i="6"/>
  <c r="B52" i="6"/>
  <c r="E52" i="6"/>
  <c r="D52" i="6"/>
  <c r="E42" i="18"/>
  <c r="C42" i="18"/>
  <c r="A43" i="18"/>
  <c r="D42" i="18"/>
  <c r="B42" i="18"/>
  <c r="E49" i="14"/>
  <c r="A50" i="14"/>
  <c r="D49" i="14"/>
  <c r="C49" i="14"/>
  <c r="B49" i="14"/>
  <c r="E61" i="8"/>
  <c r="D61" i="8"/>
  <c r="B61" i="8"/>
  <c r="C61" i="8"/>
  <c r="A62" i="8"/>
  <c r="P27" i="1"/>
  <c r="L28" i="1"/>
  <c r="D71" i="3"/>
  <c r="A72" i="3"/>
  <c r="C71" i="3"/>
  <c r="E71" i="3"/>
  <c r="B71" i="3"/>
  <c r="C43" i="5"/>
  <c r="B43" i="5"/>
  <c r="E43" i="5"/>
  <c r="A44" i="5"/>
  <c r="D43" i="5"/>
  <c r="D46" i="3"/>
  <c r="E46" i="3"/>
  <c r="C46" i="3"/>
  <c r="B46" i="3"/>
  <c r="D81" i="4"/>
  <c r="C81" i="4"/>
  <c r="E81" i="4"/>
  <c r="B81" i="4"/>
  <c r="A82" i="4"/>
  <c r="A59" i="12"/>
  <c r="E58" i="12"/>
  <c r="B58" i="12"/>
  <c r="C58" i="12"/>
  <c r="D58" i="12"/>
  <c r="C134" i="14"/>
  <c r="B134" i="14"/>
  <c r="A135" i="14"/>
  <c r="E134" i="14"/>
  <c r="D134" i="14"/>
  <c r="A66" i="9"/>
  <c r="A200" i="9"/>
  <c r="A47" i="3"/>
  <c r="C57" i="10" l="1"/>
  <c r="D57" i="10"/>
  <c r="B57" i="10"/>
  <c r="A58" i="10"/>
  <c r="E57" i="10"/>
  <c r="D200" i="9"/>
  <c r="C200" i="9"/>
  <c r="B200" i="9"/>
  <c r="E200" i="9"/>
  <c r="E44" i="5"/>
  <c r="A45" i="5" a="1"/>
  <c r="A45" i="5" s="1"/>
  <c r="D44" i="5"/>
  <c r="B44" i="5"/>
  <c r="C44" i="5"/>
  <c r="D98" i="16"/>
  <c r="B98" i="16"/>
  <c r="E98" i="16"/>
  <c r="C98" i="16"/>
  <c r="A99" i="16"/>
  <c r="A136" i="14"/>
  <c r="E135" i="14"/>
  <c r="D135" i="14"/>
  <c r="C135" i="14"/>
  <c r="B135" i="14"/>
  <c r="A83" i="4"/>
  <c r="C82" i="4"/>
  <c r="E82" i="4"/>
  <c r="D82" i="4"/>
  <c r="B82" i="4"/>
  <c r="D47" i="3"/>
  <c r="C47" i="3"/>
  <c r="E47" i="3"/>
  <c r="B47" i="3"/>
  <c r="D72" i="3"/>
  <c r="C72" i="3"/>
  <c r="E72" i="3"/>
  <c r="B72" i="3"/>
  <c r="A73" i="3"/>
  <c r="E50" i="14"/>
  <c r="B50" i="14"/>
  <c r="C50" i="14"/>
  <c r="D50" i="14"/>
  <c r="A51" i="14"/>
  <c r="B53" i="6"/>
  <c r="C53" i="6"/>
  <c r="A54" i="6"/>
  <c r="E53" i="6"/>
  <c r="D53" i="6"/>
  <c r="L29" i="1"/>
  <c r="P28" i="1"/>
  <c r="C66" i="9"/>
  <c r="E66" i="9"/>
  <c r="B66" i="9"/>
  <c r="D66" i="9"/>
  <c r="C62" i="8"/>
  <c r="B62" i="8"/>
  <c r="A63" i="8"/>
  <c r="E62" i="8"/>
  <c r="D62" i="8"/>
  <c r="B43" i="18"/>
  <c r="A44" i="18"/>
  <c r="E43" i="18"/>
  <c r="D43" i="18"/>
  <c r="C43" i="18"/>
  <c r="N19" i="2"/>
  <c r="Q19" i="2" s="1"/>
  <c r="A89" i="6"/>
  <c r="E88" i="6"/>
  <c r="B88" i="6"/>
  <c r="D88" i="6"/>
  <c r="C88" i="6"/>
  <c r="A60" i="12"/>
  <c r="C59" i="12"/>
  <c r="E59" i="12"/>
  <c r="D59" i="12"/>
  <c r="B59" i="12"/>
  <c r="D70" i="18"/>
  <c r="E70" i="18"/>
  <c r="E71" i="18" s="1"/>
  <c r="C70" i="18"/>
  <c r="B70" i="18"/>
  <c r="A67" i="9"/>
  <c r="A201" i="9"/>
  <c r="A48" i="3"/>
  <c r="B58" i="10" l="1"/>
  <c r="A59" i="10"/>
  <c r="C58" i="10"/>
  <c r="E58" i="10"/>
  <c r="D58" i="10"/>
  <c r="C201" i="9"/>
  <c r="B201" i="9"/>
  <c r="D201" i="9"/>
  <c r="E201" i="9"/>
  <c r="E54" i="6"/>
  <c r="D54" i="6"/>
  <c r="C54" i="6"/>
  <c r="B54" i="6"/>
  <c r="A55" i="6"/>
  <c r="C51" i="14"/>
  <c r="E51" i="14"/>
  <c r="D51" i="14"/>
  <c r="B51" i="14"/>
  <c r="A52" i="14"/>
  <c r="C136" i="14"/>
  <c r="D136" i="14"/>
  <c r="B136" i="14"/>
  <c r="A137" i="14"/>
  <c r="E136" i="14"/>
  <c r="A100" i="16"/>
  <c r="E99" i="16"/>
  <c r="D99" i="16"/>
  <c r="C99" i="16"/>
  <c r="B99" i="16"/>
  <c r="D45" i="5"/>
  <c r="E45" i="5"/>
  <c r="E46" i="5" s="1"/>
  <c r="J22" i="2" s="1"/>
  <c r="C45" i="5"/>
  <c r="B45" i="5"/>
  <c r="D67" i="9"/>
  <c r="E67" i="9"/>
  <c r="C67" i="9"/>
  <c r="B67" i="9"/>
  <c r="C89" i="6"/>
  <c r="B89" i="6"/>
  <c r="A90" i="6"/>
  <c r="E89" i="6"/>
  <c r="D89" i="6"/>
  <c r="B83" i="4"/>
  <c r="E83" i="4"/>
  <c r="D83" i="4"/>
  <c r="C83" i="4"/>
  <c r="A84" i="4" a="1"/>
  <c r="A84" i="4" s="1"/>
  <c r="C63" i="8"/>
  <c r="B63" i="8"/>
  <c r="D63" i="8"/>
  <c r="E63" i="8"/>
  <c r="A64" i="8"/>
  <c r="B48" i="3"/>
  <c r="E48" i="3"/>
  <c r="C48" i="3"/>
  <c r="D48" i="3"/>
  <c r="E44" i="18"/>
  <c r="C44" i="18"/>
  <c r="B44" i="18"/>
  <c r="A45" i="18"/>
  <c r="D44" i="18"/>
  <c r="D60" i="12"/>
  <c r="C60" i="12"/>
  <c r="B60" i="12"/>
  <c r="E60" i="12"/>
  <c r="A61" i="12"/>
  <c r="P29" i="1"/>
  <c r="L30" i="1"/>
  <c r="B73" i="3"/>
  <c r="A74" i="3"/>
  <c r="E73" i="3"/>
  <c r="D73" i="3"/>
  <c r="C73" i="3"/>
  <c r="A68" i="9"/>
  <c r="A202" i="9"/>
  <c r="A49" i="3"/>
  <c r="E59" i="10" l="1"/>
  <c r="D59" i="10"/>
  <c r="B59" i="10"/>
  <c r="A60" i="10"/>
  <c r="C59" i="10"/>
  <c r="E202" i="9"/>
  <c r="B202" i="9"/>
  <c r="D202" i="9"/>
  <c r="C202" i="9"/>
  <c r="P30" i="1"/>
  <c r="L31" i="1"/>
  <c r="A53" i="14"/>
  <c r="D52" i="14"/>
  <c r="E52" i="14"/>
  <c r="C52" i="14"/>
  <c r="B52" i="14"/>
  <c r="A46" i="18"/>
  <c r="D45" i="18"/>
  <c r="B45" i="18"/>
  <c r="C45" i="18"/>
  <c r="E45" i="18"/>
  <c r="E68" i="9"/>
  <c r="D68" i="9"/>
  <c r="C68" i="9"/>
  <c r="B68" i="9"/>
  <c r="B100" i="16"/>
  <c r="C100" i="16"/>
  <c r="E100" i="16"/>
  <c r="D100" i="16"/>
  <c r="A101" i="16"/>
  <c r="A62" i="12"/>
  <c r="C61" i="12"/>
  <c r="D61" i="12"/>
  <c r="B61" i="12"/>
  <c r="E61" i="12"/>
  <c r="D84" i="4"/>
  <c r="C84" i="4"/>
  <c r="B84" i="4"/>
  <c r="E84" i="4"/>
  <c r="E49" i="3"/>
  <c r="B49" i="3"/>
  <c r="D49" i="3"/>
  <c r="C49" i="3"/>
  <c r="N22" i="2"/>
  <c r="Q22" i="2" s="1"/>
  <c r="D137" i="14"/>
  <c r="C137" i="14"/>
  <c r="E137" i="14"/>
  <c r="A138" i="14"/>
  <c r="B137" i="14"/>
  <c r="C55" i="6"/>
  <c r="A56" i="6"/>
  <c r="E55" i="6"/>
  <c r="B55" i="6"/>
  <c r="D55" i="6"/>
  <c r="E90" i="6"/>
  <c r="A91" i="6" a="1"/>
  <c r="A91" i="6" s="1"/>
  <c r="D90" i="6"/>
  <c r="C90" i="6"/>
  <c r="B90" i="6"/>
  <c r="E74" i="3"/>
  <c r="B74" i="3"/>
  <c r="A75" i="3"/>
  <c r="D74" i="3"/>
  <c r="C74" i="3"/>
  <c r="A65" i="8"/>
  <c r="E64" i="8"/>
  <c r="C64" i="8"/>
  <c r="B64" i="8"/>
  <c r="D64" i="8"/>
  <c r="A203" i="9"/>
  <c r="A50" i="3"/>
  <c r="A69" i="9"/>
  <c r="E60" i="10" l="1"/>
  <c r="B60" i="10"/>
  <c r="C60" i="10"/>
  <c r="D60" i="10"/>
  <c r="A61" i="10"/>
  <c r="E203" i="9"/>
  <c r="B203" i="9"/>
  <c r="D203" i="9"/>
  <c r="C203" i="9"/>
  <c r="D53" i="14"/>
  <c r="C53" i="14"/>
  <c r="A54" i="14"/>
  <c r="E53" i="14"/>
  <c r="B53" i="14"/>
  <c r="C56" i="6"/>
  <c r="B56" i="6"/>
  <c r="E56" i="6"/>
  <c r="D56" i="6"/>
  <c r="A57" i="6"/>
  <c r="A139" i="14"/>
  <c r="C138" i="14"/>
  <c r="E138" i="14"/>
  <c r="D138" i="14"/>
  <c r="B138" i="14"/>
  <c r="P31" i="1"/>
  <c r="L32" i="1"/>
  <c r="D65" i="8"/>
  <c r="E65" i="8"/>
  <c r="C65" i="8"/>
  <c r="A66" i="8"/>
  <c r="B65" i="8"/>
  <c r="D69" i="9"/>
  <c r="C69" i="9"/>
  <c r="B69" i="9"/>
  <c r="E69" i="9"/>
  <c r="C46" i="18"/>
  <c r="E46" i="18"/>
  <c r="D46" i="18"/>
  <c r="B46" i="18"/>
  <c r="A47" i="18"/>
  <c r="E75" i="3"/>
  <c r="D75" i="3"/>
  <c r="B75" i="3"/>
  <c r="A76" i="3"/>
  <c r="C75" i="3"/>
  <c r="E91" i="6"/>
  <c r="B91" i="6"/>
  <c r="C91" i="6"/>
  <c r="D91" i="6"/>
  <c r="B62" i="12"/>
  <c r="D62" i="12"/>
  <c r="C62" i="12"/>
  <c r="A63" i="12"/>
  <c r="E62" i="12"/>
  <c r="E101" i="16"/>
  <c r="E102" i="16" s="1"/>
  <c r="L18" i="2" s="1"/>
  <c r="D101" i="16"/>
  <c r="C101" i="16"/>
  <c r="B101" i="16"/>
  <c r="E50" i="3"/>
  <c r="D50" i="3"/>
  <c r="C50" i="3"/>
  <c r="B50" i="3"/>
  <c r="A51" i="3"/>
  <c r="A70" i="9"/>
  <c r="A204" i="9"/>
  <c r="A62" i="10" l="1"/>
  <c r="E61" i="10"/>
  <c r="B61" i="10"/>
  <c r="D61" i="10"/>
  <c r="C61" i="10"/>
  <c r="D204" i="9"/>
  <c r="C204" i="9"/>
  <c r="E204" i="9"/>
  <c r="B204" i="9"/>
  <c r="B139" i="14"/>
  <c r="C139" i="14"/>
  <c r="A140" i="14"/>
  <c r="D139" i="14"/>
  <c r="E139" i="14"/>
  <c r="D54" i="14"/>
  <c r="C54" i="14"/>
  <c r="B54" i="14"/>
  <c r="E54" i="14"/>
  <c r="A55" i="14"/>
  <c r="D47" i="18"/>
  <c r="B47" i="18"/>
  <c r="C47" i="18"/>
  <c r="A48" i="18" a="1"/>
  <c r="A48" i="18" s="1"/>
  <c r="E47" i="18"/>
  <c r="C51" i="3"/>
  <c r="E51" i="3"/>
  <c r="D51" i="3"/>
  <c r="B51" i="3"/>
  <c r="D70" i="9"/>
  <c r="C70" i="9"/>
  <c r="E70" i="9"/>
  <c r="B70" i="9"/>
  <c r="A58" i="6"/>
  <c r="E57" i="6"/>
  <c r="C57" i="6"/>
  <c r="D57" i="6"/>
  <c r="B57" i="6"/>
  <c r="P32" i="1"/>
  <c r="L33" i="1"/>
  <c r="E63" i="12"/>
  <c r="D63" i="12"/>
  <c r="C63" i="12"/>
  <c r="B63" i="12"/>
  <c r="A64" i="12"/>
  <c r="D66" i="8"/>
  <c r="C66" i="8"/>
  <c r="A67" i="8"/>
  <c r="E66" i="8"/>
  <c r="B66" i="8"/>
  <c r="N18" i="2"/>
  <c r="Q18" i="2" s="1"/>
  <c r="C76" i="3"/>
  <c r="A77" i="3"/>
  <c r="D76" i="3"/>
  <c r="E76" i="3"/>
  <c r="B76" i="3"/>
  <c r="A71" i="9"/>
  <c r="A52" i="3" a="1"/>
  <c r="A205" i="9"/>
  <c r="A52" i="3" l="1"/>
  <c r="C52" i="3" s="1"/>
  <c r="A63" i="10"/>
  <c r="B62" i="10"/>
  <c r="E62" i="10"/>
  <c r="D62" i="10"/>
  <c r="C62" i="10"/>
  <c r="D205" i="9"/>
  <c r="E205" i="9"/>
  <c r="C205" i="9"/>
  <c r="B205" i="9"/>
  <c r="E140" i="14"/>
  <c r="D140" i="14"/>
  <c r="C140" i="14"/>
  <c r="B140" i="14"/>
  <c r="A141" i="14"/>
  <c r="E58" i="6"/>
  <c r="D58" i="6"/>
  <c r="B58" i="6"/>
  <c r="A59" i="6"/>
  <c r="C58" i="6"/>
  <c r="C55" i="14"/>
  <c r="B55" i="14"/>
  <c r="E55" i="14"/>
  <c r="D55" i="14"/>
  <c r="A56" i="14"/>
  <c r="B71" i="9"/>
  <c r="C71" i="9"/>
  <c r="E71" i="9"/>
  <c r="D71" i="9"/>
  <c r="A68" i="8"/>
  <c r="B67" i="8"/>
  <c r="E67" i="8"/>
  <c r="D67" i="8"/>
  <c r="C67" i="8"/>
  <c r="P33" i="1"/>
  <c r="L34" i="1"/>
  <c r="D48" i="18"/>
  <c r="E48" i="18"/>
  <c r="E49" i="18" s="1"/>
  <c r="C48" i="18"/>
  <c r="B48" i="18"/>
  <c r="C77" i="3"/>
  <c r="B77" i="3"/>
  <c r="E77" i="3"/>
  <c r="D77" i="3"/>
  <c r="A78" i="3" a="1"/>
  <c r="A78" i="3" s="1"/>
  <c r="D64" i="12"/>
  <c r="C64" i="12"/>
  <c r="A65" i="12"/>
  <c r="E64" i="12"/>
  <c r="B64" i="12"/>
  <c r="A72" i="9"/>
  <c r="A206" i="9"/>
  <c r="B52" i="3" l="1"/>
  <c r="E52" i="3"/>
  <c r="E53" i="3" s="1"/>
  <c r="J20" i="2" s="1"/>
  <c r="N20" i="2" s="1"/>
  <c r="Q20" i="2" s="1"/>
  <c r="D52" i="3"/>
  <c r="D63" i="10"/>
  <c r="C63" i="10"/>
  <c r="E63" i="10"/>
  <c r="B63" i="10"/>
  <c r="A64" i="10"/>
  <c r="E206" i="9"/>
  <c r="D206" i="9"/>
  <c r="C206" i="9"/>
  <c r="B206" i="9"/>
  <c r="C141" i="14"/>
  <c r="E141" i="14"/>
  <c r="D141" i="14"/>
  <c r="A142" i="14"/>
  <c r="B141" i="14"/>
  <c r="E72" i="9"/>
  <c r="C72" i="9"/>
  <c r="B72" i="9"/>
  <c r="D72" i="9"/>
  <c r="D59" i="6"/>
  <c r="C59" i="6"/>
  <c r="E59" i="6"/>
  <c r="B59" i="6"/>
  <c r="A60" i="6" a="1"/>
  <c r="A60" i="6" s="1"/>
  <c r="E78" i="3"/>
  <c r="D78" i="3"/>
  <c r="C78" i="3"/>
  <c r="B78" i="3"/>
  <c r="C65" i="12"/>
  <c r="B65" i="12"/>
  <c r="E65" i="12"/>
  <c r="D65" i="12"/>
  <c r="A66" i="12"/>
  <c r="B68" i="8"/>
  <c r="E68" i="8"/>
  <c r="C68" i="8"/>
  <c r="D68" i="8"/>
  <c r="A69" i="8"/>
  <c r="P34" i="1"/>
  <c r="L35" i="1"/>
  <c r="B56" i="14"/>
  <c r="A57" i="14"/>
  <c r="C56" i="14"/>
  <c r="E56" i="14"/>
  <c r="D56" i="14"/>
  <c r="A73" i="9"/>
  <c r="A207" i="9"/>
  <c r="B64" i="10" l="1"/>
  <c r="D64" i="10"/>
  <c r="A65" i="10"/>
  <c r="C64" i="10"/>
  <c r="E64" i="10"/>
  <c r="D207" i="9"/>
  <c r="B207" i="9"/>
  <c r="C207" i="9"/>
  <c r="E207" i="9"/>
  <c r="B73" i="9"/>
  <c r="D73" i="9"/>
  <c r="C73" i="9"/>
  <c r="E73" i="9"/>
  <c r="E57" i="14"/>
  <c r="B57" i="14"/>
  <c r="C57" i="14"/>
  <c r="D57" i="14"/>
  <c r="A58" i="14"/>
  <c r="A67" i="12"/>
  <c r="E66" i="12"/>
  <c r="D66" i="12"/>
  <c r="C66" i="12"/>
  <c r="B66" i="12"/>
  <c r="P35" i="1"/>
  <c r="L36" i="1"/>
  <c r="E60" i="6"/>
  <c r="E61" i="6" s="1"/>
  <c r="J27" i="2" s="1"/>
  <c r="D60" i="6"/>
  <c r="C60" i="6"/>
  <c r="B60" i="6"/>
  <c r="C142" i="14"/>
  <c r="B142" i="14"/>
  <c r="E142" i="14"/>
  <c r="D142" i="14"/>
  <c r="A143" i="14"/>
  <c r="E69" i="8"/>
  <c r="D69" i="8"/>
  <c r="C69" i="8"/>
  <c r="B69" i="8"/>
  <c r="A70" i="8"/>
  <c r="A74" i="9"/>
  <c r="A208" i="9"/>
  <c r="A66" i="10" l="1"/>
  <c r="D65" i="10"/>
  <c r="C65" i="10"/>
  <c r="E65" i="10"/>
  <c r="B65" i="10"/>
  <c r="C208" i="9"/>
  <c r="B208" i="9"/>
  <c r="E208" i="9"/>
  <c r="D208" i="9"/>
  <c r="C70" i="8"/>
  <c r="E70" i="8"/>
  <c r="D70" i="8"/>
  <c r="A71" i="8"/>
  <c r="B70" i="8"/>
  <c r="E67" i="12"/>
  <c r="B67" i="12"/>
  <c r="A68" i="12"/>
  <c r="C67" i="12"/>
  <c r="D67" i="12"/>
  <c r="N27" i="2"/>
  <c r="Q27" i="2" s="1"/>
  <c r="L37" i="1"/>
  <c r="P36" i="1"/>
  <c r="C74" i="9"/>
  <c r="B74" i="9"/>
  <c r="E74" i="9"/>
  <c r="D74" i="9"/>
  <c r="E143" i="14"/>
  <c r="D143" i="14"/>
  <c r="B143" i="14"/>
  <c r="C143" i="14"/>
  <c r="A59" i="14"/>
  <c r="E58" i="14"/>
  <c r="B58" i="14"/>
  <c r="D58" i="14"/>
  <c r="C58" i="14"/>
  <c r="A209" i="9"/>
  <c r="A75" i="9"/>
  <c r="E66" i="10" l="1"/>
  <c r="D66" i="10"/>
  <c r="C66" i="10"/>
  <c r="B66" i="10"/>
  <c r="A67" i="10"/>
  <c r="E209" i="9"/>
  <c r="D209" i="9"/>
  <c r="B209" i="9"/>
  <c r="C209" i="9"/>
  <c r="D68" i="12"/>
  <c r="C68" i="12"/>
  <c r="A69" i="12"/>
  <c r="E68" i="12"/>
  <c r="B68" i="12"/>
  <c r="P37" i="1"/>
  <c r="L38" i="1"/>
  <c r="E75" i="9"/>
  <c r="B75" i="9"/>
  <c r="D75" i="9"/>
  <c r="C75" i="9"/>
  <c r="C59" i="14"/>
  <c r="A60" i="14"/>
  <c r="D59" i="14"/>
  <c r="B59" i="14"/>
  <c r="E59" i="14"/>
  <c r="C71" i="8"/>
  <c r="B71" i="8"/>
  <c r="A72" i="8"/>
  <c r="E71" i="8"/>
  <c r="D71" i="8"/>
  <c r="A76" i="9"/>
  <c r="A210" i="9"/>
  <c r="B67" i="10" l="1"/>
  <c r="A68" i="10"/>
  <c r="C67" i="10"/>
  <c r="D67" i="10"/>
  <c r="E67" i="10"/>
  <c r="E210" i="9"/>
  <c r="D210" i="9"/>
  <c r="C210" i="9"/>
  <c r="B210" i="9"/>
  <c r="A70" i="12"/>
  <c r="E69" i="12"/>
  <c r="D69" i="12"/>
  <c r="B69" i="12"/>
  <c r="C69" i="12"/>
  <c r="A73" i="8"/>
  <c r="E72" i="8"/>
  <c r="B72" i="8"/>
  <c r="D72" i="8"/>
  <c r="C72" i="8"/>
  <c r="A61" i="14"/>
  <c r="E60" i="14"/>
  <c r="D60" i="14"/>
  <c r="B60" i="14"/>
  <c r="C60" i="14"/>
  <c r="B76" i="9"/>
  <c r="E76" i="9"/>
  <c r="D76" i="9"/>
  <c r="C76" i="9"/>
  <c r="P38" i="1"/>
  <c r="L39" i="1"/>
  <c r="A77" i="9"/>
  <c r="A211" i="9"/>
  <c r="E68" i="10" l="1"/>
  <c r="C68" i="10"/>
  <c r="B68" i="10"/>
  <c r="D68" i="10"/>
  <c r="A69" i="10"/>
  <c r="D77" i="9"/>
  <c r="E77" i="9"/>
  <c r="C77" i="9"/>
  <c r="B77" i="9"/>
  <c r="B70" i="12"/>
  <c r="A71" i="12"/>
  <c r="E70" i="12"/>
  <c r="C70" i="12"/>
  <c r="D70" i="12"/>
  <c r="E61" i="14"/>
  <c r="D61" i="14"/>
  <c r="C61" i="14"/>
  <c r="A62" i="14"/>
  <c r="B61" i="14"/>
  <c r="D211" i="9"/>
  <c r="C211" i="9"/>
  <c r="E211" i="9"/>
  <c r="B211" i="9"/>
  <c r="P39" i="1"/>
  <c r="L40" i="1"/>
  <c r="D73" i="8"/>
  <c r="C73" i="8"/>
  <c r="B73" i="8"/>
  <c r="E73" i="8"/>
  <c r="A74" i="8"/>
  <c r="A78" i="9"/>
  <c r="A212" i="9"/>
  <c r="C69" i="10" l="1"/>
  <c r="A70" i="10"/>
  <c r="E69" i="10"/>
  <c r="B69" i="10"/>
  <c r="D69" i="10"/>
  <c r="D74" i="8"/>
  <c r="C74" i="8"/>
  <c r="E74" i="8"/>
  <c r="B74" i="8"/>
  <c r="A75" i="8"/>
  <c r="E71" i="12"/>
  <c r="D71" i="12"/>
  <c r="A72" i="12"/>
  <c r="B71" i="12"/>
  <c r="C71" i="12"/>
  <c r="D62" i="14"/>
  <c r="E62" i="14"/>
  <c r="C62" i="14"/>
  <c r="A63" i="14"/>
  <c r="B62" i="14"/>
  <c r="D78" i="9"/>
  <c r="B78" i="9"/>
  <c r="E78" i="9"/>
  <c r="C78" i="9"/>
  <c r="P40" i="1"/>
  <c r="L41" i="1"/>
  <c r="E212" i="9"/>
  <c r="D212" i="9"/>
  <c r="C212" i="9"/>
  <c r="B212" i="9"/>
  <c r="A79" i="9"/>
  <c r="A213" i="9"/>
  <c r="E70" i="10" l="1"/>
  <c r="D70" i="10"/>
  <c r="C70" i="10"/>
  <c r="A71" i="10"/>
  <c r="B70" i="10"/>
  <c r="B79" i="9"/>
  <c r="E79" i="9"/>
  <c r="D79" i="9"/>
  <c r="C79" i="9"/>
  <c r="D63" i="14"/>
  <c r="A64" i="14"/>
  <c r="B63" i="14"/>
  <c r="E63" i="14"/>
  <c r="C63" i="14"/>
  <c r="A76" i="8"/>
  <c r="B75" i="8"/>
  <c r="E75" i="8"/>
  <c r="D75" i="8"/>
  <c r="C75" i="8"/>
  <c r="B213" i="9"/>
  <c r="E213" i="9"/>
  <c r="C213" i="9"/>
  <c r="D213" i="9"/>
  <c r="A73" i="12"/>
  <c r="E72" i="12"/>
  <c r="B72" i="12"/>
  <c r="D72" i="12"/>
  <c r="C72" i="12"/>
  <c r="P41" i="1"/>
  <c r="L42" i="1"/>
  <c r="A80" i="9"/>
  <c r="A214" i="9"/>
  <c r="A72" i="10" l="1"/>
  <c r="B71" i="10"/>
  <c r="D71" i="10"/>
  <c r="C71" i="10"/>
  <c r="E71" i="10"/>
  <c r="B64" i="14"/>
  <c r="D64" i="14"/>
  <c r="C64" i="14"/>
  <c r="E64" i="14"/>
  <c r="A65" i="14"/>
  <c r="E80" i="9"/>
  <c r="C80" i="9"/>
  <c r="D80" i="9"/>
  <c r="B80" i="9"/>
  <c r="B76" i="8"/>
  <c r="E76" i="8"/>
  <c r="A77" i="8"/>
  <c r="C76" i="8"/>
  <c r="D76" i="8"/>
  <c r="P42" i="1"/>
  <c r="L43" i="1"/>
  <c r="C73" i="12"/>
  <c r="B73" i="12"/>
  <c r="A74" i="12" a="1"/>
  <c r="A74" i="12" s="1"/>
  <c r="E73" i="12"/>
  <c r="D73" i="12"/>
  <c r="E214" i="9"/>
  <c r="D214" i="9"/>
  <c r="C214" i="9"/>
  <c r="B214" i="9"/>
  <c r="A215" i="9"/>
  <c r="A81" i="9"/>
  <c r="C72" i="10" l="1"/>
  <c r="B72" i="10"/>
  <c r="E72" i="10"/>
  <c r="E73" i="10" s="1"/>
  <c r="J16" i="2" s="1"/>
  <c r="N16" i="2" s="1"/>
  <c r="Q16" i="2" s="1"/>
  <c r="D72" i="10"/>
  <c r="E74" i="12"/>
  <c r="E75" i="12" s="1"/>
  <c r="J14" i="2" s="1"/>
  <c r="D74" i="12"/>
  <c r="B74" i="12"/>
  <c r="C74" i="12"/>
  <c r="E65" i="14"/>
  <c r="C65" i="14"/>
  <c r="A66" i="14"/>
  <c r="B65" i="14"/>
  <c r="D65" i="14"/>
  <c r="D81" i="9"/>
  <c r="C81" i="9"/>
  <c r="E81" i="9"/>
  <c r="B81" i="9"/>
  <c r="E77" i="8"/>
  <c r="D77" i="8"/>
  <c r="B77" i="8"/>
  <c r="A78" i="8"/>
  <c r="C77" i="8"/>
  <c r="B215" i="9"/>
  <c r="E215" i="9"/>
  <c r="D215" i="9"/>
  <c r="C215" i="9"/>
  <c r="P43" i="1"/>
  <c r="L44" i="1"/>
  <c r="A82" i="9"/>
  <c r="A216" i="9"/>
  <c r="C216" i="9" l="1"/>
  <c r="B216" i="9"/>
  <c r="E216" i="9"/>
  <c r="D216" i="9"/>
  <c r="C66" i="14"/>
  <c r="B66" i="14"/>
  <c r="A67" i="14"/>
  <c r="D66" i="14"/>
  <c r="E66" i="14"/>
  <c r="C82" i="9"/>
  <c r="B82" i="9"/>
  <c r="D82" i="9"/>
  <c r="E82" i="9"/>
  <c r="P44" i="1"/>
  <c r="L45" i="1"/>
  <c r="C78" i="8"/>
  <c r="D78" i="8"/>
  <c r="B78" i="8"/>
  <c r="E78" i="8"/>
  <c r="A79" i="8"/>
  <c r="N14" i="2"/>
  <c r="Q14" i="2" s="1"/>
  <c r="A83" i="9"/>
  <c r="A217" i="9"/>
  <c r="C67" i="14" l="1"/>
  <c r="A68" i="14"/>
  <c r="B67" i="14"/>
  <c r="D67" i="14"/>
  <c r="E67" i="14"/>
  <c r="C83" i="9"/>
  <c r="B83" i="9"/>
  <c r="E83" i="9"/>
  <c r="D83" i="9"/>
  <c r="C79" i="8"/>
  <c r="B79" i="8"/>
  <c r="A80" i="8"/>
  <c r="E79" i="8"/>
  <c r="D79" i="8"/>
  <c r="E217" i="9"/>
  <c r="B217" i="9"/>
  <c r="C217" i="9"/>
  <c r="D217" i="9"/>
  <c r="P45" i="1"/>
  <c r="L46" i="1"/>
  <c r="A84" i="9"/>
  <c r="A218" i="9"/>
  <c r="C218" i="9" l="1"/>
  <c r="E218" i="9"/>
  <c r="B218" i="9"/>
  <c r="D218" i="9"/>
  <c r="A81" i="8"/>
  <c r="E80" i="8"/>
  <c r="D80" i="8"/>
  <c r="C80" i="8"/>
  <c r="B80" i="8"/>
  <c r="A69" i="14"/>
  <c r="B68" i="14"/>
  <c r="E68" i="14"/>
  <c r="D68" i="14"/>
  <c r="C68" i="14"/>
  <c r="P46" i="1"/>
  <c r="L47" i="1"/>
  <c r="B84" i="9"/>
  <c r="E84" i="9"/>
  <c r="C84" i="9"/>
  <c r="D84" i="9"/>
  <c r="A85" i="9"/>
  <c r="A219" i="9"/>
  <c r="D81" i="8" l="1"/>
  <c r="A82" i="8"/>
  <c r="B81" i="8"/>
  <c r="C81" i="8"/>
  <c r="E81" i="8"/>
  <c r="A70" i="14"/>
  <c r="E69" i="14"/>
  <c r="B69" i="14"/>
  <c r="C69" i="14"/>
  <c r="D69" i="14"/>
  <c r="D85" i="9"/>
  <c r="B85" i="9"/>
  <c r="C85" i="9"/>
  <c r="E85" i="9"/>
  <c r="P47" i="1"/>
  <c r="L48" i="1"/>
  <c r="D219" i="9"/>
  <c r="C219" i="9"/>
  <c r="B219" i="9"/>
  <c r="E219" i="9"/>
  <c r="A86" i="9"/>
  <c r="A220" i="9"/>
  <c r="C220" i="9" l="1"/>
  <c r="D220" i="9"/>
  <c r="E220" i="9"/>
  <c r="B220" i="9"/>
  <c r="D82" i="8"/>
  <c r="C82" i="8"/>
  <c r="B82" i="8"/>
  <c r="A83" i="8"/>
  <c r="E82" i="8"/>
  <c r="D70" i="14"/>
  <c r="A71" i="14"/>
  <c r="C70" i="14"/>
  <c r="B70" i="14"/>
  <c r="E70" i="14"/>
  <c r="E86" i="9"/>
  <c r="D86" i="9"/>
  <c r="C86" i="9"/>
  <c r="B86" i="9"/>
  <c r="P48" i="1"/>
  <c r="L49" i="1"/>
  <c r="A87" i="9"/>
  <c r="A221" i="9"/>
  <c r="P49" i="1" l="1"/>
  <c r="L50" i="1"/>
  <c r="E71" i="14"/>
  <c r="D71" i="14"/>
  <c r="A72" i="14"/>
  <c r="B71" i="14"/>
  <c r="C71" i="14"/>
  <c r="B87" i="9"/>
  <c r="E87" i="9"/>
  <c r="D87" i="9"/>
  <c r="C87" i="9"/>
  <c r="A84" i="8"/>
  <c r="B83" i="8"/>
  <c r="D83" i="8"/>
  <c r="C83" i="8"/>
  <c r="E83" i="8"/>
  <c r="B221" i="9"/>
  <c r="D221" i="9"/>
  <c r="C221" i="9"/>
  <c r="E221" i="9"/>
  <c r="A88" i="9"/>
  <c r="A222" i="9"/>
  <c r="E222" i="9" l="1"/>
  <c r="D222" i="9"/>
  <c r="C222" i="9"/>
  <c r="B222" i="9"/>
  <c r="P50" i="1"/>
  <c r="L51" i="1"/>
  <c r="B84" i="8"/>
  <c r="E84" i="8"/>
  <c r="A85" i="8"/>
  <c r="D84" i="8"/>
  <c r="C84" i="8"/>
  <c r="B72" i="14"/>
  <c r="E72" i="14"/>
  <c r="A73" i="14"/>
  <c r="D72" i="14"/>
  <c r="C72" i="14"/>
  <c r="E88" i="9"/>
  <c r="D88" i="9"/>
  <c r="B88" i="9"/>
  <c r="C88" i="9"/>
  <c r="A89" i="9"/>
  <c r="A223" i="9"/>
  <c r="E73" i="14" l="1"/>
  <c r="D73" i="14"/>
  <c r="C73" i="14"/>
  <c r="B73" i="14"/>
  <c r="A74" i="14"/>
  <c r="D223" i="9"/>
  <c r="C223" i="9"/>
  <c r="E223" i="9"/>
  <c r="B223" i="9"/>
  <c r="E85" i="8"/>
  <c r="D85" i="8"/>
  <c r="A86" i="8"/>
  <c r="C85" i="8"/>
  <c r="B85" i="8"/>
  <c r="P51" i="1"/>
  <c r="L52" i="1"/>
  <c r="D89" i="9"/>
  <c r="E89" i="9"/>
  <c r="C89" i="9"/>
  <c r="B89" i="9"/>
  <c r="A90" i="9"/>
  <c r="A224" i="9"/>
  <c r="P52" i="1" l="1"/>
  <c r="L53" i="1"/>
  <c r="C86" i="8"/>
  <c r="A87" i="8"/>
  <c r="B86" i="8"/>
  <c r="D86" i="8"/>
  <c r="E86" i="8"/>
  <c r="C224" i="9"/>
  <c r="B224" i="9"/>
  <c r="E224" i="9"/>
  <c r="D224" i="9"/>
  <c r="C90" i="9"/>
  <c r="E90" i="9"/>
  <c r="D90" i="9"/>
  <c r="B90" i="9"/>
  <c r="D74" i="14"/>
  <c r="E74" i="14"/>
  <c r="A75" i="14"/>
  <c r="C74" i="14"/>
  <c r="B74" i="14"/>
  <c r="A91" i="9"/>
  <c r="A225" i="9"/>
  <c r="C91" i="9" l="1"/>
  <c r="E91" i="9"/>
  <c r="B91" i="9"/>
  <c r="D91" i="9"/>
  <c r="D75" i="14"/>
  <c r="E75" i="14"/>
  <c r="E108" i="14" s="1"/>
  <c r="J17" i="2" s="1"/>
  <c r="C75" i="14"/>
  <c r="A76" i="14"/>
  <c r="B75" i="14"/>
  <c r="C87" i="8"/>
  <c r="B87" i="8"/>
  <c r="A88" i="8"/>
  <c r="D87" i="8"/>
  <c r="E87" i="8"/>
  <c r="P53" i="1"/>
  <c r="L54" i="1"/>
  <c r="E225" i="9"/>
  <c r="D225" i="9"/>
  <c r="C225" i="9"/>
  <c r="B225" i="9"/>
  <c r="A92" i="9"/>
  <c r="A226" i="9"/>
  <c r="A89" i="8" l="1"/>
  <c r="E88" i="8"/>
  <c r="D88" i="8"/>
  <c r="C88" i="8"/>
  <c r="B88" i="8"/>
  <c r="E226" i="9"/>
  <c r="C226" i="9"/>
  <c r="B226" i="9"/>
  <c r="D226" i="9"/>
  <c r="N17" i="2"/>
  <c r="Q17" i="2" s="1"/>
  <c r="L55" i="1"/>
  <c r="P54" i="1"/>
  <c r="B76" i="14"/>
  <c r="E76" i="14"/>
  <c r="D76" i="14"/>
  <c r="C76" i="14"/>
  <c r="A77" i="14"/>
  <c r="D92" i="9"/>
  <c r="C92" i="9"/>
  <c r="E92" i="9"/>
  <c r="B92" i="9"/>
  <c r="A93" i="9"/>
  <c r="A227" i="9"/>
  <c r="P55" i="1" l="1"/>
  <c r="L56" i="1"/>
  <c r="E77" i="14"/>
  <c r="C77" i="14"/>
  <c r="A78" i="14"/>
  <c r="D77" i="14"/>
  <c r="B77" i="14"/>
  <c r="D93" i="9"/>
  <c r="B93" i="9"/>
  <c r="E93" i="9"/>
  <c r="C93" i="9"/>
  <c r="D227" i="9"/>
  <c r="C227" i="9"/>
  <c r="E227" i="9"/>
  <c r="B227" i="9"/>
  <c r="D89" i="8"/>
  <c r="A90" i="8"/>
  <c r="E89" i="8"/>
  <c r="B89" i="8"/>
  <c r="C89" i="8"/>
  <c r="A94" i="9"/>
  <c r="A228" i="9"/>
  <c r="E228" i="9" l="1"/>
  <c r="D228" i="9"/>
  <c r="C228" i="9"/>
  <c r="B228" i="9"/>
  <c r="C94" i="9"/>
  <c r="B94" i="9"/>
  <c r="E94" i="9"/>
  <c r="D94" i="9"/>
  <c r="L57" i="1"/>
  <c r="P56" i="1"/>
  <c r="E78" i="14"/>
  <c r="C78" i="14"/>
  <c r="D78" i="14"/>
  <c r="B78" i="14"/>
  <c r="A79" i="14"/>
  <c r="D90" i="8"/>
  <c r="C90" i="8"/>
  <c r="A91" i="8"/>
  <c r="E90" i="8"/>
  <c r="B90" i="8"/>
  <c r="A95" i="9"/>
  <c r="A229" i="9"/>
  <c r="A92" i="8" l="1"/>
  <c r="B91" i="8"/>
  <c r="C91" i="8"/>
  <c r="D91" i="8"/>
  <c r="E91" i="8"/>
  <c r="P57" i="1"/>
  <c r="L58" i="1"/>
  <c r="B95" i="9"/>
  <c r="D95" i="9"/>
  <c r="C95" i="9"/>
  <c r="E95" i="9"/>
  <c r="C79" i="14"/>
  <c r="B79" i="14"/>
  <c r="A80" i="14"/>
  <c r="E79" i="14"/>
  <c r="D79" i="14"/>
  <c r="B229" i="9"/>
  <c r="E229" i="9"/>
  <c r="D229" i="9"/>
  <c r="C229" i="9"/>
  <c r="A96" i="9"/>
  <c r="A230" i="9"/>
  <c r="A81" i="14" l="1"/>
  <c r="E80" i="14"/>
  <c r="B80" i="14"/>
  <c r="C80" i="14"/>
  <c r="D80" i="14"/>
  <c r="E230" i="9"/>
  <c r="D230" i="9"/>
  <c r="B230" i="9"/>
  <c r="C230" i="9"/>
  <c r="P58" i="1"/>
  <c r="L59" i="1"/>
  <c r="E96" i="9"/>
  <c r="B96" i="9"/>
  <c r="D96" i="9"/>
  <c r="C96" i="9"/>
  <c r="B92" i="8"/>
  <c r="E92" i="8"/>
  <c r="D92" i="8"/>
  <c r="C92" i="8"/>
  <c r="A93" i="8"/>
  <c r="A97" i="9"/>
  <c r="A231" i="9"/>
  <c r="E97" i="9" l="1"/>
  <c r="D97" i="9"/>
  <c r="B97" i="9"/>
  <c r="C97" i="9"/>
  <c r="E231" i="9"/>
  <c r="B231" i="9"/>
  <c r="D231" i="9"/>
  <c r="C231" i="9"/>
  <c r="E93" i="8"/>
  <c r="D93" i="8"/>
  <c r="A94" i="8"/>
  <c r="C93" i="8"/>
  <c r="B93" i="8"/>
  <c r="P59" i="1"/>
  <c r="L60" i="1"/>
  <c r="B81" i="14"/>
  <c r="A82" i="14"/>
  <c r="E81" i="14"/>
  <c r="D81" i="14"/>
  <c r="C81" i="14"/>
  <c r="A98" i="9"/>
  <c r="A232" i="9"/>
  <c r="C232" i="9" l="1"/>
  <c r="B232" i="9"/>
  <c r="E232" i="9"/>
  <c r="D232" i="9"/>
  <c r="D82" i="14"/>
  <c r="A83" i="14"/>
  <c r="E82" i="14"/>
  <c r="C82" i="14"/>
  <c r="B82" i="14"/>
  <c r="C94" i="8"/>
  <c r="A95" i="8"/>
  <c r="E94" i="8"/>
  <c r="B94" i="8"/>
  <c r="D94" i="8"/>
  <c r="P60" i="1"/>
  <c r="L61" i="1"/>
  <c r="C98" i="9"/>
  <c r="E98" i="9"/>
  <c r="D98" i="9"/>
  <c r="B98" i="9"/>
  <c r="A99" i="9"/>
  <c r="A233" i="9"/>
  <c r="A84" i="14" l="1"/>
  <c r="E83" i="14"/>
  <c r="B83" i="14"/>
  <c r="C83" i="14"/>
  <c r="D83" i="14"/>
  <c r="E233" i="9"/>
  <c r="B233" i="9"/>
  <c r="D233" i="9"/>
  <c r="C233" i="9"/>
  <c r="A100" i="9"/>
  <c r="E99" i="9"/>
  <c r="D99" i="9"/>
  <c r="C99" i="9"/>
  <c r="B99" i="9"/>
  <c r="C95" i="8"/>
  <c r="B95" i="8"/>
  <c r="A96" i="8"/>
  <c r="E95" i="8"/>
  <c r="D95" i="8"/>
  <c r="P61" i="1"/>
  <c r="L62" i="1"/>
  <c r="A234" i="9"/>
  <c r="P62" i="1" l="1"/>
  <c r="L63" i="1"/>
  <c r="C234" i="9"/>
  <c r="B234" i="9"/>
  <c r="D234" i="9"/>
  <c r="E234" i="9"/>
  <c r="D100" i="9"/>
  <c r="A101" i="9"/>
  <c r="E100" i="9"/>
  <c r="B100" i="9"/>
  <c r="C100" i="9"/>
  <c r="A97" i="8"/>
  <c r="E96" i="8"/>
  <c r="C96" i="8"/>
  <c r="B96" i="8"/>
  <c r="D96" i="8"/>
  <c r="B84" i="14"/>
  <c r="E84" i="14"/>
  <c r="A85" i="14"/>
  <c r="D84" i="14"/>
  <c r="C84" i="14"/>
  <c r="A235" i="9"/>
  <c r="D235" i="9" l="1"/>
  <c r="C235" i="9"/>
  <c r="B235" i="9"/>
  <c r="E235" i="9"/>
  <c r="E85" i="14"/>
  <c r="A86" i="14"/>
  <c r="B85" i="14"/>
  <c r="D85" i="14"/>
  <c r="C85" i="14"/>
  <c r="P63" i="1"/>
  <c r="L64" i="1"/>
  <c r="D97" i="8"/>
  <c r="E97" i="8"/>
  <c r="C97" i="8"/>
  <c r="A98" i="8"/>
  <c r="B97" i="8"/>
  <c r="D101" i="9"/>
  <c r="E101" i="9"/>
  <c r="C101" i="9"/>
  <c r="B101" i="9"/>
  <c r="A102" i="9"/>
  <c r="A236" i="9"/>
  <c r="D98" i="8" l="1"/>
  <c r="C98" i="8"/>
  <c r="E98" i="8"/>
  <c r="E99" i="8" s="1"/>
  <c r="L25" i="2" s="1"/>
  <c r="B98" i="8"/>
  <c r="C102" i="9"/>
  <c r="E102" i="9"/>
  <c r="D102" i="9"/>
  <c r="A103" i="9"/>
  <c r="B102" i="9"/>
  <c r="D86" i="14"/>
  <c r="B86" i="14"/>
  <c r="E86" i="14"/>
  <c r="C86" i="14"/>
  <c r="A87" i="14"/>
  <c r="P64" i="1"/>
  <c r="L65" i="1"/>
  <c r="C236" i="9"/>
  <c r="B236" i="9"/>
  <c r="D236" i="9"/>
  <c r="E236" i="9"/>
  <c r="A237" i="9"/>
  <c r="C87" i="14" l="1"/>
  <c r="A88" i="14"/>
  <c r="B87" i="14"/>
  <c r="E87" i="14"/>
  <c r="D87" i="14"/>
  <c r="P65" i="1"/>
  <c r="L66" i="1"/>
  <c r="B103" i="9"/>
  <c r="D103" i="9"/>
  <c r="C103" i="9"/>
  <c r="A104" i="9"/>
  <c r="E103" i="9"/>
  <c r="N25" i="2"/>
  <c r="Q25" i="2" s="1"/>
  <c r="B237" i="9"/>
  <c r="D237" i="9"/>
  <c r="E237" i="9"/>
  <c r="C237" i="9"/>
  <c r="A238" i="9"/>
  <c r="P66" i="1" l="1"/>
  <c r="L67" i="1"/>
  <c r="E238" i="9"/>
  <c r="D238" i="9"/>
  <c r="C238" i="9"/>
  <c r="B238" i="9"/>
  <c r="A89" i="14"/>
  <c r="C88" i="14"/>
  <c r="B88" i="14"/>
  <c r="D88" i="14"/>
  <c r="E88" i="14"/>
  <c r="E104" i="9"/>
  <c r="B104" i="9"/>
  <c r="C104" i="9"/>
  <c r="A105" i="9"/>
  <c r="D104" i="9"/>
  <c r="A239" i="9"/>
  <c r="C105" i="9" l="1"/>
  <c r="B105" i="9"/>
  <c r="A106" i="9"/>
  <c r="E105" i="9"/>
  <c r="D105" i="9"/>
  <c r="A90" i="14"/>
  <c r="C89" i="14"/>
  <c r="E89" i="14"/>
  <c r="D89" i="14"/>
  <c r="B89" i="14"/>
  <c r="D239" i="9"/>
  <c r="E239" i="9"/>
  <c r="C239" i="9"/>
  <c r="B239" i="9"/>
  <c r="P67" i="1"/>
  <c r="L68" i="1"/>
  <c r="A240" i="9"/>
  <c r="C240" i="9" l="1"/>
  <c r="B240" i="9"/>
  <c r="E240" i="9"/>
  <c r="D240" i="9"/>
  <c r="D90" i="14"/>
  <c r="B90" i="14"/>
  <c r="C90" i="14"/>
  <c r="A91" i="14"/>
  <c r="E90" i="14"/>
  <c r="C106" i="9"/>
  <c r="A107" i="9"/>
  <c r="E106" i="9"/>
  <c r="D106" i="9"/>
  <c r="B106" i="9"/>
  <c r="P68" i="1"/>
  <c r="L69" i="1"/>
  <c r="A241" i="9"/>
  <c r="A108" i="9" l="1"/>
  <c r="B107" i="9"/>
  <c r="E107" i="9"/>
  <c r="C107" i="9"/>
  <c r="D107" i="9"/>
  <c r="G241" i="9"/>
  <c r="E241" i="9"/>
  <c r="D241" i="9"/>
  <c r="B241" i="9"/>
  <c r="C241" i="9"/>
  <c r="P69" i="1"/>
  <c r="L70" i="1"/>
  <c r="A92" i="14"/>
  <c r="C91" i="14"/>
  <c r="D91" i="14"/>
  <c r="B91" i="14"/>
  <c r="E91" i="14"/>
  <c r="A242" i="9"/>
  <c r="B92" i="14" l="1"/>
  <c r="D92" i="14"/>
  <c r="C92" i="14"/>
  <c r="A93" i="14"/>
  <c r="E92" i="14"/>
  <c r="P70" i="1"/>
  <c r="L71" i="1"/>
  <c r="D242" i="9"/>
  <c r="C242" i="9"/>
  <c r="G242" i="9"/>
  <c r="E242" i="9"/>
  <c r="B242" i="9"/>
  <c r="A109" i="9"/>
  <c r="E108" i="9"/>
  <c r="D108" i="9"/>
  <c r="C108" i="9"/>
  <c r="B108" i="9"/>
  <c r="A243" i="9"/>
  <c r="B243" i="9" l="1"/>
  <c r="D243" i="9"/>
  <c r="G243" i="9"/>
  <c r="E243" i="9"/>
  <c r="C243" i="9"/>
  <c r="P71" i="1"/>
  <c r="L72" i="1"/>
  <c r="D109" i="9"/>
  <c r="E109" i="9"/>
  <c r="A110" i="9"/>
  <c r="C109" i="9"/>
  <c r="B109" i="9"/>
  <c r="E93" i="14"/>
  <c r="A94" i="14"/>
  <c r="C93" i="14"/>
  <c r="B93" i="14"/>
  <c r="D93" i="14"/>
  <c r="A244" i="9"/>
  <c r="D244" i="9" l="1"/>
  <c r="C244" i="9"/>
  <c r="B244" i="9"/>
  <c r="G244" i="9"/>
  <c r="E244" i="9"/>
  <c r="P72" i="1"/>
  <c r="L73" i="1"/>
  <c r="D94" i="14"/>
  <c r="C94" i="14"/>
  <c r="A95" i="14"/>
  <c r="E94" i="14"/>
  <c r="B94" i="14"/>
  <c r="E110" i="9"/>
  <c r="D110" i="9"/>
  <c r="B110" i="9"/>
  <c r="A111" i="9"/>
  <c r="C110" i="9"/>
  <c r="A245" i="9"/>
  <c r="P73" i="1" l="1"/>
  <c r="L74" i="1"/>
  <c r="C95" i="14"/>
  <c r="E95" i="14"/>
  <c r="D95" i="14"/>
  <c r="A96" i="14"/>
  <c r="B95" i="14"/>
  <c r="G245" i="9"/>
  <c r="E245" i="9"/>
  <c r="B245" i="9"/>
  <c r="D245" i="9"/>
  <c r="C245" i="9"/>
  <c r="B111" i="9"/>
  <c r="D111" i="9"/>
  <c r="E111" i="9"/>
  <c r="C111" i="9"/>
  <c r="A112" i="9"/>
  <c r="A246" i="9"/>
  <c r="P74" i="1" l="1"/>
  <c r="L75" i="1"/>
  <c r="A97" i="14"/>
  <c r="D96" i="14"/>
  <c r="C96" i="14"/>
  <c r="E96" i="14"/>
  <c r="B96" i="14"/>
  <c r="E112" i="9"/>
  <c r="D112" i="9"/>
  <c r="A113" i="9"/>
  <c r="C112" i="9"/>
  <c r="B112" i="9"/>
  <c r="B246" i="9"/>
  <c r="G246" i="9"/>
  <c r="E246" i="9"/>
  <c r="D246" i="9"/>
  <c r="C246" i="9"/>
  <c r="A247" i="9"/>
  <c r="L76" i="1" l="1"/>
  <c r="P75" i="1"/>
  <c r="D113" i="9"/>
  <c r="C113" i="9"/>
  <c r="B113" i="9"/>
  <c r="A114" i="9"/>
  <c r="E113" i="9"/>
  <c r="B247" i="9"/>
  <c r="G247" i="9"/>
  <c r="E247" i="9"/>
  <c r="C247" i="9"/>
  <c r="D247" i="9"/>
  <c r="D97" i="14"/>
  <c r="E97" i="14"/>
  <c r="A98" i="14"/>
  <c r="C97" i="14"/>
  <c r="B97" i="14"/>
  <c r="A248" i="9"/>
  <c r="L77" i="1" l="1"/>
  <c r="P76" i="1"/>
  <c r="D98" i="14"/>
  <c r="E98" i="14"/>
  <c r="C98" i="14"/>
  <c r="B98" i="14"/>
  <c r="A99" i="14"/>
  <c r="C114" i="9"/>
  <c r="B114" i="9"/>
  <c r="A115" i="9"/>
  <c r="E114" i="9"/>
  <c r="D114" i="9"/>
  <c r="D248" i="9"/>
  <c r="C248" i="9"/>
  <c r="G248" i="9"/>
  <c r="E248" i="9"/>
  <c r="B248" i="9"/>
  <c r="A249" i="9"/>
  <c r="L78" i="1" l="1"/>
  <c r="P77" i="1"/>
  <c r="G249" i="9"/>
  <c r="E249" i="9"/>
  <c r="D249" i="9"/>
  <c r="C249" i="9"/>
  <c r="B249" i="9"/>
  <c r="C99" i="14"/>
  <c r="E99" i="14"/>
  <c r="A100" i="14"/>
  <c r="D99" i="14"/>
  <c r="B99" i="14"/>
  <c r="A116" i="9"/>
  <c r="E115" i="9"/>
  <c r="D115" i="9"/>
  <c r="B115" i="9"/>
  <c r="C115" i="9"/>
  <c r="A250" i="9"/>
  <c r="L79" i="1" l="1"/>
  <c r="P78" i="1"/>
  <c r="D250" i="9"/>
  <c r="G250" i="9"/>
  <c r="E250" i="9"/>
  <c r="B250" i="9"/>
  <c r="C250" i="9"/>
  <c r="E116" i="9"/>
  <c r="A117" i="9"/>
  <c r="D116" i="9"/>
  <c r="C116" i="9"/>
  <c r="B116" i="9"/>
  <c r="B100" i="14"/>
  <c r="E100" i="14"/>
  <c r="D100" i="14"/>
  <c r="A101" i="14"/>
  <c r="C100" i="14"/>
  <c r="A251" i="9"/>
  <c r="P79" i="1" l="1"/>
  <c r="L80" i="1"/>
  <c r="E101" i="14"/>
  <c r="B101" i="14"/>
  <c r="A102" i="14"/>
  <c r="D101" i="14"/>
  <c r="C101" i="14"/>
  <c r="D117" i="9"/>
  <c r="C117" i="9"/>
  <c r="B117" i="9"/>
  <c r="A118" i="9"/>
  <c r="E117" i="9"/>
  <c r="B251" i="9"/>
  <c r="D251" i="9"/>
  <c r="C251" i="9"/>
  <c r="E251" i="9"/>
  <c r="G251" i="9"/>
  <c r="A252" i="9"/>
  <c r="P80" i="1" l="1"/>
  <c r="L81" i="1"/>
  <c r="D252" i="9"/>
  <c r="C252" i="9"/>
  <c r="B252" i="9"/>
  <c r="E252" i="9"/>
  <c r="G252" i="9"/>
  <c r="A103" i="14"/>
  <c r="E102" i="14"/>
  <c r="D102" i="14"/>
  <c r="C102" i="14"/>
  <c r="B102" i="14"/>
  <c r="A119" i="9"/>
  <c r="C118" i="9"/>
  <c r="B118" i="9"/>
  <c r="E118" i="9"/>
  <c r="D118" i="9"/>
  <c r="A253" i="9"/>
  <c r="P81" i="1" l="1"/>
  <c r="L82" i="1"/>
  <c r="C103" i="14"/>
  <c r="A104" i="14"/>
  <c r="D103" i="14"/>
  <c r="B103" i="14"/>
  <c r="E103" i="14"/>
  <c r="B119" i="9"/>
  <c r="A120" i="9"/>
  <c r="E119" i="9"/>
  <c r="D119" i="9"/>
  <c r="C119" i="9"/>
  <c r="G253" i="9"/>
  <c r="E253" i="9"/>
  <c r="B253" i="9"/>
  <c r="D253" i="9"/>
  <c r="C253" i="9"/>
  <c r="A254" i="9"/>
  <c r="P82" i="1" l="1"/>
  <c r="L83" i="1"/>
  <c r="G254" i="9"/>
  <c r="E254" i="9"/>
  <c r="B254" i="9"/>
  <c r="C254" i="9"/>
  <c r="D254" i="9"/>
  <c r="E120" i="9"/>
  <c r="D120" i="9"/>
  <c r="A121" i="9"/>
  <c r="C120" i="9"/>
  <c r="B120" i="9"/>
  <c r="A105" i="14"/>
  <c r="E104" i="14"/>
  <c r="D104" i="14"/>
  <c r="C104" i="14"/>
  <c r="B104" i="14"/>
  <c r="A255" i="9"/>
  <c r="P83" i="1" l="1"/>
  <c r="L84" i="1"/>
  <c r="B105" i="14"/>
  <c r="A106" i="14"/>
  <c r="E105" i="14"/>
  <c r="C105" i="14"/>
  <c r="D105" i="14"/>
  <c r="D121" i="9"/>
  <c r="A122" i="9"/>
  <c r="B121" i="9"/>
  <c r="C121" i="9"/>
  <c r="E121" i="9"/>
  <c r="B255" i="9"/>
  <c r="G255" i="9"/>
  <c r="D255" i="9"/>
  <c r="E255" i="9"/>
  <c r="C255" i="9"/>
  <c r="A256" i="9"/>
  <c r="L85" i="1" l="1"/>
  <c r="P84" i="1"/>
  <c r="C122" i="9"/>
  <c r="B122" i="9"/>
  <c r="D122" i="9"/>
  <c r="A123" i="9"/>
  <c r="E122" i="9"/>
  <c r="D256" i="9"/>
  <c r="C256" i="9"/>
  <c r="G256" i="9"/>
  <c r="E256" i="9"/>
  <c r="B256" i="9"/>
  <c r="D106" i="14"/>
  <c r="E106" i="14"/>
  <c r="A107" i="14" a="1"/>
  <c r="A107" i="14" s="1"/>
  <c r="C106" i="14"/>
  <c r="B106" i="14"/>
  <c r="A257" i="9"/>
  <c r="P85" i="1" l="1"/>
  <c r="L86" i="1"/>
  <c r="E107" i="14"/>
  <c r="D107" i="14"/>
  <c r="C107" i="14"/>
  <c r="B107" i="14"/>
  <c r="A124" i="9"/>
  <c r="E123" i="9"/>
  <c r="B123" i="9"/>
  <c r="C123" i="9"/>
  <c r="D123" i="9"/>
  <c r="G257" i="9"/>
  <c r="E257" i="9"/>
  <c r="D257" i="9"/>
  <c r="B257" i="9"/>
  <c r="C257" i="9"/>
  <c r="A258" i="9"/>
  <c r="L87" i="1" l="1"/>
  <c r="P86" i="1"/>
  <c r="E124" i="9"/>
  <c r="A125" i="9"/>
  <c r="D124" i="9"/>
  <c r="C124" i="9"/>
  <c r="B124" i="9"/>
  <c r="D258" i="9"/>
  <c r="C258" i="9"/>
  <c r="B258" i="9"/>
  <c r="E258" i="9"/>
  <c r="G258" i="9"/>
  <c r="A259" i="9"/>
  <c r="L88" i="1" l="1"/>
  <c r="P87" i="1"/>
  <c r="B259" i="9"/>
  <c r="D259" i="9"/>
  <c r="G259" i="9"/>
  <c r="E259" i="9"/>
  <c r="C259" i="9"/>
  <c r="D125" i="9"/>
  <c r="C125" i="9"/>
  <c r="A126" i="9"/>
  <c r="B125" i="9"/>
  <c r="E125" i="9"/>
  <c r="A260" i="9"/>
  <c r="P88" i="1" l="1"/>
  <c r="L89" i="1"/>
  <c r="D260" i="9"/>
  <c r="C260" i="9"/>
  <c r="B260" i="9"/>
  <c r="G260" i="9"/>
  <c r="E260" i="9"/>
  <c r="A127" i="9"/>
  <c r="C126" i="9"/>
  <c r="E126" i="9"/>
  <c r="D126" i="9"/>
  <c r="B126" i="9"/>
  <c r="A261" i="9"/>
  <c r="L90" i="1" l="1"/>
  <c r="P89" i="1"/>
  <c r="B127" i="9"/>
  <c r="A128" i="9"/>
  <c r="D127" i="9"/>
  <c r="C127" i="9"/>
  <c r="E127" i="9"/>
  <c r="G261" i="9"/>
  <c r="E261" i="9"/>
  <c r="B261" i="9"/>
  <c r="D261" i="9"/>
  <c r="C261" i="9"/>
  <c r="A262" i="9"/>
  <c r="P90" i="1" l="1"/>
  <c r="L91" i="1"/>
  <c r="B262" i="9"/>
  <c r="G262" i="9"/>
  <c r="E262" i="9"/>
  <c r="D262" i="9"/>
  <c r="C262" i="9"/>
  <c r="E128" i="9"/>
  <c r="D128" i="9"/>
  <c r="C128" i="9"/>
  <c r="A129" i="9"/>
  <c r="B128" i="9"/>
  <c r="A263" i="9"/>
  <c r="P91" i="1" l="1"/>
  <c r="L92" i="1"/>
  <c r="D129" i="9"/>
  <c r="A130" i="9"/>
  <c r="E129" i="9"/>
  <c r="B129" i="9"/>
  <c r="C129" i="9"/>
  <c r="B263" i="9"/>
  <c r="G263" i="9"/>
  <c r="E263" i="9"/>
  <c r="C263" i="9"/>
  <c r="D263" i="9"/>
  <c r="A264" i="9"/>
  <c r="P92" i="1" l="1"/>
  <c r="L93" i="1"/>
  <c r="C130" i="9"/>
  <c r="B130" i="9"/>
  <c r="A131" i="9"/>
  <c r="E130" i="9"/>
  <c r="D130" i="9"/>
  <c r="D264" i="9"/>
  <c r="C264" i="9"/>
  <c r="G264" i="9"/>
  <c r="E264" i="9"/>
  <c r="B264" i="9"/>
  <c r="A265" i="9"/>
  <c r="P93" i="1" l="1"/>
  <c r="L94" i="1"/>
  <c r="A132" i="9"/>
  <c r="E131" i="9"/>
  <c r="B131" i="9"/>
  <c r="C131" i="9"/>
  <c r="D131" i="9"/>
  <c r="G265" i="9"/>
  <c r="E265" i="9"/>
  <c r="D265" i="9"/>
  <c r="C265" i="9"/>
  <c r="B265" i="9"/>
  <c r="A266" i="9"/>
  <c r="P94" i="1" l="1"/>
  <c r="L95" i="1"/>
  <c r="D266" i="9"/>
  <c r="E266" i="9"/>
  <c r="G266" i="9"/>
  <c r="C266" i="9"/>
  <c r="B266" i="9"/>
  <c r="E132" i="9"/>
  <c r="D132" i="9"/>
  <c r="C132" i="9"/>
  <c r="A133" i="9"/>
  <c r="B132" i="9"/>
  <c r="A267" i="9"/>
  <c r="L96" i="1" l="1"/>
  <c r="P95" i="1"/>
  <c r="D133" i="9"/>
  <c r="C133" i="9"/>
  <c r="E133" i="9"/>
  <c r="B133" i="9"/>
  <c r="A134" i="9"/>
  <c r="B267" i="9"/>
  <c r="D267" i="9"/>
  <c r="C267" i="9"/>
  <c r="E267" i="9"/>
  <c r="G267" i="9"/>
  <c r="A268" i="9"/>
  <c r="P96" i="1" l="1"/>
  <c r="L97" i="1"/>
  <c r="A135" i="9"/>
  <c r="C134" i="9"/>
  <c r="E134" i="9"/>
  <c r="D134" i="9"/>
  <c r="B134" i="9"/>
  <c r="D268" i="9"/>
  <c r="C268" i="9"/>
  <c r="B268" i="9"/>
  <c r="E268" i="9"/>
  <c r="G268" i="9"/>
  <c r="A269" i="9"/>
  <c r="P97" i="1" l="1"/>
  <c r="L98" i="1"/>
  <c r="G269" i="9"/>
  <c r="E269" i="9"/>
  <c r="B269" i="9"/>
  <c r="D269" i="9"/>
  <c r="C269" i="9"/>
  <c r="B135" i="9"/>
  <c r="A136" i="9"/>
  <c r="C135" i="9"/>
  <c r="D135" i="9"/>
  <c r="E135" i="9"/>
  <c r="A270" i="9"/>
  <c r="P98" i="1" l="1"/>
  <c r="L99" i="1"/>
  <c r="G270" i="9"/>
  <c r="E270" i="9"/>
  <c r="B270" i="9"/>
  <c r="D270" i="9"/>
  <c r="C270" i="9"/>
  <c r="E136" i="9"/>
  <c r="D136" i="9"/>
  <c r="B136" i="9"/>
  <c r="A137" i="9"/>
  <c r="C136" i="9"/>
  <c r="A271" i="9"/>
  <c r="P99" i="1" l="1"/>
  <c r="L100" i="1"/>
  <c r="D137" i="9"/>
  <c r="E137" i="9"/>
  <c r="C137" i="9"/>
  <c r="B137" i="9"/>
  <c r="A138" i="9"/>
  <c r="B271" i="9"/>
  <c r="G271" i="9"/>
  <c r="D271" i="9"/>
  <c r="C271" i="9"/>
  <c r="E271" i="9"/>
  <c r="A272" i="9"/>
  <c r="P100" i="1" l="1"/>
  <c r="L101" i="1"/>
  <c r="C138" i="9"/>
  <c r="B138" i="9"/>
  <c r="E138" i="9"/>
  <c r="A139" i="9"/>
  <c r="D138" i="9"/>
  <c r="D272" i="9"/>
  <c r="C272" i="9"/>
  <c r="G272" i="9"/>
  <c r="E272" i="9"/>
  <c r="B272" i="9"/>
  <c r="A273" i="9"/>
  <c r="L102" i="1" l="1"/>
  <c r="P101" i="1"/>
  <c r="A140" i="9"/>
  <c r="E139" i="9"/>
  <c r="B139" i="9"/>
  <c r="C139" i="9"/>
  <c r="D139" i="9"/>
  <c r="G273" i="9"/>
  <c r="E273" i="9"/>
  <c r="D273" i="9"/>
  <c r="C273" i="9"/>
  <c r="B273" i="9"/>
  <c r="A274" i="9"/>
  <c r="P102" i="1" l="1"/>
  <c r="L103" i="1"/>
  <c r="D274" i="9"/>
  <c r="C274" i="9"/>
  <c r="B274" i="9"/>
  <c r="E274" i="9"/>
  <c r="G274" i="9"/>
  <c r="E140" i="9"/>
  <c r="C140" i="9"/>
  <c r="B140" i="9"/>
  <c r="A141" i="9"/>
  <c r="D140" i="9"/>
  <c r="A275" i="9"/>
  <c r="P103" i="1" l="1"/>
  <c r="L104" i="1"/>
  <c r="D141" i="9"/>
  <c r="C141" i="9"/>
  <c r="B141" i="9"/>
  <c r="E141" i="9"/>
  <c r="A142" i="9"/>
  <c r="B275" i="9"/>
  <c r="D275" i="9"/>
  <c r="C275" i="9"/>
  <c r="G275" i="9"/>
  <c r="E275" i="9"/>
  <c r="A276" i="9"/>
  <c r="P104" i="1" l="1"/>
  <c r="L105" i="1"/>
  <c r="D276" i="9"/>
  <c r="C276" i="9"/>
  <c r="B276" i="9"/>
  <c r="G276" i="9"/>
  <c r="E276" i="9"/>
  <c r="A143" i="9"/>
  <c r="C142" i="9"/>
  <c r="E142" i="9"/>
  <c r="D142" i="9"/>
  <c r="B142" i="9"/>
  <c r="A277" i="9"/>
  <c r="P105" i="1" l="1"/>
  <c r="L106" i="1"/>
  <c r="B143" i="9"/>
  <c r="A144" i="9"/>
  <c r="E143" i="9"/>
  <c r="D143" i="9"/>
  <c r="C143" i="9"/>
  <c r="G277" i="9"/>
  <c r="E277" i="9"/>
  <c r="B277" i="9"/>
  <c r="D277" i="9"/>
  <c r="C277" i="9"/>
  <c r="A278" i="9"/>
  <c r="P106" i="1" l="1"/>
  <c r="L107" i="1"/>
  <c r="B278" i="9"/>
  <c r="G278" i="9"/>
  <c r="C278" i="9"/>
  <c r="E278" i="9"/>
  <c r="D278" i="9"/>
  <c r="E144" i="9"/>
  <c r="D144" i="9"/>
  <c r="A145" i="9"/>
  <c r="C144" i="9"/>
  <c r="B144" i="9"/>
  <c r="A279" i="9"/>
  <c r="P107" i="1" l="1"/>
  <c r="L108" i="1"/>
  <c r="D145" i="9"/>
  <c r="C145" i="9"/>
  <c r="B145" i="9"/>
  <c r="E145" i="9"/>
  <c r="A146" i="9"/>
  <c r="B279" i="9"/>
  <c r="G279" i="9"/>
  <c r="E279" i="9"/>
  <c r="D279" i="9"/>
  <c r="C279" i="9"/>
  <c r="A280" i="9"/>
  <c r="P108" i="1" l="1"/>
  <c r="L109" i="1"/>
  <c r="C146" i="9"/>
  <c r="B146" i="9"/>
  <c r="D146" i="9"/>
  <c r="A147" i="9"/>
  <c r="E146" i="9"/>
  <c r="D280" i="9"/>
  <c r="C280" i="9"/>
  <c r="E280" i="9"/>
  <c r="B280" i="9"/>
  <c r="A281" i="9"/>
  <c r="P109" i="1" l="1"/>
  <c r="L110" i="1"/>
  <c r="A148" i="9"/>
  <c r="E147" i="9"/>
  <c r="B147" i="9"/>
  <c r="D147" i="9"/>
  <c r="C147" i="9"/>
  <c r="E281" i="9"/>
  <c r="D281" i="9"/>
  <c r="B281" i="9"/>
  <c r="C281" i="9"/>
  <c r="A282" i="9"/>
  <c r="L111" i="1" l="1"/>
  <c r="P110" i="1"/>
  <c r="B282" i="9"/>
  <c r="E282" i="9"/>
  <c r="D282" i="9"/>
  <c r="C282" i="9"/>
  <c r="E148" i="9"/>
  <c r="B148" i="9"/>
  <c r="A149" i="9"/>
  <c r="D148" i="9"/>
  <c r="C148" i="9"/>
  <c r="A283" i="9"/>
  <c r="P111" i="1" l="1"/>
  <c r="L112" i="1"/>
  <c r="D149" i="9"/>
  <c r="C149" i="9"/>
  <c r="E149" i="9"/>
  <c r="B149" i="9"/>
  <c r="A150" i="9"/>
  <c r="E283" i="9"/>
  <c r="D283" i="9"/>
  <c r="B283" i="9"/>
  <c r="C283" i="9"/>
  <c r="A284" i="9"/>
  <c r="P112" i="1" l="1"/>
  <c r="L113" i="1"/>
  <c r="L114" i="1" s="1"/>
  <c r="B284" i="9"/>
  <c r="D284" i="9"/>
  <c r="C284" i="9"/>
  <c r="E284" i="9"/>
  <c r="A151" i="9"/>
  <c r="C150" i="9"/>
  <c r="D150" i="9"/>
  <c r="B150" i="9"/>
  <c r="E150" i="9"/>
  <c r="A285" i="9"/>
  <c r="P113" i="1" l="1"/>
  <c r="B151" i="9"/>
  <c r="A152" i="9"/>
  <c r="D151" i="9"/>
  <c r="E151" i="9"/>
  <c r="C151" i="9"/>
  <c r="D285" i="9"/>
  <c r="C285" i="9"/>
  <c r="E285" i="9"/>
  <c r="B285" i="9"/>
  <c r="A286" i="9"/>
  <c r="P114" i="1" l="1"/>
  <c r="L115" i="1"/>
  <c r="A287" i="9"/>
  <c r="B286" i="9"/>
  <c r="E286" i="9"/>
  <c r="D286" i="9"/>
  <c r="C286" i="9"/>
  <c r="E152" i="9"/>
  <c r="D152" i="9"/>
  <c r="A153" i="9"/>
  <c r="C152" i="9"/>
  <c r="B152" i="9"/>
  <c r="P115" i="1" l="1"/>
  <c r="L116" i="1"/>
  <c r="D153" i="9"/>
  <c r="B153" i="9"/>
  <c r="A154" i="9"/>
  <c r="E153" i="9"/>
  <c r="C153" i="9"/>
  <c r="B287" i="9"/>
  <c r="A288" i="9"/>
  <c r="C287" i="9"/>
  <c r="E287" i="9"/>
  <c r="D287" i="9"/>
  <c r="P116" i="1" l="1"/>
  <c r="L117" i="1"/>
  <c r="E288" i="9"/>
  <c r="D288" i="9"/>
  <c r="B288" i="9"/>
  <c r="A289" i="9"/>
  <c r="C288" i="9"/>
  <c r="C154" i="9"/>
  <c r="B154" i="9"/>
  <c r="A155" i="9"/>
  <c r="D154" i="9"/>
  <c r="E154" i="9"/>
  <c r="P117" i="1" l="1"/>
  <c r="L118" i="1"/>
  <c r="A156" i="9"/>
  <c r="E155" i="9"/>
  <c r="B155" i="9"/>
  <c r="D155" i="9"/>
  <c r="C155" i="9"/>
  <c r="A290" i="9"/>
  <c r="E289" i="9"/>
  <c r="D289" i="9"/>
  <c r="C289" i="9"/>
  <c r="B289" i="9"/>
  <c r="P118" i="1" l="1"/>
  <c r="L119" i="1"/>
  <c r="C290" i="9"/>
  <c r="B290" i="9"/>
  <c r="D290" i="9"/>
  <c r="A291" i="9"/>
  <c r="E290" i="9"/>
  <c r="E156" i="9"/>
  <c r="D156" i="9"/>
  <c r="A157" i="9"/>
  <c r="B156" i="9"/>
  <c r="C156" i="9"/>
  <c r="P119" i="1" l="1"/>
  <c r="L120" i="1"/>
  <c r="D157" i="9"/>
  <c r="C157" i="9"/>
  <c r="A158" i="9"/>
  <c r="E157" i="9"/>
  <c r="B157" i="9"/>
  <c r="A292" i="9"/>
  <c r="E291" i="9"/>
  <c r="C291" i="9"/>
  <c r="D291" i="9"/>
  <c r="B291" i="9"/>
  <c r="P120" i="1" l="1"/>
  <c r="L121" i="1"/>
  <c r="D292" i="9"/>
  <c r="C292" i="9"/>
  <c r="A293" i="9"/>
  <c r="E292" i="9"/>
  <c r="B292" i="9"/>
  <c r="A159" i="9"/>
  <c r="C158" i="9"/>
  <c r="B158" i="9"/>
  <c r="E158" i="9"/>
  <c r="D158" i="9"/>
  <c r="P121" i="1" l="1"/>
  <c r="L122" i="1"/>
  <c r="B159" i="9"/>
  <c r="A160" i="9"/>
  <c r="C159" i="9"/>
  <c r="E159" i="9"/>
  <c r="D159" i="9"/>
  <c r="D293" i="9"/>
  <c r="C293" i="9"/>
  <c r="A294" i="9"/>
  <c r="E293" i="9"/>
  <c r="B293" i="9"/>
  <c r="P122" i="1" l="1"/>
  <c r="L123" i="1"/>
  <c r="A295" i="9"/>
  <c r="D294" i="9"/>
  <c r="C294" i="9"/>
  <c r="B294" i="9"/>
  <c r="E294" i="9"/>
  <c r="E160" i="9"/>
  <c r="D160" i="9"/>
  <c r="A161" i="9"/>
  <c r="C160" i="9"/>
  <c r="B160" i="9"/>
  <c r="P123" i="1" l="1"/>
  <c r="L124" i="1"/>
  <c r="D161" i="9"/>
  <c r="E161" i="9"/>
  <c r="A162" i="9"/>
  <c r="C161" i="9"/>
  <c r="B161" i="9"/>
  <c r="B295" i="9"/>
  <c r="E295" i="9"/>
  <c r="D295" i="9"/>
  <c r="C295" i="9"/>
  <c r="A296" i="9"/>
  <c r="P124" i="1" l="1"/>
  <c r="L125" i="1"/>
  <c r="C162" i="9"/>
  <c r="B162" i="9"/>
  <c r="A163" i="9"/>
  <c r="E162" i="9"/>
  <c r="D162" i="9"/>
  <c r="E296" i="9"/>
  <c r="D296" i="9"/>
  <c r="A297" i="9"/>
  <c r="C296" i="9"/>
  <c r="B296" i="9"/>
  <c r="P125" i="1" l="1"/>
  <c r="L126" i="1"/>
  <c r="A298" i="9"/>
  <c r="C297" i="9"/>
  <c r="B297" i="9"/>
  <c r="E297" i="9"/>
  <c r="D297" i="9"/>
  <c r="A164" i="9"/>
  <c r="E163" i="9"/>
  <c r="B163" i="9"/>
  <c r="C163" i="9"/>
  <c r="D163" i="9"/>
  <c r="P126" i="1" l="1"/>
  <c r="L127" i="1"/>
  <c r="E164" i="9"/>
  <c r="C164" i="9"/>
  <c r="A165" i="9"/>
  <c r="B164" i="9"/>
  <c r="D164" i="9"/>
  <c r="C298" i="9"/>
  <c r="B298" i="9"/>
  <c r="A299" i="9"/>
  <c r="E298" i="9"/>
  <c r="D298" i="9"/>
  <c r="P127" i="1" l="1"/>
  <c r="L128" i="1"/>
  <c r="A300" i="9"/>
  <c r="E299" i="9"/>
  <c r="B299" i="9"/>
  <c r="C299" i="9"/>
  <c r="D299" i="9"/>
  <c r="D165" i="9"/>
  <c r="C165" i="9"/>
  <c r="A166" i="9"/>
  <c r="E165" i="9"/>
  <c r="B165" i="9"/>
  <c r="P128" i="1" l="1"/>
  <c r="L129" i="1"/>
  <c r="A167" i="9"/>
  <c r="C166" i="9"/>
  <c r="E166" i="9"/>
  <c r="B166" i="9"/>
  <c r="D166" i="9"/>
  <c r="A301" i="9"/>
  <c r="E300" i="9"/>
  <c r="B300" i="9"/>
  <c r="D300" i="9"/>
  <c r="C300" i="9"/>
  <c r="P129" i="1" l="1"/>
  <c r="L130" i="1"/>
  <c r="D301" i="9"/>
  <c r="C301" i="9"/>
  <c r="E301" i="9"/>
  <c r="B301" i="9"/>
  <c r="A302" i="9"/>
  <c r="B167" i="9"/>
  <c r="A168" i="9"/>
  <c r="E167" i="9"/>
  <c r="D167" i="9"/>
  <c r="C167" i="9"/>
  <c r="P130" i="1" l="1"/>
  <c r="L131" i="1"/>
  <c r="A303" i="9"/>
  <c r="E302" i="9"/>
  <c r="D302" i="9"/>
  <c r="C302" i="9"/>
  <c r="B302" i="9"/>
  <c r="E168" i="9"/>
  <c r="D168" i="9"/>
  <c r="C168" i="9"/>
  <c r="B168" i="9"/>
  <c r="A169" i="9"/>
  <c r="P131" i="1" l="1"/>
  <c r="L132" i="1"/>
  <c r="D169" i="9"/>
  <c r="C169" i="9"/>
  <c r="A170" i="9"/>
  <c r="E169" i="9"/>
  <c r="B169" i="9"/>
  <c r="B303" i="9"/>
  <c r="C303" i="9"/>
  <c r="A304" i="9"/>
  <c r="D303" i="9"/>
  <c r="E303" i="9"/>
  <c r="P132" i="1" l="1"/>
  <c r="L133" i="1"/>
  <c r="E304" i="9"/>
  <c r="D304" i="9"/>
  <c r="B304" i="9"/>
  <c r="A305" i="9"/>
  <c r="C304" i="9"/>
  <c r="C170" i="9"/>
  <c r="B170" i="9"/>
  <c r="A171" i="9"/>
  <c r="E170" i="9"/>
  <c r="D170" i="9"/>
  <c r="P133" i="1" l="1"/>
  <c r="L134" i="1"/>
  <c r="A172" i="9"/>
  <c r="E171" i="9"/>
  <c r="B171" i="9"/>
  <c r="D171" i="9"/>
  <c r="C171" i="9"/>
  <c r="C305" i="9"/>
  <c r="B305" i="9"/>
  <c r="E305" i="9"/>
  <c r="A306" i="9"/>
  <c r="D305" i="9"/>
  <c r="P134" i="1" l="1"/>
  <c r="L135" i="1"/>
  <c r="C306" i="9"/>
  <c r="B306" i="9"/>
  <c r="A307" i="9"/>
  <c r="E306" i="9"/>
  <c r="D306" i="9"/>
  <c r="E172" i="9"/>
  <c r="B172" i="9"/>
  <c r="A173" i="9"/>
  <c r="C172" i="9"/>
  <c r="D172" i="9"/>
  <c r="P135" i="1" l="1"/>
  <c r="L136" i="1"/>
  <c r="D173" i="9"/>
  <c r="C173" i="9"/>
  <c r="E173" i="9"/>
  <c r="E175" i="9" s="1"/>
  <c r="J26" i="2" s="1"/>
  <c r="B173" i="9"/>
  <c r="A308" i="9"/>
  <c r="E307" i="9"/>
  <c r="C307" i="9"/>
  <c r="B307" i="9"/>
  <c r="D307" i="9"/>
  <c r="P136" i="1" l="1"/>
  <c r="L137" i="1"/>
  <c r="D308" i="9"/>
  <c r="B308" i="9"/>
  <c r="A309" i="9"/>
  <c r="E308" i="9"/>
  <c r="C308" i="9"/>
  <c r="L138" i="1" l="1"/>
  <c r="P137" i="1"/>
  <c r="D309" i="9"/>
  <c r="C309" i="9"/>
  <c r="E309" i="9"/>
  <c r="B309" i="9"/>
  <c r="A310" i="9"/>
  <c r="P138" i="1" l="1"/>
  <c r="L139" i="1"/>
  <c r="A311" i="9"/>
  <c r="B310" i="9"/>
  <c r="D310" i="9"/>
  <c r="C310" i="9"/>
  <c r="E310" i="9"/>
  <c r="P139" i="1" l="1"/>
  <c r="L140" i="1"/>
  <c r="B311" i="9"/>
  <c r="E311" i="9"/>
  <c r="D311" i="9"/>
  <c r="C311" i="9"/>
  <c r="A312" i="9"/>
  <c r="P140" i="1" l="1"/>
  <c r="L141" i="1"/>
  <c r="E312" i="9"/>
  <c r="D312" i="9"/>
  <c r="A313" i="9"/>
  <c r="C312" i="9"/>
  <c r="B312" i="9"/>
  <c r="P141" i="1" l="1"/>
  <c r="L142" i="1"/>
  <c r="E313" i="9"/>
  <c r="D313" i="9"/>
  <c r="C313" i="9"/>
  <c r="B313" i="9"/>
  <c r="A314" i="9"/>
  <c r="P142" i="1" l="1"/>
  <c r="L143" i="1"/>
  <c r="C314" i="9"/>
  <c r="B314" i="9"/>
  <c r="D314" i="9"/>
  <c r="A315" i="9"/>
  <c r="E314" i="9"/>
  <c r="P143" i="1" l="1"/>
  <c r="L144" i="1"/>
  <c r="A316" i="9"/>
  <c r="E315" i="9"/>
  <c r="D315" i="9"/>
  <c r="C315" i="9"/>
  <c r="B315" i="9"/>
  <c r="P144" i="1" l="1"/>
  <c r="L145" i="1"/>
  <c r="B316" i="9"/>
  <c r="A317" i="9"/>
  <c r="E316" i="9"/>
  <c r="D316" i="9"/>
  <c r="C316" i="9"/>
  <c r="P145" i="1" l="1"/>
  <c r="L146" i="1"/>
  <c r="D317" i="9"/>
  <c r="C317" i="9"/>
  <c r="A318" i="9"/>
  <c r="B317" i="9"/>
  <c r="E317" i="9"/>
  <c r="P146" i="1" l="1"/>
  <c r="L147" i="1"/>
  <c r="A319" i="9"/>
  <c r="B318" i="9"/>
  <c r="D318" i="9"/>
  <c r="C318" i="9"/>
  <c r="E318" i="9"/>
  <c r="L148" i="1" l="1"/>
  <c r="P147" i="1"/>
  <c r="B319" i="9"/>
  <c r="A320" i="9"/>
  <c r="E319" i="9"/>
  <c r="D319" i="9"/>
  <c r="C319" i="9"/>
  <c r="P148" i="1" l="1"/>
  <c r="L149" i="1"/>
  <c r="E320" i="9"/>
  <c r="D320" i="9"/>
  <c r="B320" i="9"/>
  <c r="A321" i="9"/>
  <c r="C320" i="9"/>
  <c r="L150" i="1" l="1"/>
  <c r="P149" i="1"/>
  <c r="A322" i="9"/>
  <c r="C321" i="9"/>
  <c r="B321" i="9"/>
  <c r="D321" i="9"/>
  <c r="E321" i="9"/>
  <c r="P150" i="1" l="1"/>
  <c r="L151" i="1"/>
  <c r="C322" i="9"/>
  <c r="B322" i="9"/>
  <c r="D322" i="9"/>
  <c r="A323" i="9"/>
  <c r="E322" i="9"/>
  <c r="P151" i="1" l="1"/>
  <c r="L152" i="1"/>
  <c r="A324" i="9"/>
  <c r="E323" i="9"/>
  <c r="D323" i="9"/>
  <c r="C323" i="9"/>
  <c r="B323" i="9"/>
  <c r="P152" i="1" l="1"/>
  <c r="L153" i="1"/>
  <c r="D324" i="9"/>
  <c r="C324" i="9"/>
  <c r="B324" i="9"/>
  <c r="E324" i="9"/>
  <c r="A325" i="9"/>
  <c r="L154" i="1" l="1"/>
  <c r="P153" i="1"/>
  <c r="D325" i="9"/>
  <c r="C325" i="9"/>
  <c r="E325" i="9"/>
  <c r="A326" i="9"/>
  <c r="B325" i="9"/>
  <c r="P154" i="1" l="1"/>
  <c r="L155" i="1"/>
  <c r="A327" i="9"/>
  <c r="D326" i="9"/>
  <c r="C326" i="9"/>
  <c r="E326" i="9"/>
  <c r="B326" i="9"/>
  <c r="L156" i="1" l="1"/>
  <c r="P155" i="1"/>
  <c r="B327" i="9"/>
  <c r="C327" i="9"/>
  <c r="A328" i="9"/>
  <c r="E327" i="9"/>
  <c r="D327" i="9"/>
  <c r="P156" i="1" l="1"/>
  <c r="L157" i="1"/>
  <c r="E328" i="9"/>
  <c r="D328" i="9"/>
  <c r="A329" i="9"/>
  <c r="C328" i="9"/>
  <c r="B328" i="9"/>
  <c r="L158" i="1" l="1"/>
  <c r="P157" i="1"/>
  <c r="E329" i="9"/>
  <c r="D329" i="9"/>
  <c r="B329" i="9"/>
  <c r="A330" i="9"/>
  <c r="C329" i="9"/>
  <c r="P158" i="1" l="1"/>
  <c r="L159" i="1"/>
  <c r="C330" i="9"/>
  <c r="B330" i="9"/>
  <c r="A331" i="9"/>
  <c r="E330" i="9"/>
  <c r="D330" i="9"/>
  <c r="L160" i="1" l="1"/>
  <c r="P159" i="1"/>
  <c r="A332" i="9"/>
  <c r="E331" i="9"/>
  <c r="C331" i="9"/>
  <c r="D331" i="9"/>
  <c r="B331" i="9"/>
  <c r="P160" i="1" l="1"/>
  <c r="L161" i="1"/>
  <c r="A333" i="9"/>
  <c r="E332" i="9"/>
  <c r="D332" i="9"/>
  <c r="C332" i="9"/>
  <c r="B332" i="9"/>
  <c r="P161" i="1" l="1"/>
  <c r="L162" i="1"/>
  <c r="D333" i="9"/>
  <c r="C333" i="9"/>
  <c r="E333" i="9"/>
  <c r="B333" i="9"/>
  <c r="A334" i="9"/>
  <c r="P162" i="1" l="1"/>
  <c r="L163" i="1"/>
  <c r="A335" i="9"/>
  <c r="E334" i="9"/>
  <c r="B334" i="9"/>
  <c r="D334" i="9"/>
  <c r="C334" i="9"/>
  <c r="L164" i="1" l="1"/>
  <c r="P163" i="1"/>
  <c r="B335" i="9"/>
  <c r="C335" i="9"/>
  <c r="E335" i="9"/>
  <c r="D335" i="9"/>
  <c r="A336" i="9"/>
  <c r="P164" i="1" l="1"/>
  <c r="L165" i="1"/>
  <c r="E336" i="9"/>
  <c r="D336" i="9"/>
  <c r="A337" i="9"/>
  <c r="C336" i="9"/>
  <c r="B336" i="9"/>
  <c r="L166" i="1" l="1"/>
  <c r="P165" i="1"/>
  <c r="C337" i="9"/>
  <c r="B337" i="9"/>
  <c r="A338" i="9"/>
  <c r="E337" i="9"/>
  <c r="D337" i="9"/>
  <c r="P166" i="1" l="1"/>
  <c r="L167" i="1"/>
  <c r="C338" i="9"/>
  <c r="B338" i="9"/>
  <c r="D338" i="9"/>
  <c r="A339" i="9"/>
  <c r="E338" i="9"/>
  <c r="L168" i="1" l="1"/>
  <c r="P167" i="1"/>
  <c r="A340" i="9"/>
  <c r="E339" i="9"/>
  <c r="C339" i="9"/>
  <c r="B339" i="9"/>
  <c r="D339" i="9"/>
  <c r="L169" i="1" l="1"/>
  <c r="P168" i="1"/>
  <c r="A341" i="9"/>
  <c r="E340" i="9"/>
  <c r="B340" i="9"/>
  <c r="D340" i="9"/>
  <c r="C340" i="9"/>
  <c r="L170" i="1" l="1"/>
  <c r="P169" i="1"/>
  <c r="D341" i="9"/>
  <c r="C341" i="9"/>
  <c r="E341" i="9"/>
  <c r="B341" i="9"/>
  <c r="A342" i="9"/>
  <c r="P170" i="1" l="1"/>
  <c r="L171" i="1"/>
  <c r="A343" i="9"/>
  <c r="D342" i="9"/>
  <c r="C342" i="9"/>
  <c r="B342" i="9"/>
  <c r="E342" i="9"/>
  <c r="L172" i="1" l="1"/>
  <c r="P171" i="1"/>
  <c r="B343" i="9"/>
  <c r="E343" i="9"/>
  <c r="D343" i="9"/>
  <c r="A344" i="9"/>
  <c r="C343" i="9"/>
  <c r="L173" i="1" l="1"/>
  <c r="P172" i="1"/>
  <c r="E344" i="9"/>
  <c r="D344" i="9"/>
  <c r="B344" i="9"/>
  <c r="C344" i="9"/>
  <c r="A345" i="9"/>
  <c r="L174" i="1" l="1"/>
  <c r="P173" i="1"/>
  <c r="E345" i="9"/>
  <c r="D345" i="9"/>
  <c r="C345" i="9"/>
  <c r="A346" i="9"/>
  <c r="B345" i="9"/>
  <c r="L175" i="1" l="1"/>
  <c r="P174" i="1"/>
  <c r="C346" i="9"/>
  <c r="B346" i="9"/>
  <c r="A347" i="9"/>
  <c r="E346" i="9"/>
  <c r="D346" i="9"/>
  <c r="P175" i="1" l="1"/>
  <c r="L176" i="1"/>
  <c r="A348" i="9"/>
  <c r="E347" i="9"/>
  <c r="D347" i="9"/>
  <c r="B347" i="9"/>
  <c r="C347" i="9"/>
  <c r="P176" i="1" l="1"/>
  <c r="L177" i="1"/>
  <c r="B348" i="9"/>
  <c r="D348" i="9"/>
  <c r="E348" i="9"/>
  <c r="A349" i="9"/>
  <c r="C348" i="9"/>
  <c r="P177" i="1" l="1"/>
  <c r="L178" i="1"/>
  <c r="D349" i="9"/>
  <c r="C349" i="9"/>
  <c r="A350" i="9"/>
  <c r="E349" i="9"/>
  <c r="B349" i="9"/>
  <c r="P178" i="1" l="1"/>
  <c r="L179" i="1"/>
  <c r="A351" i="9"/>
  <c r="B350" i="9"/>
  <c r="E350" i="9"/>
  <c r="C350" i="9"/>
  <c r="D350" i="9"/>
  <c r="L180" i="1" l="1"/>
  <c r="P179" i="1"/>
  <c r="B351" i="9"/>
  <c r="A352" i="9"/>
  <c r="C351" i="9"/>
  <c r="D351" i="9"/>
  <c r="E351" i="9"/>
  <c r="P180" i="1" l="1"/>
  <c r="L181" i="1"/>
  <c r="E352" i="9"/>
  <c r="D352" i="9"/>
  <c r="B352" i="9"/>
  <c r="A353" i="9"/>
  <c r="C352" i="9"/>
  <c r="L182" i="1" l="1"/>
  <c r="P181" i="1"/>
  <c r="A354" i="9"/>
  <c r="E353" i="9"/>
  <c r="C353" i="9"/>
  <c r="D353" i="9"/>
  <c r="B353" i="9"/>
  <c r="L183" i="1" l="1"/>
  <c r="P182" i="1"/>
  <c r="C354" i="9"/>
  <c r="B354" i="9"/>
  <c r="D354" i="9"/>
  <c r="A355" i="9"/>
  <c r="E354" i="9"/>
  <c r="P183" i="1" l="1"/>
  <c r="L184" i="1"/>
  <c r="A356" i="9"/>
  <c r="E355" i="9"/>
  <c r="C355" i="9"/>
  <c r="B355" i="9"/>
  <c r="D355" i="9"/>
  <c r="P184" i="1" l="1"/>
  <c r="L185" i="1"/>
  <c r="D356" i="9"/>
  <c r="C356" i="9"/>
  <c r="A357" i="9"/>
  <c r="B356" i="9"/>
  <c r="E356" i="9"/>
  <c r="L186" i="1" l="1"/>
  <c r="P185" i="1"/>
  <c r="D357" i="9"/>
  <c r="C357" i="9"/>
  <c r="A358" i="9"/>
  <c r="E357" i="9"/>
  <c r="B357" i="9"/>
  <c r="P186" i="1" l="1"/>
  <c r="L187" i="1"/>
  <c r="A359" i="9"/>
  <c r="D358" i="9"/>
  <c r="C358" i="9"/>
  <c r="B358" i="9"/>
  <c r="E358" i="9"/>
  <c r="L188" i="1" l="1"/>
  <c r="P187" i="1"/>
  <c r="B359" i="9"/>
  <c r="D359" i="9"/>
  <c r="A360" i="9"/>
  <c r="E359" i="9"/>
  <c r="C359" i="9"/>
  <c r="P188" i="1" l="1"/>
  <c r="L189" i="1"/>
  <c r="E360" i="9"/>
  <c r="D360" i="9"/>
  <c r="A361" i="9"/>
  <c r="C360" i="9"/>
  <c r="B360" i="9"/>
  <c r="L190" i="1" l="1"/>
  <c r="P189" i="1"/>
  <c r="D361" i="9"/>
  <c r="E361" i="9"/>
  <c r="C361" i="9"/>
  <c r="B361" i="9"/>
  <c r="A362" i="9"/>
  <c r="L191" i="1" l="1"/>
  <c r="P190" i="1"/>
  <c r="C362" i="9"/>
  <c r="B362" i="9"/>
  <c r="A363" i="9"/>
  <c r="E362" i="9"/>
  <c r="D362" i="9"/>
  <c r="L192" i="1" l="1"/>
  <c r="P191" i="1"/>
  <c r="A364" i="9"/>
  <c r="E363" i="9"/>
  <c r="D363" i="9"/>
  <c r="C363" i="9"/>
  <c r="B363" i="9"/>
  <c r="L193" i="1" l="1"/>
  <c r="P192" i="1"/>
  <c r="A365" i="9"/>
  <c r="E364" i="9"/>
  <c r="D364" i="9"/>
  <c r="C364" i="9"/>
  <c r="B364" i="9"/>
  <c r="L194" i="1" l="1"/>
  <c r="P193" i="1"/>
  <c r="D365" i="9"/>
  <c r="C365" i="9"/>
  <c r="A366" i="9"/>
  <c r="B365" i="9"/>
  <c r="E365" i="9"/>
  <c r="L195" i="1" l="1"/>
  <c r="P194" i="1"/>
  <c r="A367" i="9"/>
  <c r="E366" i="9"/>
  <c r="D366" i="9"/>
  <c r="C366" i="9"/>
  <c r="B366" i="9"/>
  <c r="L196" i="1" l="1"/>
  <c r="P195" i="1"/>
  <c r="B367" i="9"/>
  <c r="C367" i="9"/>
  <c r="A368" i="9"/>
  <c r="E367" i="9"/>
  <c r="D367" i="9"/>
  <c r="L197" i="1" l="1"/>
  <c r="P196" i="1"/>
  <c r="E368" i="9"/>
  <c r="D368" i="9"/>
  <c r="C368" i="9"/>
  <c r="B368" i="9"/>
  <c r="A369" i="9"/>
  <c r="L198" i="1" l="1"/>
  <c r="P197" i="1"/>
  <c r="C369" i="9"/>
  <c r="B369" i="9"/>
  <c r="A370" i="9"/>
  <c r="E369" i="9"/>
  <c r="D369" i="9"/>
  <c r="L199" i="1" l="1"/>
  <c r="P198" i="1"/>
  <c r="C370" i="9"/>
  <c r="B370" i="9"/>
  <c r="D370" i="9"/>
  <c r="A371" i="9"/>
  <c r="E370" i="9"/>
  <c r="L200" i="1" l="1"/>
  <c r="P199" i="1"/>
  <c r="A372" i="9"/>
  <c r="E371" i="9"/>
  <c r="C371" i="9"/>
  <c r="B371" i="9"/>
  <c r="D371" i="9"/>
  <c r="L201" i="1" l="1"/>
  <c r="P200" i="1"/>
  <c r="C372" i="9"/>
  <c r="B372" i="9"/>
  <c r="D372" i="9"/>
  <c r="E372" i="9"/>
  <c r="A373" i="9"/>
  <c r="L202" i="1" l="1"/>
  <c r="P201" i="1"/>
  <c r="D373" i="9"/>
  <c r="C373" i="9"/>
  <c r="E373" i="9"/>
  <c r="B373" i="9"/>
  <c r="A374" i="9"/>
  <c r="P202" i="1" l="1"/>
  <c r="L203" i="1"/>
  <c r="A375" i="9"/>
  <c r="C374" i="9"/>
  <c r="E374" i="9"/>
  <c r="B374" i="9"/>
  <c r="D374" i="9"/>
  <c r="L204" i="1" l="1"/>
  <c r="P203" i="1"/>
  <c r="B375" i="9"/>
  <c r="E375" i="9"/>
  <c r="D375" i="9"/>
  <c r="C375" i="9"/>
  <c r="A376" i="9"/>
  <c r="L205" i="1" l="1"/>
  <c r="P204" i="1"/>
  <c r="E376" i="9"/>
  <c r="D376" i="9"/>
  <c r="C376" i="9"/>
  <c r="A377" i="9"/>
  <c r="B376" i="9"/>
  <c r="L206" i="1" l="1"/>
  <c r="P205" i="1"/>
  <c r="E377" i="9"/>
  <c r="A378" i="9"/>
  <c r="D377" i="9"/>
  <c r="B377" i="9"/>
  <c r="C377" i="9"/>
  <c r="P206" i="1" l="1"/>
  <c r="L207" i="1"/>
  <c r="D378" i="9"/>
  <c r="C378" i="9"/>
  <c r="A379" i="9"/>
  <c r="E378" i="9"/>
  <c r="B378" i="9"/>
  <c r="L208" i="1" l="1"/>
  <c r="P207" i="1"/>
  <c r="C379" i="9"/>
  <c r="A380" i="9"/>
  <c r="B379" i="9"/>
  <c r="E379" i="9"/>
  <c r="D379" i="9"/>
  <c r="L209" i="1" l="1"/>
  <c r="P208" i="1"/>
  <c r="A381" i="9"/>
  <c r="C380" i="9"/>
  <c r="B380" i="9"/>
  <c r="D380" i="9"/>
  <c r="E380" i="9"/>
  <c r="L210" i="1" l="1"/>
  <c r="P209" i="1"/>
  <c r="A382" i="9"/>
  <c r="C381" i="9"/>
  <c r="B381" i="9"/>
  <c r="E381" i="9"/>
  <c r="D381" i="9"/>
  <c r="P210" i="1" l="1"/>
  <c r="L211" i="1"/>
  <c r="D382" i="9"/>
  <c r="B382" i="9"/>
  <c r="A383" i="9"/>
  <c r="E382" i="9"/>
  <c r="C382" i="9"/>
  <c r="P211" i="1" l="1"/>
  <c r="L212" i="1"/>
  <c r="A384" i="9"/>
  <c r="E383" i="9"/>
  <c r="D383" i="9"/>
  <c r="B383" i="9"/>
  <c r="C383" i="9"/>
  <c r="P212" i="1" l="1"/>
  <c r="L213" i="1"/>
  <c r="B384" i="9"/>
  <c r="A385" i="9"/>
  <c r="E384" i="9"/>
  <c r="C384" i="9"/>
  <c r="D384" i="9"/>
  <c r="P213" i="1" l="1"/>
  <c r="L214" i="1"/>
  <c r="E385" i="9"/>
  <c r="A386" i="9"/>
  <c r="D385" i="9"/>
  <c r="B385" i="9"/>
  <c r="C385" i="9"/>
  <c r="P214" i="1" l="1"/>
  <c r="L215" i="1"/>
  <c r="C386" i="9"/>
  <c r="E386" i="9"/>
  <c r="D386" i="9"/>
  <c r="B386" i="9"/>
  <c r="A387" i="9"/>
  <c r="P215" i="1" l="1"/>
  <c r="L216" i="1"/>
  <c r="C387" i="9"/>
  <c r="E387" i="9"/>
  <c r="D387" i="9"/>
  <c r="A388" i="9"/>
  <c r="B387" i="9"/>
  <c r="P216" i="1" l="1"/>
  <c r="L217" i="1"/>
  <c r="A389" i="9"/>
  <c r="D388" i="9"/>
  <c r="E388" i="9"/>
  <c r="C388" i="9"/>
  <c r="B388" i="9"/>
  <c r="P217" i="1" l="1"/>
  <c r="L218" i="1"/>
  <c r="D389" i="9"/>
  <c r="C389" i="9"/>
  <c r="A390" i="9"/>
  <c r="E389" i="9"/>
  <c r="B389" i="9"/>
  <c r="P218" i="1" l="1"/>
  <c r="L219" i="1"/>
  <c r="P219" i="1" s="1"/>
  <c r="D390" i="9"/>
  <c r="B390" i="9"/>
  <c r="A391" i="9"/>
  <c r="E390" i="9"/>
  <c r="C390" i="9"/>
  <c r="C391" i="9" l="1"/>
  <c r="B391" i="9"/>
  <c r="A392" i="9"/>
  <c r="D391" i="9"/>
  <c r="E391" i="9"/>
  <c r="B392" i="9" l="1"/>
  <c r="A393" i="9"/>
  <c r="D392" i="9"/>
  <c r="C392" i="9"/>
  <c r="E392" i="9"/>
  <c r="E393" i="9" l="1"/>
  <c r="B393" i="9"/>
  <c r="D393" i="9"/>
  <c r="A394" i="9"/>
  <c r="C393" i="9"/>
  <c r="A395" i="9" l="1"/>
  <c r="E394" i="9"/>
  <c r="D394" i="9"/>
  <c r="C394" i="9"/>
  <c r="B394" i="9"/>
  <c r="C395" i="9" l="1"/>
  <c r="B395" i="9"/>
  <c r="A396" i="9"/>
  <c r="E395" i="9"/>
  <c r="D395" i="9"/>
  <c r="A397" i="9" l="1"/>
  <c r="E396" i="9"/>
  <c r="D396" i="9"/>
  <c r="C396" i="9"/>
  <c r="B396" i="9"/>
  <c r="D397" i="9" l="1"/>
  <c r="C397" i="9"/>
  <c r="A398" i="9"/>
  <c r="B397" i="9"/>
  <c r="E397" i="9"/>
  <c r="D398" i="9" l="1"/>
  <c r="E398" i="9"/>
  <c r="C398" i="9"/>
  <c r="B398" i="9"/>
  <c r="A399" i="9"/>
  <c r="E399" i="9" l="1"/>
  <c r="D399" i="9"/>
  <c r="A400" i="9"/>
  <c r="B399" i="9"/>
  <c r="C399" i="9"/>
  <c r="B400" i="9" l="1"/>
  <c r="D400" i="9"/>
  <c r="C400" i="9"/>
  <c r="A401" i="9"/>
  <c r="E400" i="9"/>
  <c r="E401" i="9" l="1"/>
  <c r="A402" i="9"/>
  <c r="D401" i="9"/>
  <c r="C401" i="9"/>
  <c r="B401" i="9"/>
  <c r="C402" i="9" l="1"/>
  <c r="B402" i="9"/>
  <c r="D402" i="9"/>
  <c r="E402" i="9"/>
  <c r="A403" i="9"/>
  <c r="C403" i="9" l="1"/>
  <c r="A404" i="9"/>
  <c r="B403" i="9"/>
  <c r="E403" i="9"/>
  <c r="D403" i="9"/>
  <c r="A405" i="9" l="1"/>
  <c r="B404" i="9"/>
  <c r="E404" i="9"/>
  <c r="D404" i="9"/>
  <c r="C404" i="9"/>
  <c r="A406" i="9" l="1"/>
  <c r="E405" i="9"/>
  <c r="D405" i="9"/>
  <c r="B405" i="9"/>
  <c r="C405" i="9"/>
  <c r="D406" i="9" l="1"/>
  <c r="A407" i="9"/>
  <c r="C406" i="9"/>
  <c r="B406" i="9"/>
  <c r="E406" i="9"/>
  <c r="E407" i="9" l="1"/>
  <c r="D407" i="9"/>
  <c r="B407" i="9"/>
  <c r="A408" i="9"/>
  <c r="C407" i="9"/>
  <c r="B408" i="9" l="1"/>
  <c r="C408" i="9"/>
  <c r="D408" i="9"/>
  <c r="E408" i="9"/>
  <c r="A409" i="9"/>
  <c r="E409" i="9" l="1"/>
  <c r="D409" i="9"/>
  <c r="C409" i="9"/>
  <c r="A410" i="9"/>
  <c r="B409" i="9"/>
  <c r="D410" i="9" l="1"/>
  <c r="C410" i="9"/>
  <c r="B410" i="9"/>
  <c r="A411" i="9"/>
  <c r="E410" i="9"/>
  <c r="C411" i="9" l="1"/>
  <c r="D411" i="9"/>
  <c r="B411" i="9"/>
  <c r="A412" i="9"/>
  <c r="E411" i="9"/>
  <c r="A413" i="9" l="1"/>
  <c r="B412" i="9"/>
  <c r="E412" i="9"/>
  <c r="C412" i="9"/>
  <c r="D412" i="9"/>
  <c r="C413" i="9" l="1"/>
  <c r="B413" i="9"/>
  <c r="A414" i="9"/>
  <c r="E413" i="9"/>
  <c r="D413" i="9"/>
  <c r="D414" i="9" l="1"/>
  <c r="A415" i="9"/>
  <c r="C414" i="9"/>
  <c r="B414" i="9"/>
  <c r="E414" i="9"/>
  <c r="B415" i="9" l="1"/>
  <c r="D415" i="9"/>
  <c r="A416" i="9"/>
  <c r="C415" i="9"/>
  <c r="E415" i="9"/>
  <c r="B416" i="9" l="1"/>
  <c r="A417" i="9"/>
  <c r="E416" i="9"/>
  <c r="D416" i="9"/>
  <c r="C416" i="9"/>
  <c r="E417" i="9" l="1"/>
  <c r="B417" i="9"/>
  <c r="A418" i="9"/>
  <c r="D417" i="9"/>
  <c r="C417" i="9"/>
  <c r="E418" i="9" l="1"/>
  <c r="D418" i="9"/>
  <c r="B418" i="9"/>
  <c r="A419" i="9"/>
  <c r="C418" i="9"/>
  <c r="C419" i="9" l="1"/>
  <c r="D419" i="9"/>
  <c r="B419" i="9"/>
  <c r="A420" i="9"/>
  <c r="E419" i="9"/>
  <c r="A421" i="9" l="1"/>
  <c r="D420" i="9"/>
  <c r="C420" i="9"/>
  <c r="B420" i="9"/>
  <c r="E420" i="9"/>
  <c r="E421" i="9" l="1"/>
  <c r="D421" i="9"/>
  <c r="A422" i="9"/>
  <c r="C421" i="9"/>
  <c r="B421" i="9"/>
  <c r="D422" i="9" l="1"/>
  <c r="C422" i="9"/>
  <c r="B422" i="9"/>
  <c r="A423" i="9"/>
  <c r="E422" i="9"/>
  <c r="A424" i="9" l="1"/>
  <c r="E423" i="9"/>
  <c r="D423" i="9"/>
  <c r="C423" i="9"/>
  <c r="B423" i="9"/>
  <c r="B424" i="9" l="1"/>
  <c r="C424" i="9"/>
  <c r="D424" i="9"/>
  <c r="A425" i="9"/>
  <c r="E424" i="9"/>
  <c r="E425" i="9" l="1"/>
  <c r="A426" i="9"/>
  <c r="B425" i="9"/>
  <c r="D425" i="9"/>
  <c r="C425" i="9"/>
  <c r="B426" i="9" l="1"/>
  <c r="E426" i="9"/>
  <c r="D426" i="9"/>
  <c r="A427" i="9"/>
  <c r="C426" i="9"/>
  <c r="C427" i="9" l="1"/>
  <c r="A428" i="9"/>
  <c r="E427" i="9"/>
  <c r="D427" i="9"/>
  <c r="B427" i="9"/>
  <c r="A429" i="9" l="1"/>
  <c r="E428" i="9"/>
  <c r="B428" i="9"/>
  <c r="D428" i="9"/>
  <c r="C428" i="9"/>
  <c r="E429" i="9" l="1"/>
  <c r="D429" i="9"/>
  <c r="B429" i="9"/>
  <c r="A430" i="9"/>
  <c r="C429" i="9"/>
  <c r="D430" i="9" l="1"/>
  <c r="B430" i="9"/>
  <c r="A431" i="9"/>
  <c r="C430" i="9"/>
  <c r="E430" i="9"/>
  <c r="D431" i="9" l="1"/>
  <c r="C431" i="9"/>
  <c r="E431" i="9"/>
  <c r="B431" i="9"/>
  <c r="A432" i="9"/>
  <c r="B432" i="9" l="1"/>
  <c r="D432" i="9"/>
  <c r="A433" i="9"/>
  <c r="E432" i="9"/>
  <c r="C432" i="9"/>
  <c r="E433" i="9" l="1"/>
  <c r="C433" i="9"/>
  <c r="B433" i="9"/>
  <c r="A434" i="9"/>
  <c r="D433" i="9"/>
  <c r="A435" i="9" l="1"/>
  <c r="B434" i="9"/>
  <c r="E434" i="9"/>
  <c r="C434" i="9"/>
  <c r="D434" i="9"/>
  <c r="C435" i="9" l="1"/>
  <c r="B435" i="9"/>
  <c r="E435" i="9"/>
  <c r="A436" i="9"/>
  <c r="D435" i="9"/>
  <c r="A437" i="9" l="1"/>
  <c r="E436" i="9"/>
  <c r="C436" i="9"/>
  <c r="B436" i="9"/>
  <c r="D436" i="9"/>
  <c r="B437" i="9" l="1"/>
  <c r="D437" i="9"/>
  <c r="E437" i="9"/>
  <c r="C437" i="9"/>
  <c r="A438" i="9"/>
  <c r="D438" i="9" l="1"/>
  <c r="A439" i="9"/>
  <c r="E438" i="9"/>
  <c r="C438" i="9"/>
  <c r="B438" i="9"/>
  <c r="B439" i="9" l="1"/>
  <c r="E439" i="9"/>
  <c r="D439" i="9"/>
  <c r="A440" i="9"/>
  <c r="C439" i="9"/>
  <c r="B440" i="9" l="1"/>
  <c r="E440" i="9"/>
  <c r="D440" i="9"/>
  <c r="A441" i="9"/>
  <c r="C440" i="9"/>
  <c r="E441" i="9" l="1"/>
  <c r="C441" i="9"/>
  <c r="B441" i="9"/>
  <c r="D441" i="9"/>
  <c r="A442" i="9"/>
  <c r="D442" i="9" l="1"/>
  <c r="E442" i="9"/>
  <c r="C442" i="9"/>
  <c r="B442" i="9"/>
  <c r="A443" i="9"/>
  <c r="C443" i="9" l="1"/>
  <c r="A444" i="9"/>
  <c r="E443" i="9"/>
  <c r="D443" i="9"/>
  <c r="B443" i="9"/>
  <c r="A445" i="9" l="1"/>
  <c r="B444" i="9"/>
  <c r="E444" i="9"/>
  <c r="D444" i="9"/>
  <c r="C444" i="9"/>
  <c r="E445" i="9" l="1"/>
  <c r="C445" i="9"/>
  <c r="A446" i="9"/>
  <c r="D445" i="9"/>
  <c r="B445" i="9"/>
  <c r="D446" i="9" l="1"/>
  <c r="A447" i="9"/>
  <c r="E446" i="9"/>
  <c r="C446" i="9"/>
  <c r="B446" i="9"/>
  <c r="C447" i="9" l="1"/>
  <c r="B447" i="9"/>
  <c r="A448" i="9"/>
  <c r="D447" i="9"/>
  <c r="E447" i="9"/>
  <c r="B448" i="9" l="1"/>
  <c r="A449" i="9"/>
  <c r="E448" i="9"/>
  <c r="C448" i="9"/>
  <c r="D448" i="9"/>
  <c r="E449" i="9" l="1"/>
  <c r="E450" i="9" s="1"/>
  <c r="L26" i="2" s="1"/>
  <c r="D449" i="9"/>
  <c r="B449" i="9"/>
  <c r="C449" i="9"/>
  <c r="N26" i="2" l="1"/>
  <c r="Q26" i="2" s="1"/>
  <c r="L28" i="2"/>
  <c r="L29" i="2" s="1"/>
  <c r="J28" i="2"/>
  <c r="J29" i="2" s="1"/>
  <c r="K25" i="2" l="1"/>
  <c r="K24" i="2"/>
  <c r="K23" i="2"/>
  <c r="K13" i="2"/>
  <c r="K21" i="2"/>
  <c r="K18" i="2"/>
  <c r="K15" i="2"/>
  <c r="K19" i="2"/>
  <c r="K22" i="2"/>
  <c r="K20" i="2"/>
  <c r="K27" i="2"/>
  <c r="K16" i="2"/>
  <c r="K14" i="2"/>
  <c r="K17" i="2"/>
  <c r="K26" i="2"/>
  <c r="Q29" i="2"/>
  <c r="M13" i="2"/>
  <c r="M22" i="2"/>
  <c r="M15" i="2"/>
  <c r="M21" i="2"/>
  <c r="M23" i="2"/>
  <c r="M24" i="2"/>
  <c r="M14" i="2"/>
  <c r="M19" i="2"/>
  <c r="M16" i="2"/>
  <c r="M27" i="2"/>
  <c r="M20" i="2"/>
  <c r="M17" i="2"/>
  <c r="M18" i="2"/>
  <c r="M25" i="2"/>
  <c r="M26" i="2"/>
</calcChain>
</file>

<file path=xl/sharedStrings.xml><?xml version="1.0" encoding="utf-8"?>
<sst xmlns="http://schemas.openxmlformats.org/spreadsheetml/2006/main" count="1935" uniqueCount="450">
  <si>
    <t>JOURNAL 2025-2026</t>
  </si>
  <si>
    <t>Bénéfice/Perte</t>
  </si>
  <si>
    <t>Compte</t>
  </si>
  <si>
    <t>N°</t>
  </si>
  <si>
    <t>Date</t>
  </si>
  <si>
    <t>Montant</t>
  </si>
  <si>
    <t>En faveur de</t>
  </si>
  <si>
    <t>Libellé</t>
  </si>
  <si>
    <t>Entré par</t>
  </si>
  <si>
    <t>Coffre/Banque</t>
  </si>
  <si>
    <t>Centre de coûts</t>
  </si>
  <si>
    <t xml:space="preserve">N°Référence </t>
  </si>
  <si>
    <t>Solde Compte Courant</t>
  </si>
  <si>
    <t>Solde Coffre</t>
  </si>
  <si>
    <t>Solde Compte Epargne</t>
  </si>
  <si>
    <t>Solde Compte MyPos</t>
  </si>
  <si>
    <t>Total</t>
  </si>
  <si>
    <t>Abréviations comptables</t>
  </si>
  <si>
    <t xml:space="preserve">solde compte initial </t>
  </si>
  <si>
    <t>MCA</t>
  </si>
  <si>
    <t>Manuel Cabras</t>
  </si>
  <si>
    <t>EVENTS / Produits</t>
  </si>
  <si>
    <t>BLV</t>
  </si>
  <si>
    <t>Entrée cash journéée d''accueil</t>
  </si>
  <si>
    <t>Coffre</t>
  </si>
  <si>
    <t>JACC</t>
  </si>
  <si>
    <t>EVENTS / Charges</t>
  </si>
  <si>
    <t>Landi</t>
  </si>
  <si>
    <t>JA : Charbon</t>
  </si>
  <si>
    <t>CompteCourant</t>
  </si>
  <si>
    <t>SG1 : Charbon</t>
  </si>
  <si>
    <t>SEGRILL1</t>
  </si>
  <si>
    <t>DIVERS / Charges</t>
  </si>
  <si>
    <t>Bière pour local</t>
  </si>
  <si>
    <t>AFTER</t>
  </si>
  <si>
    <t>SG1 15.09  : Recette lundi midi CASH</t>
  </si>
  <si>
    <t>SG1 15.09 : Recette lundi après-midi CASH</t>
  </si>
  <si>
    <t>Abréviations libellés</t>
  </si>
  <si>
    <t>AL : Entrées au 16.09 (beer money)</t>
  </si>
  <si>
    <t>AB</t>
  </si>
  <si>
    <t>After Baleinev</t>
  </si>
  <si>
    <t>SG1 16.09 : Recette CASH</t>
  </si>
  <si>
    <t>AGE</t>
  </si>
  <si>
    <t>Événements AGE</t>
  </si>
  <si>
    <t>AL du 10.09</t>
  </si>
  <si>
    <t>Am</t>
  </si>
  <si>
    <t>Amalgame</t>
  </si>
  <si>
    <t>JA 11.09 : Recette TWINT</t>
  </si>
  <si>
    <t>BF22</t>
  </si>
  <si>
    <t>Baleinev Festival 2022</t>
  </si>
  <si>
    <t>SG1 15.09 : Recette TWINT</t>
  </si>
  <si>
    <t>BF23</t>
  </si>
  <si>
    <t>Baleinev Festival 2023</t>
  </si>
  <si>
    <t>SG1 16.09 : Recette TWINT</t>
  </si>
  <si>
    <t>BS</t>
  </si>
  <si>
    <t>Baleiski</t>
  </si>
  <si>
    <t>SG1 17.09 : Recette TWINT</t>
  </si>
  <si>
    <t>Div</t>
  </si>
  <si>
    <t>Divers</t>
  </si>
  <si>
    <t>SG1 18.09 : Recette TWINT</t>
  </si>
  <si>
    <t>FG</t>
  </si>
  <si>
    <t>Frais généraux</t>
  </si>
  <si>
    <t>AL 18.09 : Recette TWINT</t>
  </si>
  <si>
    <t>GM</t>
  </si>
  <si>
    <t>Grosse murge</t>
  </si>
  <si>
    <t>SG 19.09 : Recette TWINT</t>
  </si>
  <si>
    <t>LB</t>
  </si>
  <si>
    <t>Local Baleinev</t>
  </si>
  <si>
    <t>SG 16.09 : Recette CASH</t>
  </si>
  <si>
    <t>Pa</t>
  </si>
  <si>
    <t>Passation</t>
  </si>
  <si>
    <t>AL 18.09 : Recette CASH</t>
  </si>
  <si>
    <t>PO</t>
  </si>
  <si>
    <t>Portes ouvertes</t>
  </si>
  <si>
    <t>SG 19.09 : Recette CASH</t>
  </si>
  <si>
    <t>RI</t>
  </si>
  <si>
    <t>Raclette Interrassociation</t>
  </si>
  <si>
    <t>AG : Achat bières</t>
  </si>
  <si>
    <t>INTERNE</t>
  </si>
  <si>
    <t>ROA</t>
  </si>
  <si>
    <t>Rock Oz Arène</t>
  </si>
  <si>
    <t>Denner</t>
  </si>
  <si>
    <t>JA : Bonbons</t>
  </si>
  <si>
    <t>SE</t>
  </si>
  <si>
    <t>Sans effet</t>
  </si>
  <si>
    <t>JA : Softs</t>
  </si>
  <si>
    <t>SG1</t>
  </si>
  <si>
    <t>Semaine grillade n°1</t>
  </si>
  <si>
    <t>SANS EFFET / Produits</t>
  </si>
  <si>
    <t>UNILIVE : DEMANDER MAX</t>
  </si>
  <si>
    <t>SG2</t>
  </si>
  <si>
    <t>Semaine grillade n°2</t>
  </si>
  <si>
    <t>Commune de Cheseaux</t>
  </si>
  <si>
    <t>Caution GM</t>
  </si>
  <si>
    <t>Spo</t>
  </si>
  <si>
    <t>Sponsoring</t>
  </si>
  <si>
    <t>Thomas Brêchet</t>
  </si>
  <si>
    <t>SG1 : Courses Hot Dogs</t>
  </si>
  <si>
    <t>SVC</t>
  </si>
  <si>
    <t>Semain vin chaud</t>
  </si>
  <si>
    <t>SR</t>
  </si>
  <si>
    <t>stand rentrée</t>
  </si>
  <si>
    <t>SG1 : Courses after (softs)</t>
  </si>
  <si>
    <t>AL</t>
  </si>
  <si>
    <t>after local</t>
  </si>
  <si>
    <t>AS</t>
  </si>
  <si>
    <t xml:space="preserve">apéro de soutien </t>
  </si>
  <si>
    <t>ADMINISTRATION / Charges</t>
  </si>
  <si>
    <t>BCV</t>
  </si>
  <si>
    <t>Frais périodiques</t>
  </si>
  <si>
    <t>MdN</t>
  </si>
  <si>
    <t>Marché de Noël</t>
  </si>
  <si>
    <t>Le Csarda</t>
  </si>
  <si>
    <t>SG : Pizza</t>
  </si>
  <si>
    <t>SeM</t>
  </si>
  <si>
    <t>Semaine de montage</t>
  </si>
  <si>
    <t>ADMINISTRATION / Produits</t>
  </si>
  <si>
    <t>SG : Pizzas + boissons</t>
  </si>
  <si>
    <t>JA</t>
  </si>
  <si>
    <t>Journée d'accueil</t>
  </si>
  <si>
    <t>Maxime Magnenat</t>
  </si>
  <si>
    <t>Renouvellement Infomaniak</t>
  </si>
  <si>
    <t>DrawOnMe : croques monsieur</t>
  </si>
  <si>
    <t>EVTCHILL</t>
  </si>
  <si>
    <t>SANS EFFET / Charges</t>
  </si>
  <si>
    <t>A COMPLETER</t>
  </si>
  <si>
    <t>Laiterie du Chateau</t>
  </si>
  <si>
    <t>Fromage GM</t>
  </si>
  <si>
    <t>Boulangerie du Chateau</t>
  </si>
  <si>
    <t>Pain GM</t>
  </si>
  <si>
    <t>Chopfab Boxer</t>
  </si>
  <si>
    <t>Bières SG1 et JACC</t>
  </si>
  <si>
    <t>Boissons local</t>
  </si>
  <si>
    <t>Provenance : Etu'sounds</t>
  </si>
  <si>
    <t>Patrick Magnenat</t>
  </si>
  <si>
    <t>Achat nouvelle cuisine</t>
  </si>
  <si>
    <t>Revenus GM</t>
  </si>
  <si>
    <t>Revenus DrawOnMe + After</t>
  </si>
  <si>
    <t>Revenus Soirée fantaisie</t>
  </si>
  <si>
    <t>Revenus GM Cash</t>
  </si>
  <si>
    <t>Revenu after 9.10</t>
  </si>
  <si>
    <t>Cash Courses event chillout</t>
  </si>
  <si>
    <t>Correction après comptage caisse</t>
  </si>
  <si>
    <t>Entrées afters</t>
  </si>
  <si>
    <t>note de frais</t>
  </si>
  <si>
    <t>Revenus Soirée Halloween twint soupe courge</t>
  </si>
  <si>
    <t>manu achat soupe courge</t>
  </si>
  <si>
    <t>entrées halloween twint</t>
  </si>
  <si>
    <t>Digitec Galaxus</t>
  </si>
  <si>
    <t>Achat frigo</t>
  </si>
  <si>
    <t>Depôt GM cheseaux pt 2</t>
  </si>
  <si>
    <t>Entrée after</t>
  </si>
  <si>
    <t>Entente intercomm. Crissier</t>
  </si>
  <si>
    <t>Dépôt chalet Baleiski</t>
  </si>
  <si>
    <t>Mobility</t>
  </si>
  <si>
    <t>Location remplacement cuisine</t>
  </si>
  <si>
    <t>Coop St. Blaise</t>
  </si>
  <si>
    <t>Achats MDN</t>
  </si>
  <si>
    <t>MDN</t>
  </si>
  <si>
    <t>Prodega</t>
  </si>
  <si>
    <t>Mobilier divers</t>
  </si>
  <si>
    <t>DÉCORATION / Charges</t>
  </si>
  <si>
    <t>Cécile Cabaret</t>
  </si>
  <si>
    <t>note de frais deco</t>
  </si>
  <si>
    <t>Gilles Rothermund</t>
  </si>
  <si>
    <t>Sarah Mallet</t>
  </si>
  <si>
    <t>PMT CARTE Landi Nord vaudois V</t>
  </si>
  <si>
    <t>PMT CARTE Lidl Yverdon</t>
  </si>
  <si>
    <t>HEIG-VD</t>
  </si>
  <si>
    <t>PRELEVEMENT YVERDON</t>
  </si>
  <si>
    <t>Lucas Charbonnier</t>
  </si>
  <si>
    <t>Fino Resto SA</t>
  </si>
  <si>
    <t>Olivier (Sarah) : ACHATS MDN</t>
  </si>
  <si>
    <t>Maxime : PIZZAS SG 3</t>
  </si>
  <si>
    <t>Sarah : ACHATS MDN (JAMBON)</t>
  </si>
  <si>
    <t>PMT CARTE Denner Discount 1741</t>
  </si>
  <si>
    <t>PMT CARTE ALIGRO CHAVANNES</t>
  </si>
  <si>
    <t>PMT CARTE Coop-2262 Crissier</t>
  </si>
  <si>
    <t>PMT CARTE Shell Yverdon</t>
  </si>
  <si>
    <t>PMT CARTE Coop-1966 Yverdon</t>
  </si>
  <si>
    <t>PMT CARTE Coop-2564 Montagny</t>
  </si>
  <si>
    <t>PMT CARTE Denner Yverdon-CC Me</t>
  </si>
  <si>
    <t>PMT CARTE Migros MMM Yverdon</t>
  </si>
  <si>
    <t>SARAH KM CERNIER</t>
  </si>
  <si>
    <t>SARAH KM ALIGRO</t>
  </si>
  <si>
    <t>Sarah : CADEAU AIDE CUISINE</t>
  </si>
  <si>
    <t>Chopfab Boxer AG</t>
  </si>
  <si>
    <t>PMT CARTE ARTISANPIZZA SARL</t>
  </si>
  <si>
    <t>Bernycool SA</t>
  </si>
  <si>
    <t>ecomanif SA</t>
  </si>
  <si>
    <t>Mobility Genossenschaft</t>
  </si>
  <si>
    <t>SUISA</t>
  </si>
  <si>
    <t>RESULTATS</t>
  </si>
  <si>
    <t>Année</t>
  </si>
  <si>
    <t>2025-2026</t>
  </si>
  <si>
    <t>Version du budget</t>
  </si>
  <si>
    <t>Date:</t>
  </si>
  <si>
    <t>Nombre</t>
  </si>
  <si>
    <t>Prix</t>
  </si>
  <si>
    <t>Prélocs</t>
  </si>
  <si>
    <t>Entrées</t>
  </si>
  <si>
    <t>Billets subventionnés AGE</t>
  </si>
  <si>
    <t>Départements</t>
  </si>
  <si>
    <t>BUDGET</t>
  </si>
  <si>
    <t>COMPTABILITE</t>
  </si>
  <si>
    <t>Charges</t>
  </si>
  <si>
    <t>Produits</t>
  </si>
  <si>
    <t>Bénéfices/Pertes</t>
  </si>
  <si>
    <t xml:space="preserve">Différence </t>
  </si>
  <si>
    <t>(par rapport au budget)</t>
  </si>
  <si>
    <t>?</t>
  </si>
  <si>
    <t>BENEFICE/PERTE</t>
  </si>
  <si>
    <t>TOTAL</t>
  </si>
  <si>
    <t>ADMINISTRATION</t>
  </si>
  <si>
    <t>weezevents</t>
  </si>
  <si>
    <t>PU</t>
  </si>
  <si>
    <t>Qte</t>
  </si>
  <si>
    <t>TOT</t>
  </si>
  <si>
    <t>Mois de facturation</t>
  </si>
  <si>
    <t>solution bracelet activé</t>
  </si>
  <si>
    <t>Cotisations USLY</t>
  </si>
  <si>
    <t>solution si bon prix</t>
  </si>
  <si>
    <t>Assurance RC</t>
  </si>
  <si>
    <t>frais distribution</t>
  </si>
  <si>
    <t>Petzi</t>
  </si>
  <si>
    <t>frais remboursement</t>
  </si>
  <si>
    <t>Frais divers</t>
  </si>
  <si>
    <t>assistance mail</t>
  </si>
  <si>
    <t>POCAMA</t>
  </si>
  <si>
    <t>bracelets</t>
  </si>
  <si>
    <t>Weezevent (sans frais activation)</t>
  </si>
  <si>
    <t>worst case scenario</t>
  </si>
  <si>
    <t>transport</t>
  </si>
  <si>
    <t xml:space="preserve">frais de compte </t>
  </si>
  <si>
    <t>Bracelets staff</t>
  </si>
  <si>
    <t xml:space="preserve">vignette </t>
  </si>
  <si>
    <t>Activation puce (1 CHF 800 festivaliers)</t>
  </si>
  <si>
    <t>COMMUNICATION</t>
  </si>
  <si>
    <t>Novembre</t>
  </si>
  <si>
    <t>Stickers Baleinev édition 2026
 Online Printers - étiquettes adhésives, ø 5cm, 90g/m² papier blanc structuré, 2000 pièces</t>
  </si>
  <si>
    <t>Décembre</t>
  </si>
  <si>
    <t>Fevrier</t>
  </si>
  <si>
    <t>Affiches festival, A2, impression recto seul, 115g/m² papier affiche (dos bleu), 500 impressions</t>
  </si>
  <si>
    <t>Flyers festival, A5, impression recto/verso, 250g/m² papier couché, 1'000 impressions</t>
  </si>
  <si>
    <t>Bâches PVC affichées à l'écoles, 300 x 150 cm, 500g/m² PVC mat, 2 bâches, Options supplémentaires ourlet et oeillets tout autour</t>
  </si>
  <si>
    <t>Bâches PVC entrée de la ville, 400 x 50 cm, 500g/m² PVC mat, 2 bâches, Options supplémentaires ourlet et oeillets tout autour</t>
  </si>
  <si>
    <t>Avril</t>
  </si>
  <si>
    <t>Mise en place des bâches</t>
  </si>
  <si>
    <t>T-shirts, hoodies, autre vêtement</t>
  </si>
  <si>
    <t>Mars</t>
  </si>
  <si>
    <t>Concours réseaux sociaux 4 billets à gagner</t>
  </si>
  <si>
    <t>Septembre</t>
  </si>
  <si>
    <t>Site web</t>
  </si>
  <si>
    <t>Social Media Marketing (Publicités en ligne)</t>
  </si>
  <si>
    <t>Voir campagne : mieux cibler (- de thune + de renta)</t>
  </si>
  <si>
    <t>Goodies (Briquets)</t>
  </si>
  <si>
    <t>Janvier</t>
  </si>
  <si>
    <t>Pixartprinting bâche Travys/sponsors grande scène (présidence PV Travys)</t>
  </si>
  <si>
    <t>T-shirts, hoodies, autres vetements</t>
  </si>
  <si>
    <t>DÉCORATION</t>
  </si>
  <si>
    <t>Décoration festival</t>
  </si>
  <si>
    <t>Contrôle d'accès par Staff</t>
  </si>
  <si>
    <t>Contrôle entrée par Balelec</t>
  </si>
  <si>
    <t>A valider lors de la présentation du thème</t>
  </si>
  <si>
    <t>DIVERS</t>
  </si>
  <si>
    <t>Essence/Mobility</t>
  </si>
  <si>
    <t>Imprévus</t>
  </si>
  <si>
    <t>ÉLECTRICITÉ</t>
  </si>
  <si>
    <t>ENTREES</t>
  </si>
  <si>
    <t>Infomaniak frais vente en ligne</t>
  </si>
  <si>
    <t xml:space="preserve">Infomaniak comission par billet </t>
  </si>
  <si>
    <t>vendu 2025</t>
  </si>
  <si>
    <t>dont rabais</t>
  </si>
  <si>
    <t>Early bird</t>
  </si>
  <si>
    <t>Préloc standard</t>
  </si>
  <si>
    <t>Sur place</t>
  </si>
  <si>
    <t>reduc AGE</t>
  </si>
  <si>
    <t>Total des entrées</t>
  </si>
  <si>
    <t>gratuit</t>
  </si>
  <si>
    <t>Parking selon 25 (542.20)</t>
  </si>
  <si>
    <t>total</t>
  </si>
  <si>
    <t>Vestiaires (basé sur 100 vestes)</t>
  </si>
  <si>
    <t>EVENTS</t>
  </si>
  <si>
    <t>Semaine Grillades 1 (rentrée)</t>
  </si>
  <si>
    <t>Semaine de vin chaud</t>
  </si>
  <si>
    <t>Semaine Grillades 2 (montage)</t>
  </si>
  <si>
    <t>Grosse Murge GM</t>
  </si>
  <si>
    <t>Raclette inter-asso</t>
  </si>
  <si>
    <t>Vestiaire Amalgame</t>
  </si>
  <si>
    <t>After</t>
  </si>
  <si>
    <t>Tremplin</t>
  </si>
  <si>
    <t>Apéro de soutien</t>
  </si>
  <si>
    <t>CRUNCH</t>
  </si>
  <si>
    <t>(600 de bouffe)</t>
  </si>
  <si>
    <t>local baleinev</t>
  </si>
  <si>
    <t>Passation pouvoir</t>
  </si>
  <si>
    <t>Marché de Noel</t>
  </si>
  <si>
    <t>peut-être moins au vu des reserves à la cave</t>
  </si>
  <si>
    <t>Nourriture GM + participation</t>
  </si>
  <si>
    <t>raclette inter-asso</t>
  </si>
  <si>
    <t>semaine de vin chaud</t>
  </si>
  <si>
    <t>compliqué</t>
  </si>
  <si>
    <t>Semaine montage</t>
  </si>
  <si>
    <t>Baleiski participation</t>
  </si>
  <si>
    <t>prduit MdN</t>
  </si>
  <si>
    <t>INFRASTRUCTURE</t>
  </si>
  <si>
    <t>Moquette</t>
  </si>
  <si>
    <t xml:space="preserve">matos divers </t>
  </si>
  <si>
    <t>Gobelets + lavage ECOMANIF</t>
  </si>
  <si>
    <t>Poubelles STRID</t>
  </si>
  <si>
    <t>Nettoyage Hall HEIG-VD</t>
  </si>
  <si>
    <t>Location MobiToil (WC)</t>
  </si>
  <si>
    <t>Location d'une tente/cantine</t>
  </si>
  <si>
    <t>Ancienne tente -&gt; 6x24m, nouvelle -&gt; 6x18m</t>
  </si>
  <si>
    <t xml:space="preserve">frais remorque </t>
  </si>
  <si>
    <t>Matériels à louer</t>
  </si>
  <si>
    <t>Caution</t>
  </si>
  <si>
    <t>Fixé le 11.10.2025</t>
  </si>
  <si>
    <t>Location</t>
  </si>
  <si>
    <t>Location 1x grill (2x0.4m)</t>
  </si>
  <si>
    <t>CHF 100.-</t>
  </si>
  <si>
    <t>CHF 50.-</t>
  </si>
  <si>
    <t>Livraison non-comprise obviously</t>
  </si>
  <si>
    <t>Location remorque</t>
  </si>
  <si>
    <t>CHF 500.-</t>
  </si>
  <si>
    <t>Location tente (3x6m) - petite</t>
  </si>
  <si>
    <t>CHF 60.-/jour</t>
  </si>
  <si>
    <t>Location tente (5x10m) - grande vin chaud</t>
  </si>
  <si>
    <t>CHF 200.-</t>
  </si>
  <si>
    <t>Location barrières (Jaquet) - Barrières chantier (+ plots &amp; fixations)</t>
  </si>
  <si>
    <t>CHF 5.-/barrière</t>
  </si>
  <si>
    <t>Location panneaux phoniques</t>
  </si>
  <si>
    <t>CHF 50.-/panneau</t>
  </si>
  <si>
    <t>Location sonos</t>
  </si>
  <si>
    <t>CHF 50.-/sono</t>
  </si>
  <si>
    <t>LOGES</t>
  </si>
  <si>
    <t>Linges</t>
  </si>
  <si>
    <t>Nourritures, boissons</t>
  </si>
  <si>
    <t>PROGRAMMATION</t>
  </si>
  <si>
    <t xml:space="preserve">Cachet </t>
  </si>
  <si>
    <t>Mille4samples E03</t>
  </si>
  <si>
    <t>Acompte Suisa 1000 à payer 27 Mai</t>
  </si>
  <si>
    <t>SUISA  (% du cachet)*</t>
  </si>
  <si>
    <t>Hébergement</t>
  </si>
  <si>
    <t>PMW</t>
  </si>
  <si>
    <t>RAVITAILLEMENT</t>
  </si>
  <si>
    <t>Boissons, etc selon 2025</t>
  </si>
  <si>
    <t>Repas staff soirée (10.-/staff, 200pers)</t>
  </si>
  <si>
    <t>Repas semaine de montage (10.-/pers/jour, 11jours, 25pers)</t>
  </si>
  <si>
    <t>apero collabo + sponso si pas à l'hôtel (60 p)</t>
  </si>
  <si>
    <t>moins si possible</t>
  </si>
  <si>
    <t>Recette bars selon recette 2025 (26'579 CHF)</t>
  </si>
  <si>
    <t>Taxes stands 3 stands (place : 800 .-)</t>
  </si>
  <si>
    <t>Apéro collabo</t>
  </si>
  <si>
    <t>SECURITE</t>
  </si>
  <si>
    <t>Postes samaritian / secouriste</t>
  </si>
  <si>
    <t>SAT ambulance</t>
  </si>
  <si>
    <t>Location extincteurs</t>
  </si>
  <si>
    <t xml:space="preserve">Au Co2 </t>
  </si>
  <si>
    <t>Entreprise Norex</t>
  </si>
  <si>
    <t>Prestations sécurité (prestations + radio)</t>
  </si>
  <si>
    <t>SPONSORING</t>
  </si>
  <si>
    <t>Yverdon-les-Bains</t>
  </si>
  <si>
    <t>Dolci Architectes</t>
  </si>
  <si>
    <t>VOE services SA</t>
  </si>
  <si>
    <t>autres</t>
  </si>
  <si>
    <t>+ DE SPONSO !!!</t>
  </si>
  <si>
    <t>TECHNIQUE</t>
  </si>
  <si>
    <t>Mai</t>
  </si>
  <si>
    <t>Impact Vision</t>
  </si>
  <si>
    <t>A discuter avec impact</t>
  </si>
  <si>
    <t>Prêt de l'Amalgame</t>
  </si>
  <si>
    <t>E03</t>
  </si>
  <si>
    <t>a voir</t>
  </si>
  <si>
    <t>Ingé Son/Light</t>
  </si>
  <si>
    <t>Matériel divers</t>
  </si>
  <si>
    <t>SANS EFFET</t>
  </si>
  <si>
    <t>Vide</t>
  </si>
  <si>
    <t>Vide 2</t>
  </si>
  <si>
    <t>Auteur</t>
  </si>
  <si>
    <t>Johan Di Pietrantonio</t>
  </si>
  <si>
    <t>joh.dipo@gmail.com</t>
  </si>
  <si>
    <t>Document créé en novembre 2012</t>
  </si>
  <si>
    <t>But</t>
  </si>
  <si>
    <t>Ce document a été créé dans l'optique détablire un cadre de comptailité simple pour Baleinev, qui puisse être repris chaque année pour établire le budget et faire le contrôle de gestion.</t>
  </si>
  <si>
    <t>Historique</t>
  </si>
  <si>
    <t>Repris en 2014 Par Dylan Collaud Président de l'édition 2015</t>
  </si>
  <si>
    <t>Repris en 2015 Par Alex Bretagne comptable de l'édition 2016</t>
  </si>
  <si>
    <t>Repris en 2016 Par Max Caduff comptable de l'édition 2017</t>
  </si>
  <si>
    <t>Repris en 2017 par André Neuenschwander comptable de l'édition 2018</t>
  </si>
  <si>
    <t>Repris en 2021 par Laure Gerber comptable de l'édition 2022</t>
  </si>
  <si>
    <t xml:space="preserve">note pour next year : budget merch et extincteur </t>
  </si>
  <si>
    <t>SEGRILL2</t>
  </si>
  <si>
    <t>SEVINCHAUD</t>
  </si>
  <si>
    <t>BALEISKI</t>
  </si>
  <si>
    <t>FESTIVAL</t>
  </si>
  <si>
    <t>IKEA (CembraPay)</t>
  </si>
  <si>
    <t>Event XXX</t>
  </si>
  <si>
    <t>Remboursement caution GM</t>
  </si>
  <si>
    <t>???</t>
  </si>
  <si>
    <t>RAVITAILLEMENT / Produits</t>
  </si>
  <si>
    <t>Vin pour AGE</t>
  </si>
  <si>
    <t>Transfert caisse</t>
  </si>
  <si>
    <t>SPONSORING / Produits</t>
  </si>
  <si>
    <t>PROGRAMMATION / Charges</t>
  </si>
  <si>
    <t>Entrée twint</t>
  </si>
  <si>
    <t>Avance caution baleiski</t>
  </si>
  <si>
    <t>La laiterie du chateau</t>
  </si>
  <si>
    <t>courses baleiski</t>
  </si>
  <si>
    <t>lidl collombey</t>
  </si>
  <si>
    <t>aligro chavannes</t>
  </si>
  <si>
    <t>Entrées baleiski twint</t>
  </si>
  <si>
    <t>Laiterie de Pomy</t>
  </si>
  <si>
    <t>Le csarda</t>
  </si>
  <si>
    <t>Entrées SG</t>
  </si>
  <si>
    <t>Pizzas SG</t>
  </si>
  <si>
    <t xml:space="preserve">twint </t>
  </si>
  <si>
    <t>ENTREES / Charges</t>
  </si>
  <si>
    <t>Weezevent</t>
  </si>
  <si>
    <t>Acompte bracelets</t>
  </si>
  <si>
    <t>Elia Nicolo</t>
  </si>
  <si>
    <t>Commande affiches</t>
  </si>
  <si>
    <t>Ville Yverdon-les-Bains</t>
  </si>
  <si>
    <t>Commissions MDN</t>
  </si>
  <si>
    <t>INFRASTRUCTURE / Charges</t>
  </si>
  <si>
    <t>Etat de Vaud</t>
  </si>
  <si>
    <t>Vignette Remorque</t>
  </si>
  <si>
    <t>event</t>
  </si>
  <si>
    <t>SCOP SAS AFX</t>
  </si>
  <si>
    <t>Acompte ThaHomey</t>
  </si>
  <si>
    <t>Lidl Yverdon</t>
  </si>
  <si>
    <t>Achats after</t>
  </si>
  <si>
    <t>Denner Yverdon</t>
  </si>
  <si>
    <t>Coop Yverdon</t>
  </si>
  <si>
    <t>Landi Yverdon</t>
  </si>
  <si>
    <t>Entrées Crunch</t>
  </si>
  <si>
    <t>ENTREES / Produits</t>
  </si>
  <si>
    <t>Vente billets</t>
  </si>
  <si>
    <t>twint</t>
  </si>
  <si>
    <t>entrée sumup</t>
  </si>
  <si>
    <t>entrée twint</t>
  </si>
  <si>
    <t>entrée sumup : manu test</t>
  </si>
  <si>
    <t>HEIG-VD remboursement cuisine</t>
  </si>
  <si>
    <t>AGE : achat vin AG</t>
  </si>
  <si>
    <t>Don Jérémy Martin</t>
  </si>
  <si>
    <t>Frais annuel</t>
  </si>
  <si>
    <t>Versement caisse &gt; CC</t>
  </si>
  <si>
    <t>Versement CC &gt; Caisse</t>
  </si>
  <si>
    <t>Mobilière : Remboursement incident POS</t>
  </si>
  <si>
    <t>Courses GM - 26.85 possiblement pas remboursé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</si>
</sst>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[$CHF]\ #,##0"/>
    <numFmt numFmtId="165" formatCode="[$CHF]\ #,##0.00"/>
    <numFmt numFmtId="166" formatCode="d/m/yyyy"/>
    <numFmt numFmtId="167" formatCode="dd/mm/yyyy"/>
    <numFmt numFmtId="168" formatCode="#,##0.00\ [$CHF]"/>
    <numFmt numFmtId="169" formatCode="m/d/yyyy"/>
    <numFmt numFmtId="170" formatCode="[$CHF ]#,##0.00"/>
    <numFmt numFmtId="171" formatCode="0.0%"/>
    <numFmt numFmtId="172" formatCode="&quot;CHF &quot;#,##0.00"/>
    <numFmt numFmtId="173" formatCode="[$CHF]#,##0.00"/>
  </numFmts>
  <fonts count="29" x14ac:knownFonts="1">
    <font>
      <sz val="11"/>
      <color rgb="FF000000"/>
      <name val="Calibri"/>
      <scheme val="minor"/>
    </font>
    <font>
      <sz val="11"/>
      <color rgb="FF000000"/>
      <name val="Montserrat"/>
    </font>
    <font>
      <b/>
      <sz val="18"/>
      <color rgb="FFFFFFFF"/>
      <name val="Montserrat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Montserrat"/>
    </font>
    <font>
      <sz val="11"/>
      <color rgb="FFFF0000"/>
      <name val="Montserrat"/>
    </font>
    <font>
      <b/>
      <sz val="10"/>
      <color rgb="FF000000"/>
      <name val="Montserrat"/>
    </font>
    <font>
      <b/>
      <sz val="11"/>
      <color theme="1"/>
      <name val="Montserrat"/>
    </font>
    <font>
      <sz val="10"/>
      <color rgb="FF000000"/>
      <name val="Montserrat"/>
    </font>
    <font>
      <sz val="10"/>
      <color theme="1"/>
      <name val="Montserrat"/>
    </font>
    <font>
      <b/>
      <sz val="10"/>
      <color theme="1"/>
      <name val="Montserrat"/>
    </font>
    <font>
      <sz val="11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  <font>
      <sz val="9"/>
      <color theme="1"/>
      <name val="Montserrat"/>
    </font>
    <font>
      <b/>
      <sz val="14"/>
      <color rgb="FF000000"/>
      <name val="Montserrat"/>
    </font>
    <font>
      <b/>
      <sz val="11"/>
      <color rgb="FF006100"/>
      <name val="Montserrat"/>
    </font>
    <font>
      <sz val="18"/>
      <color rgb="FF000000"/>
      <name val="Montserrat"/>
    </font>
    <font>
      <u/>
      <sz val="11"/>
      <color rgb="FF000000"/>
      <name val="Montserrat"/>
    </font>
    <font>
      <strike/>
      <sz val="11"/>
      <color rgb="FF000000"/>
      <name val="Montserrat"/>
    </font>
    <font>
      <i/>
      <sz val="11"/>
      <color rgb="FF000000"/>
      <name val="Montserrat"/>
    </font>
    <font>
      <sz val="11"/>
      <color rgb="FF000000"/>
      <name val="Calibri"/>
      <family val="2"/>
    </font>
    <font>
      <b/>
      <sz val="18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4"/>
      <color rgb="FF000000"/>
      <name val="Montserrat"/>
    </font>
    <font>
      <u/>
      <sz val="11"/>
      <color rgb="FF0000FF"/>
      <name val="Montserrat"/>
    </font>
    <font>
      <sz val="10"/>
      <color rgb="FF000000"/>
      <name val="Montserrat"/>
      <charset val="1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AC090"/>
        <bgColor rgb="FFFAC090"/>
      </patternFill>
    </fill>
    <fill>
      <patternFill patternType="solid">
        <fgColor rgb="FFB9CDE5"/>
        <bgColor rgb="FFB9CDE5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DFFA4"/>
        <bgColor rgb="FFFDFFA4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8"/>
        <bgColor theme="8"/>
      </patternFill>
    </fill>
    <fill>
      <patternFill patternType="solid">
        <fgColor rgb="FFCCC1DA"/>
        <bgColor rgb="FFCCC1DA"/>
      </patternFill>
    </fill>
    <fill>
      <patternFill patternType="solid">
        <fgColor rgb="FFD9D9D9"/>
        <bgColor rgb="FFD9D9D9"/>
      </patternFill>
    </fill>
    <fill>
      <patternFill patternType="solid">
        <fgColor rgb="FFB3A2C7"/>
        <bgColor rgb="FFB3A2C7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rgb="FFB8CCE4"/>
      </patternFill>
    </fill>
  </fills>
  <borders count="1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</borders>
  <cellStyleXfs count="1">
    <xf numFmtId="164" fontId="0" fillId="0" borderId="0"/>
  </cellStyleXfs>
  <cellXfs count="390">
    <xf numFmtId="164" fontId="0" fillId="0" borderId="0" xfId="0"/>
    <xf numFmtId="0" fontId="1" fillId="0" borderId="0" xfId="0" applyNumberFormat="1" applyFont="1"/>
    <xf numFmtId="0" fontId="4" fillId="0" borderId="0" xfId="0" applyNumberFormat="1" applyFont="1"/>
    <xf numFmtId="164" fontId="2" fillId="2" borderId="4" xfId="0" applyFont="1" applyFill="1" applyBorder="1" applyAlignment="1">
      <alignment horizontal="center"/>
    </xf>
    <xf numFmtId="164" fontId="1" fillId="0" borderId="0" xfId="0" applyFont="1"/>
    <xf numFmtId="165" fontId="5" fillId="0" borderId="0" xfId="0" applyNumberFormat="1" applyFont="1"/>
    <xf numFmtId="164" fontId="6" fillId="0" borderId="0" xfId="0" applyFont="1"/>
    <xf numFmtId="165" fontId="1" fillId="0" borderId="0" xfId="0" applyNumberFormat="1" applyFont="1"/>
    <xf numFmtId="0" fontId="7" fillId="3" borderId="4" xfId="0" applyNumberFormat="1" applyFont="1" applyFill="1" applyBorder="1" applyAlignment="1">
      <alignment horizontal="left" vertical="center"/>
    </xf>
    <xf numFmtId="1" fontId="7" fillId="3" borderId="4" xfId="0" applyNumberFormat="1" applyFont="1" applyFill="1" applyBorder="1" applyAlignment="1">
      <alignment horizontal="left" vertical="center"/>
    </xf>
    <xf numFmtId="166" fontId="7" fillId="3" borderId="4" xfId="0" applyNumberFormat="1" applyFont="1" applyFill="1" applyBorder="1" applyAlignment="1">
      <alignment horizontal="left" vertical="center"/>
    </xf>
    <xf numFmtId="165" fontId="7" fillId="3" borderId="4" xfId="0" applyNumberFormat="1" applyFont="1" applyFill="1" applyBorder="1" applyAlignment="1">
      <alignment horizontal="left" vertical="center"/>
    </xf>
    <xf numFmtId="49" fontId="7" fillId="3" borderId="4" xfId="0" applyNumberFormat="1" applyFont="1" applyFill="1" applyBorder="1" applyAlignment="1">
      <alignment horizontal="left" vertical="center"/>
    </xf>
    <xf numFmtId="165" fontId="7" fillId="4" borderId="5" xfId="0" applyNumberFormat="1" applyFont="1" applyFill="1" applyBorder="1" applyAlignment="1">
      <alignment horizontal="left" vertical="center"/>
    </xf>
    <xf numFmtId="165" fontId="7" fillId="4" borderId="4" xfId="0" applyNumberFormat="1" applyFont="1" applyFill="1" applyBorder="1" applyAlignment="1">
      <alignment horizontal="left" vertical="center"/>
    </xf>
    <xf numFmtId="165" fontId="7" fillId="5" borderId="5" xfId="0" applyNumberFormat="1" applyFont="1" applyFill="1" applyBorder="1" applyAlignment="1">
      <alignment horizontal="left" vertical="center"/>
    </xf>
    <xf numFmtId="0" fontId="7" fillId="0" borderId="0" xfId="0" applyNumberFormat="1" applyFont="1" applyAlignment="1">
      <alignment horizontal="left" vertical="center" wrapText="1"/>
    </xf>
    <xf numFmtId="1" fontId="9" fillId="0" borderId="0" xfId="0" applyNumberFormat="1" applyFont="1" applyAlignment="1">
      <alignment horizontal="left" vertical="center" wrapText="1"/>
    </xf>
    <xf numFmtId="167" fontId="7" fillId="0" borderId="0" xfId="0" applyNumberFormat="1" applyFont="1" applyAlignment="1">
      <alignment horizontal="left" vertical="center" wrapText="1"/>
    </xf>
    <xf numFmtId="165" fontId="7" fillId="0" borderId="0" xfId="0" applyNumberFormat="1" applyFont="1" applyAlignment="1">
      <alignment horizontal="left" vertical="center" wrapText="1"/>
    </xf>
    <xf numFmtId="0" fontId="9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horizontal="left" vertical="center" wrapText="1"/>
    </xf>
    <xf numFmtId="165" fontId="9" fillId="0" borderId="8" xfId="0" applyNumberFormat="1" applyFont="1" applyBorder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5" fontId="9" fillId="0" borderId="9" xfId="0" applyNumberFormat="1" applyFont="1" applyBorder="1" applyAlignment="1">
      <alignment horizontal="left" vertical="center" wrapText="1"/>
    </xf>
    <xf numFmtId="165" fontId="9" fillId="0" borderId="10" xfId="0" applyNumberFormat="1" applyFont="1" applyBorder="1" applyAlignment="1">
      <alignment horizontal="left" vertical="center" wrapText="1"/>
    </xf>
    <xf numFmtId="165" fontId="9" fillId="0" borderId="11" xfId="0" applyNumberFormat="1" applyFont="1" applyBorder="1" applyAlignment="1">
      <alignment horizontal="left" vertical="center" wrapText="1"/>
    </xf>
    <xf numFmtId="165" fontId="9" fillId="0" borderId="12" xfId="0" applyNumberFormat="1" applyFont="1" applyBorder="1" applyAlignment="1">
      <alignment horizontal="left" vertical="center" wrapText="1"/>
    </xf>
    <xf numFmtId="165" fontId="9" fillId="0" borderId="13" xfId="0" applyNumberFormat="1" applyFont="1" applyBorder="1" applyAlignment="1">
      <alignment horizontal="left" vertical="center" wrapText="1"/>
    </xf>
    <xf numFmtId="165" fontId="9" fillId="0" borderId="14" xfId="0" applyNumberFormat="1" applyFont="1" applyBorder="1" applyAlignment="1">
      <alignment horizontal="left" vertical="center" wrapText="1"/>
    </xf>
    <xf numFmtId="164" fontId="9" fillId="0" borderId="0" xfId="0" applyFont="1" applyAlignment="1">
      <alignment horizontal="left" vertical="center" wrapText="1"/>
    </xf>
    <xf numFmtId="0" fontId="9" fillId="6" borderId="4" xfId="0" applyNumberFormat="1" applyFont="1" applyFill="1" applyBorder="1" applyAlignment="1">
      <alignment horizontal="left" vertical="center" wrapText="1"/>
    </xf>
    <xf numFmtId="165" fontId="10" fillId="0" borderId="0" xfId="0" applyNumberFormat="1" applyFont="1" applyAlignment="1">
      <alignment horizontal="left" vertical="center" wrapText="1"/>
    </xf>
    <xf numFmtId="0" fontId="11" fillId="0" borderId="0" xfId="0" applyNumberFormat="1" applyFont="1" applyAlignment="1">
      <alignment horizontal="left" vertical="center" wrapText="1"/>
    </xf>
    <xf numFmtId="167" fontId="11" fillId="0" borderId="0" xfId="0" applyNumberFormat="1" applyFont="1" applyAlignment="1">
      <alignment horizontal="left" vertical="center" wrapText="1"/>
    </xf>
    <xf numFmtId="165" fontId="11" fillId="0" borderId="0" xfId="0" applyNumberFormat="1" applyFont="1" applyAlignment="1">
      <alignment horizontal="left" vertical="center" wrapText="1"/>
    </xf>
    <xf numFmtId="0" fontId="10" fillId="0" borderId="0" xfId="0" applyNumberFormat="1" applyFont="1" applyAlignment="1">
      <alignment horizontal="left" vertical="center" wrapText="1"/>
    </xf>
    <xf numFmtId="165" fontId="9" fillId="0" borderId="17" xfId="0" applyNumberFormat="1" applyFont="1" applyBorder="1" applyAlignment="1">
      <alignment horizontal="left" vertical="center" wrapText="1"/>
    </xf>
    <xf numFmtId="168" fontId="1" fillId="0" borderId="0" xfId="0" applyNumberFormat="1" applyFont="1"/>
    <xf numFmtId="165" fontId="10" fillId="0" borderId="17" xfId="0" applyNumberFormat="1" applyFont="1" applyBorder="1" applyAlignment="1">
      <alignment horizontal="left" vertical="center" wrapText="1"/>
    </xf>
    <xf numFmtId="1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165" fontId="12" fillId="0" borderId="0" xfId="0" applyNumberFormat="1" applyFont="1"/>
    <xf numFmtId="0" fontId="8" fillId="0" borderId="0" xfId="0" applyNumberFormat="1" applyFont="1"/>
    <xf numFmtId="1" fontId="12" fillId="0" borderId="0" xfId="0" applyNumberFormat="1" applyFont="1"/>
    <xf numFmtId="166" fontId="8" fillId="0" borderId="0" xfId="0" applyNumberFormat="1" applyFont="1"/>
    <xf numFmtId="165" fontId="8" fillId="0" borderId="0" xfId="0" applyNumberFormat="1" applyFont="1"/>
    <xf numFmtId="0" fontId="12" fillId="0" borderId="0" xfId="0" applyNumberFormat="1" applyFont="1" applyAlignment="1">
      <alignment horizontal="left"/>
    </xf>
    <xf numFmtId="0" fontId="12" fillId="0" borderId="0" xfId="0" applyNumberFormat="1" applyFont="1"/>
    <xf numFmtId="49" fontId="12" fillId="0" borderId="0" xfId="0" applyNumberFormat="1" applyFont="1" applyAlignment="1">
      <alignment horizontal="left"/>
    </xf>
    <xf numFmtId="0" fontId="5" fillId="0" borderId="0" xfId="0" applyNumberFormat="1" applyFont="1"/>
    <xf numFmtId="1" fontId="1" fillId="0" borderId="0" xfId="0" applyNumberFormat="1" applyFont="1"/>
    <xf numFmtId="166" fontId="5" fillId="0" borderId="0" xfId="0" applyNumberFormat="1" applyFont="1"/>
    <xf numFmtId="0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5" fillId="0" borderId="0" xfId="0" applyFont="1"/>
    <xf numFmtId="164" fontId="2" fillId="0" borderId="0" xfId="0" applyFont="1" applyAlignment="1">
      <alignment horizontal="center"/>
    </xf>
    <xf numFmtId="164" fontId="13" fillId="7" borderId="19" xfId="0" applyFont="1" applyFill="1" applyBorder="1" applyAlignment="1">
      <alignment horizontal="left"/>
    </xf>
    <xf numFmtId="1" fontId="14" fillId="7" borderId="20" xfId="0" applyNumberFormat="1" applyFont="1" applyFill="1" applyBorder="1" applyAlignment="1">
      <alignment horizontal="left"/>
    </xf>
    <xf numFmtId="3" fontId="12" fillId="7" borderId="4" xfId="0" applyNumberFormat="1" applyFont="1" applyFill="1" applyBorder="1" applyAlignment="1">
      <alignment vertical="center"/>
    </xf>
    <xf numFmtId="169" fontId="15" fillId="7" borderId="4" xfId="0" applyNumberFormat="1" applyFont="1" applyFill="1" applyBorder="1" applyAlignment="1">
      <alignment horizontal="right" vertical="center"/>
    </xf>
    <xf numFmtId="164" fontId="2" fillId="7" borderId="4" xfId="0" applyFont="1" applyFill="1" applyBorder="1" applyAlignment="1">
      <alignment horizontal="center"/>
    </xf>
    <xf numFmtId="164" fontId="13" fillId="0" borderId="21" xfId="0" applyFont="1" applyBorder="1" applyAlignment="1">
      <alignment vertical="center"/>
    </xf>
    <xf numFmtId="164" fontId="12" fillId="0" borderId="0" xfId="0" applyFont="1" applyAlignment="1">
      <alignment vertical="center"/>
    </xf>
    <xf numFmtId="164" fontId="13" fillId="0" borderId="22" xfId="0" applyFont="1" applyBorder="1" applyAlignment="1">
      <alignment vertical="center"/>
    </xf>
    <xf numFmtId="166" fontId="14" fillId="7" borderId="23" xfId="0" applyNumberFormat="1" applyFont="1" applyFill="1" applyBorder="1" applyAlignment="1">
      <alignment horizontal="left"/>
    </xf>
    <xf numFmtId="165" fontId="2" fillId="7" borderId="4" xfId="0" applyNumberFormat="1" applyFont="1" applyFill="1" applyBorder="1" applyAlignment="1">
      <alignment horizontal="center"/>
    </xf>
    <xf numFmtId="164" fontId="2" fillId="7" borderId="4" xfId="0" applyFont="1" applyFill="1" applyBorder="1" applyAlignment="1">
      <alignment horizontal="center" vertical="center"/>
    </xf>
    <xf numFmtId="165" fontId="8" fillId="7" borderId="24" xfId="0" applyNumberFormat="1" applyFont="1" applyFill="1" applyBorder="1" applyAlignment="1">
      <alignment horizontal="right" vertical="center"/>
    </xf>
    <xf numFmtId="164" fontId="8" fillId="7" borderId="24" xfId="0" applyFont="1" applyFill="1" applyBorder="1" applyAlignment="1">
      <alignment horizontal="right" vertical="center"/>
    </xf>
    <xf numFmtId="164" fontId="1" fillId="0" borderId="0" xfId="0" applyFont="1" applyAlignment="1">
      <alignment vertical="center"/>
    </xf>
    <xf numFmtId="164" fontId="12" fillId="7" borderId="4" xfId="0" applyFont="1" applyFill="1" applyBorder="1" applyAlignment="1">
      <alignment horizontal="left"/>
    </xf>
    <xf numFmtId="164" fontId="8" fillId="7" borderId="25" xfId="0" applyFont="1" applyFill="1" applyBorder="1" applyAlignment="1">
      <alignment horizontal="left" vertical="center"/>
    </xf>
    <xf numFmtId="3" fontId="8" fillId="8" borderId="19" xfId="0" applyNumberFormat="1" applyFont="1" applyFill="1" applyBorder="1" applyAlignment="1">
      <alignment horizontal="right" vertical="center"/>
    </xf>
    <xf numFmtId="164" fontId="5" fillId="8" borderId="25" xfId="0" applyFont="1" applyFill="1" applyBorder="1" applyAlignment="1">
      <alignment vertical="center"/>
    </xf>
    <xf numFmtId="3" fontId="12" fillId="7" borderId="4" xfId="0" applyNumberFormat="1" applyFont="1" applyFill="1" applyBorder="1" applyAlignment="1">
      <alignment horizontal="left" vertical="center"/>
    </xf>
    <xf numFmtId="165" fontId="12" fillId="7" borderId="4" xfId="0" applyNumberFormat="1" applyFont="1" applyFill="1" applyBorder="1" applyAlignment="1">
      <alignment horizontal="right" vertical="center"/>
    </xf>
    <xf numFmtId="164" fontId="8" fillId="7" borderId="26" xfId="0" applyFont="1" applyFill="1" applyBorder="1" applyAlignment="1">
      <alignment horizontal="left" vertical="center"/>
    </xf>
    <xf numFmtId="164" fontId="5" fillId="8" borderId="26" xfId="0" applyFont="1" applyFill="1" applyBorder="1" applyAlignment="1">
      <alignment vertical="center"/>
    </xf>
    <xf numFmtId="169" fontId="12" fillId="7" borderId="4" xfId="0" applyNumberFormat="1" applyFont="1" applyFill="1" applyBorder="1" applyAlignment="1">
      <alignment vertical="center"/>
    </xf>
    <xf numFmtId="0" fontId="8" fillId="0" borderId="27" xfId="0" applyNumberFormat="1" applyFont="1" applyBorder="1" applyAlignment="1">
      <alignment vertical="center"/>
    </xf>
    <xf numFmtId="0" fontId="5" fillId="8" borderId="28" xfId="0" applyNumberFormat="1" applyFont="1" applyFill="1" applyBorder="1" applyAlignment="1">
      <alignment vertical="center"/>
    </xf>
    <xf numFmtId="164" fontId="5" fillId="8" borderId="29" xfId="0" applyFont="1" applyFill="1" applyBorder="1" applyAlignment="1">
      <alignment vertical="center"/>
    </xf>
    <xf numFmtId="0" fontId="12" fillId="7" borderId="4" xfId="0" applyNumberFormat="1" applyFont="1" applyFill="1" applyBorder="1" applyAlignment="1">
      <alignment vertical="center"/>
    </xf>
    <xf numFmtId="10" fontId="1" fillId="7" borderId="4" xfId="0" applyNumberFormat="1" applyFont="1" applyFill="1" applyBorder="1" applyAlignment="1">
      <alignment vertical="center"/>
    </xf>
    <xf numFmtId="165" fontId="1" fillId="0" borderId="0" xfId="0" applyNumberFormat="1" applyFont="1" applyAlignment="1">
      <alignment vertical="center"/>
    </xf>
    <xf numFmtId="164" fontId="5" fillId="7" borderId="4" xfId="0" applyFont="1" applyFill="1" applyBorder="1" applyAlignment="1">
      <alignment vertical="center"/>
    </xf>
    <xf numFmtId="164" fontId="5" fillId="7" borderId="30" xfId="0" applyFont="1" applyFill="1" applyBorder="1" applyAlignment="1">
      <alignment vertical="center"/>
    </xf>
    <xf numFmtId="0" fontId="12" fillId="0" borderId="0" xfId="0" applyNumberFormat="1" applyFont="1" applyAlignment="1">
      <alignment vertical="center"/>
    </xf>
    <xf numFmtId="164" fontId="1" fillId="0" borderId="31" xfId="0" applyFont="1" applyBorder="1" applyAlignment="1">
      <alignment vertical="center"/>
    </xf>
    <xf numFmtId="165" fontId="5" fillId="10" borderId="28" xfId="0" applyNumberFormat="1" applyFont="1" applyFill="1" applyBorder="1" applyAlignment="1">
      <alignment vertical="center"/>
    </xf>
    <xf numFmtId="164" fontId="5" fillId="10" borderId="23" xfId="0" applyFont="1" applyFill="1" applyBorder="1" applyAlignment="1">
      <alignment vertical="center"/>
    </xf>
    <xf numFmtId="164" fontId="5" fillId="11" borderId="19" xfId="0" applyFont="1" applyFill="1" applyBorder="1" applyAlignment="1">
      <alignment vertical="center"/>
    </xf>
    <xf numFmtId="164" fontId="5" fillId="11" borderId="4" xfId="0" applyFont="1" applyFill="1" applyBorder="1" applyAlignment="1">
      <alignment vertical="center"/>
    </xf>
    <xf numFmtId="10" fontId="5" fillId="12" borderId="25" xfId="0" applyNumberFormat="1" applyFont="1" applyFill="1" applyBorder="1" applyAlignment="1">
      <alignment horizontal="left" vertical="center"/>
    </xf>
    <xf numFmtId="164" fontId="5" fillId="0" borderId="0" xfId="0" applyFont="1" applyAlignment="1">
      <alignment vertical="center"/>
    </xf>
    <xf numFmtId="164" fontId="5" fillId="13" borderId="19" xfId="0" applyFont="1" applyFill="1" applyBorder="1" applyAlignment="1">
      <alignment horizontal="left" vertical="center"/>
    </xf>
    <xf numFmtId="164" fontId="5" fillId="13" borderId="4" xfId="0" applyFont="1" applyFill="1" applyBorder="1" applyAlignment="1">
      <alignment horizontal="left" vertical="center"/>
    </xf>
    <xf numFmtId="164" fontId="5" fillId="14" borderId="19" xfId="0" applyFont="1" applyFill="1" applyBorder="1" applyAlignment="1">
      <alignment horizontal="left" vertical="center"/>
    </xf>
    <xf numFmtId="164" fontId="5" fillId="14" borderId="20" xfId="0" applyFont="1" applyFill="1" applyBorder="1" applyAlignment="1">
      <alignment horizontal="left" vertical="center"/>
    </xf>
    <xf numFmtId="10" fontId="5" fillId="12" borderId="20" xfId="0" applyNumberFormat="1" applyFont="1" applyFill="1" applyBorder="1" applyAlignment="1">
      <alignment horizontal="left" vertical="center"/>
    </xf>
    <xf numFmtId="0" fontId="14" fillId="15" borderId="25" xfId="0" applyNumberFormat="1" applyFont="1" applyFill="1" applyBorder="1" applyAlignment="1">
      <alignment horizontal="left" vertical="center"/>
    </xf>
    <xf numFmtId="164" fontId="5" fillId="0" borderId="32" xfId="0" applyFont="1" applyBorder="1" applyAlignment="1">
      <alignment vertical="center"/>
    </xf>
    <xf numFmtId="165" fontId="1" fillId="0" borderId="33" xfId="0" applyNumberFormat="1" applyFont="1" applyBorder="1" applyAlignment="1">
      <alignment vertical="center"/>
    </xf>
    <xf numFmtId="10" fontId="1" fillId="0" borderId="34" xfId="0" applyNumberFormat="1" applyFont="1" applyBorder="1" applyAlignment="1">
      <alignment vertical="center"/>
    </xf>
    <xf numFmtId="165" fontId="1" fillId="0" borderId="35" xfId="0" applyNumberFormat="1" applyFont="1" applyBorder="1" applyAlignment="1">
      <alignment vertical="center"/>
    </xf>
    <xf numFmtId="165" fontId="1" fillId="0" borderId="36" xfId="0" applyNumberFormat="1" applyFont="1" applyBorder="1" applyAlignment="1">
      <alignment vertical="center"/>
    </xf>
    <xf numFmtId="10" fontId="1" fillId="0" borderId="37" xfId="0" applyNumberFormat="1" applyFont="1" applyBorder="1" applyAlignment="1">
      <alignment vertical="center"/>
    </xf>
    <xf numFmtId="165" fontId="1" fillId="0" borderId="38" xfId="0" applyNumberFormat="1" applyFont="1" applyBorder="1" applyAlignment="1">
      <alignment vertical="center"/>
    </xf>
    <xf numFmtId="165" fontId="12" fillId="0" borderId="0" xfId="0" applyNumberFormat="1" applyFont="1" applyAlignment="1">
      <alignment vertical="center"/>
    </xf>
    <xf numFmtId="164" fontId="5" fillId="0" borderId="33" xfId="0" applyFont="1" applyBorder="1" applyAlignment="1">
      <alignment vertical="center"/>
    </xf>
    <xf numFmtId="164" fontId="1" fillId="0" borderId="35" xfId="0" applyFont="1" applyBorder="1"/>
    <xf numFmtId="165" fontId="1" fillId="0" borderId="32" xfId="0" applyNumberFormat="1" applyFont="1" applyBorder="1" applyAlignment="1">
      <alignment vertical="center"/>
    </xf>
    <xf numFmtId="10" fontId="1" fillId="0" borderId="39" xfId="0" applyNumberFormat="1" applyFont="1" applyBorder="1" applyAlignment="1">
      <alignment vertical="center"/>
    </xf>
    <xf numFmtId="165" fontId="1" fillId="0" borderId="40" xfId="0" applyNumberFormat="1" applyFont="1" applyBorder="1" applyAlignment="1">
      <alignment vertical="center"/>
    </xf>
    <xf numFmtId="165" fontId="1" fillId="0" borderId="41" xfId="0" applyNumberFormat="1" applyFont="1" applyBorder="1" applyAlignment="1">
      <alignment vertical="center"/>
    </xf>
    <xf numFmtId="10" fontId="1" fillId="0" borderId="42" xfId="0" applyNumberFormat="1" applyFont="1" applyBorder="1" applyAlignment="1">
      <alignment vertical="center"/>
    </xf>
    <xf numFmtId="165" fontId="1" fillId="0" borderId="43" xfId="0" applyNumberFormat="1" applyFont="1" applyBorder="1" applyAlignment="1">
      <alignment vertical="center"/>
    </xf>
    <xf numFmtId="164" fontId="1" fillId="0" borderId="40" xfId="0" applyFont="1" applyBorder="1"/>
    <xf numFmtId="165" fontId="1" fillId="0" borderId="44" xfId="0" applyNumberFormat="1" applyFont="1" applyBorder="1" applyAlignment="1">
      <alignment vertical="center"/>
    </xf>
    <xf numFmtId="10" fontId="1" fillId="0" borderId="45" xfId="0" applyNumberFormat="1" applyFont="1" applyBorder="1" applyAlignment="1">
      <alignment vertical="center"/>
    </xf>
    <xf numFmtId="165" fontId="1" fillId="0" borderId="46" xfId="0" applyNumberFormat="1" applyFont="1" applyBorder="1" applyAlignment="1">
      <alignment vertical="center"/>
    </xf>
    <xf numFmtId="165" fontId="1" fillId="0" borderId="47" xfId="0" applyNumberFormat="1" applyFont="1" applyBorder="1" applyAlignment="1">
      <alignment vertical="center"/>
    </xf>
    <xf numFmtId="10" fontId="1" fillId="0" borderId="48" xfId="0" applyNumberFormat="1" applyFont="1" applyBorder="1" applyAlignment="1">
      <alignment vertical="center"/>
    </xf>
    <xf numFmtId="165" fontId="1" fillId="0" borderId="49" xfId="0" applyNumberFormat="1" applyFont="1" applyBorder="1" applyAlignment="1">
      <alignment vertical="center"/>
    </xf>
    <xf numFmtId="164" fontId="5" fillId="0" borderId="50" xfId="0" applyFont="1" applyBorder="1" applyAlignment="1">
      <alignment vertical="center"/>
    </xf>
    <xf numFmtId="164" fontId="1" fillId="0" borderId="46" xfId="0" applyFont="1" applyBorder="1"/>
    <xf numFmtId="164" fontId="5" fillId="0" borderId="51" xfId="0" applyFont="1" applyBorder="1" applyAlignment="1">
      <alignment vertical="center"/>
    </xf>
    <xf numFmtId="165" fontId="17" fillId="7" borderId="24" xfId="0" applyNumberFormat="1" applyFont="1" applyFill="1" applyBorder="1" applyAlignment="1">
      <alignment vertical="center"/>
    </xf>
    <xf numFmtId="10" fontId="1" fillId="0" borderId="16" xfId="0" applyNumberFormat="1" applyFont="1" applyBorder="1" applyAlignment="1">
      <alignment vertical="center"/>
    </xf>
    <xf numFmtId="165" fontId="17" fillId="5" borderId="52" xfId="0" applyNumberFormat="1" applyFont="1" applyFill="1" applyBorder="1" applyAlignment="1">
      <alignment vertical="center"/>
    </xf>
    <xf numFmtId="164" fontId="5" fillId="7" borderId="52" xfId="0" applyFont="1" applyFill="1" applyBorder="1" applyAlignment="1">
      <alignment vertical="center"/>
    </xf>
    <xf numFmtId="10" fontId="1" fillId="0" borderId="0" xfId="0" applyNumberFormat="1" applyFont="1" applyAlignment="1">
      <alignment vertical="center"/>
    </xf>
    <xf numFmtId="165" fontId="17" fillId="0" borderId="0" xfId="0" applyNumberFormat="1" applyFont="1" applyAlignment="1">
      <alignment vertical="center"/>
    </xf>
    <xf numFmtId="165" fontId="17" fillId="7" borderId="29" xfId="0" applyNumberFormat="1" applyFont="1" applyFill="1" applyBorder="1" applyAlignment="1">
      <alignment vertical="center"/>
    </xf>
    <xf numFmtId="164" fontId="5" fillId="0" borderId="53" xfId="0" applyFont="1" applyBorder="1" applyAlignment="1">
      <alignment vertical="center"/>
    </xf>
    <xf numFmtId="165" fontId="17" fillId="7" borderId="23" xfId="0" applyNumberFormat="1" applyFont="1" applyFill="1" applyBorder="1" applyAlignment="1">
      <alignment vertical="center"/>
    </xf>
    <xf numFmtId="165" fontId="17" fillId="7" borderId="4" xfId="0" applyNumberFormat="1" applyFont="1" applyFill="1" applyBorder="1" applyAlignment="1">
      <alignment vertical="center"/>
    </xf>
    <xf numFmtId="164" fontId="5" fillId="0" borderId="54" xfId="0" applyFont="1" applyBorder="1" applyAlignment="1">
      <alignment vertical="center"/>
    </xf>
    <xf numFmtId="165" fontId="5" fillId="0" borderId="55" xfId="0" applyNumberFormat="1" applyFont="1" applyBorder="1" applyAlignment="1">
      <alignment vertical="center"/>
    </xf>
    <xf numFmtId="164" fontId="5" fillId="0" borderId="56" xfId="0" applyFont="1" applyBorder="1" applyAlignment="1">
      <alignment vertical="center"/>
    </xf>
    <xf numFmtId="10" fontId="1" fillId="0" borderId="21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164" fontId="5" fillId="0" borderId="15" xfId="0" applyFont="1" applyBorder="1" applyAlignment="1">
      <alignment vertical="center"/>
    </xf>
    <xf numFmtId="165" fontId="5" fillId="0" borderId="24" xfId="0" applyNumberFormat="1" applyFont="1" applyBorder="1" applyAlignment="1">
      <alignment vertical="center"/>
    </xf>
    <xf numFmtId="10" fontId="1" fillId="0" borderId="0" xfId="0" applyNumberFormat="1" applyFont="1"/>
    <xf numFmtId="164" fontId="18" fillId="0" borderId="0" xfId="0" applyFont="1"/>
    <xf numFmtId="170" fontId="1" fillId="0" borderId="0" xfId="0" applyNumberFormat="1" applyFont="1"/>
    <xf numFmtId="4" fontId="1" fillId="0" borderId="0" xfId="0" applyNumberFormat="1" applyFont="1"/>
    <xf numFmtId="166" fontId="1" fillId="0" borderId="0" xfId="0" applyNumberFormat="1" applyFont="1"/>
    <xf numFmtId="1" fontId="5" fillId="10" borderId="60" xfId="0" applyNumberFormat="1" applyFont="1" applyFill="1" applyBorder="1" applyAlignment="1">
      <alignment vertical="center"/>
    </xf>
    <xf numFmtId="164" fontId="5" fillId="10" borderId="61" xfId="0" applyFont="1" applyFill="1" applyBorder="1"/>
    <xf numFmtId="166" fontId="5" fillId="10" borderId="61" xfId="0" applyNumberFormat="1" applyFont="1" applyFill="1" applyBorder="1"/>
    <xf numFmtId="165" fontId="5" fillId="10" borderId="62" xfId="0" applyNumberFormat="1" applyFont="1" applyFill="1" applyBorder="1"/>
    <xf numFmtId="4" fontId="1" fillId="0" borderId="0" xfId="0" applyNumberFormat="1" applyFont="1" applyAlignment="1">
      <alignment horizontal="right"/>
    </xf>
    <xf numFmtId="164" fontId="1" fillId="0" borderId="0" xfId="0" applyFont="1" applyAlignment="1">
      <alignment horizontal="right"/>
    </xf>
    <xf numFmtId="1" fontId="5" fillId="0" borderId="63" xfId="0" applyNumberFormat="1" applyFont="1" applyBorder="1"/>
    <xf numFmtId="164" fontId="5" fillId="0" borderId="42" xfId="0" applyFont="1" applyBorder="1"/>
    <xf numFmtId="166" fontId="5" fillId="0" borderId="64" xfId="0" applyNumberFormat="1" applyFont="1" applyBorder="1"/>
    <xf numFmtId="164" fontId="5" fillId="0" borderId="65" xfId="0" applyFont="1" applyBorder="1"/>
    <xf numFmtId="165" fontId="5" fillId="0" borderId="66" xfId="0" applyNumberFormat="1" applyFont="1" applyBorder="1"/>
    <xf numFmtId="1" fontId="1" fillId="0" borderId="63" xfId="0" applyNumberFormat="1" applyFont="1" applyBorder="1"/>
    <xf numFmtId="164" fontId="12" fillId="0" borderId="42" xfId="0" applyFont="1" applyBorder="1"/>
    <xf numFmtId="166" fontId="4" fillId="0" borderId="67" xfId="0" applyNumberFormat="1" applyFont="1" applyBorder="1"/>
    <xf numFmtId="164" fontId="4" fillId="0" borderId="65" xfId="0" applyFont="1" applyBorder="1"/>
    <xf numFmtId="165" fontId="12" fillId="0" borderId="66" xfId="0" applyNumberFormat="1" applyFont="1" applyBorder="1" applyAlignment="1">
      <alignment horizontal="right"/>
    </xf>
    <xf numFmtId="164" fontId="12" fillId="0" borderId="68" xfId="0" applyFont="1" applyBorder="1"/>
    <xf numFmtId="166" fontId="4" fillId="0" borderId="64" xfId="0" applyNumberFormat="1" applyFont="1" applyBorder="1"/>
    <xf numFmtId="164" fontId="4" fillId="0" borderId="67" xfId="0" applyFont="1" applyBorder="1"/>
    <xf numFmtId="165" fontId="12" fillId="7" borderId="66" xfId="0" applyNumberFormat="1" applyFont="1" applyFill="1" applyBorder="1" applyAlignment="1">
      <alignment horizontal="right"/>
    </xf>
    <xf numFmtId="166" fontId="4" fillId="0" borderId="0" xfId="0" applyNumberFormat="1" applyFont="1"/>
    <xf numFmtId="164" fontId="12" fillId="0" borderId="67" xfId="0" applyFont="1" applyBorder="1"/>
    <xf numFmtId="164" fontId="4" fillId="0" borderId="69" xfId="0" applyFont="1" applyBorder="1"/>
    <xf numFmtId="1" fontId="1" fillId="0" borderId="70" xfId="0" applyNumberFormat="1" applyFont="1" applyBorder="1"/>
    <xf numFmtId="164" fontId="1" fillId="0" borderId="67" xfId="0" applyFont="1" applyBorder="1"/>
    <xf numFmtId="166" fontId="5" fillId="0" borderId="67" xfId="0" applyNumberFormat="1" applyFont="1" applyBorder="1"/>
    <xf numFmtId="164" fontId="5" fillId="0" borderId="69" xfId="0" applyFont="1" applyBorder="1"/>
    <xf numFmtId="165" fontId="1" fillId="0" borderId="71" xfId="0" applyNumberFormat="1" applyFont="1" applyBorder="1"/>
    <xf numFmtId="1" fontId="5" fillId="0" borderId="72" xfId="0" applyNumberFormat="1" applyFont="1" applyBorder="1"/>
    <xf numFmtId="164" fontId="5" fillId="0" borderId="73" xfId="0" applyFont="1" applyBorder="1"/>
    <xf numFmtId="166" fontId="5" fillId="0" borderId="73" xfId="0" applyNumberFormat="1" applyFont="1" applyBorder="1"/>
    <xf numFmtId="164" fontId="5" fillId="0" borderId="74" xfId="0" applyFont="1" applyBorder="1"/>
    <xf numFmtId="165" fontId="5" fillId="0" borderId="75" xfId="0" applyNumberFormat="1" applyFont="1" applyBorder="1"/>
    <xf numFmtId="1" fontId="5" fillId="11" borderId="60" xfId="0" applyNumberFormat="1" applyFont="1" applyFill="1" applyBorder="1" applyAlignment="1">
      <alignment vertical="center"/>
    </xf>
    <xf numFmtId="164" fontId="5" fillId="11" borderId="61" xfId="0" applyFont="1" applyFill="1" applyBorder="1"/>
    <xf numFmtId="166" fontId="5" fillId="11" borderId="61" xfId="0" applyNumberFormat="1" applyFont="1" applyFill="1" applyBorder="1"/>
    <xf numFmtId="165" fontId="5" fillId="11" borderId="62" xfId="0" applyNumberFormat="1" applyFont="1" applyFill="1" applyBorder="1"/>
    <xf numFmtId="165" fontId="1" fillId="0" borderId="66" xfId="0" applyNumberFormat="1" applyFont="1" applyBorder="1"/>
    <xf numFmtId="164" fontId="1" fillId="0" borderId="42" xfId="0" applyFont="1" applyBorder="1"/>
    <xf numFmtId="166" fontId="1" fillId="0" borderId="64" xfId="0" applyNumberFormat="1" applyFont="1" applyBorder="1"/>
    <xf numFmtId="164" fontId="1" fillId="0" borderId="65" xfId="0" applyFont="1" applyBorder="1"/>
    <xf numFmtId="170" fontId="5" fillId="0" borderId="0" xfId="0" applyNumberFormat="1" applyFont="1"/>
    <xf numFmtId="4" fontId="5" fillId="0" borderId="0" xfId="0" applyNumberFormat="1" applyFont="1"/>
    <xf numFmtId="1" fontId="5" fillId="13" borderId="60" xfId="0" applyNumberFormat="1" applyFont="1" applyFill="1" applyBorder="1" applyAlignment="1">
      <alignment vertical="center"/>
    </xf>
    <xf numFmtId="164" fontId="5" fillId="13" borderId="61" xfId="0" applyFont="1" applyFill="1" applyBorder="1"/>
    <xf numFmtId="166" fontId="5" fillId="13" borderId="61" xfId="0" applyNumberFormat="1" applyFont="1" applyFill="1" applyBorder="1"/>
    <xf numFmtId="165" fontId="5" fillId="13" borderId="62" xfId="0" applyNumberFormat="1" applyFont="1" applyFill="1" applyBorder="1"/>
    <xf numFmtId="164" fontId="5" fillId="0" borderId="76" xfId="0" applyFont="1" applyBorder="1"/>
    <xf numFmtId="166" fontId="5" fillId="0" borderId="76" xfId="0" applyNumberFormat="1" applyFont="1" applyBorder="1"/>
    <xf numFmtId="164" fontId="5" fillId="0" borderId="77" xfId="0" applyFont="1" applyBorder="1"/>
    <xf numFmtId="1" fontId="1" fillId="0" borderId="63" xfId="0" applyNumberFormat="1" applyFont="1" applyBorder="1" applyAlignment="1">
      <alignment horizontal="center"/>
    </xf>
    <xf numFmtId="164" fontId="1" fillId="0" borderId="76" xfId="0" applyFont="1" applyBorder="1"/>
    <xf numFmtId="166" fontId="1" fillId="0" borderId="76" xfId="0" applyNumberFormat="1" applyFont="1" applyBorder="1"/>
    <xf numFmtId="164" fontId="19" fillId="0" borderId="76" xfId="0" applyFont="1" applyBorder="1"/>
    <xf numFmtId="1" fontId="5" fillId="14" borderId="60" xfId="0" applyNumberFormat="1" applyFont="1" applyFill="1" applyBorder="1" applyAlignment="1">
      <alignment vertical="center"/>
    </xf>
    <xf numFmtId="164" fontId="5" fillId="14" borderId="61" xfId="0" applyFont="1" applyFill="1" applyBorder="1"/>
    <xf numFmtId="166" fontId="5" fillId="14" borderId="61" xfId="0" applyNumberFormat="1" applyFont="1" applyFill="1" applyBorder="1"/>
    <xf numFmtId="165" fontId="5" fillId="14" borderId="62" xfId="0" applyNumberFormat="1" applyFont="1" applyFill="1" applyBorder="1"/>
    <xf numFmtId="164" fontId="5" fillId="0" borderId="68" xfId="0" applyFont="1" applyBorder="1"/>
    <xf numFmtId="164" fontId="1" fillId="0" borderId="64" xfId="0" applyFont="1" applyBorder="1" applyAlignment="1">
      <alignment wrapText="1"/>
    </xf>
    <xf numFmtId="164" fontId="1" fillId="0" borderId="78" xfId="0" applyFont="1" applyBorder="1" applyAlignment="1">
      <alignment wrapText="1"/>
    </xf>
    <xf numFmtId="164" fontId="20" fillId="0" borderId="78" xfId="0" applyFont="1" applyBorder="1" applyAlignment="1">
      <alignment wrapText="1"/>
    </xf>
    <xf numFmtId="165" fontId="20" fillId="0" borderId="66" xfId="0" applyNumberFormat="1" applyFont="1" applyBorder="1"/>
    <xf numFmtId="164" fontId="1" fillId="0" borderId="0" xfId="0" applyFont="1" applyAlignment="1">
      <alignment wrapText="1"/>
    </xf>
    <xf numFmtId="0" fontId="1" fillId="0" borderId="78" xfId="0" applyNumberFormat="1" applyFont="1" applyBorder="1" applyAlignment="1">
      <alignment wrapText="1"/>
    </xf>
    <xf numFmtId="164" fontId="1" fillId="0" borderId="64" xfId="0" applyFont="1" applyBorder="1"/>
    <xf numFmtId="165" fontId="1" fillId="0" borderId="79" xfId="0" applyNumberFormat="1" applyFont="1" applyBorder="1"/>
    <xf numFmtId="164" fontId="5" fillId="0" borderId="64" xfId="0" applyFont="1" applyBorder="1"/>
    <xf numFmtId="165" fontId="5" fillId="0" borderId="79" xfId="0" applyNumberFormat="1" applyFont="1" applyBorder="1"/>
    <xf numFmtId="165" fontId="5" fillId="0" borderId="39" xfId="0" applyNumberFormat="1" applyFont="1" applyBorder="1"/>
    <xf numFmtId="164" fontId="1" fillId="0" borderId="68" xfId="0" applyFont="1" applyBorder="1"/>
    <xf numFmtId="166" fontId="1" fillId="0" borderId="68" xfId="0" applyNumberFormat="1" applyFont="1" applyBorder="1"/>
    <xf numFmtId="165" fontId="1" fillId="0" borderId="39" xfId="0" applyNumberFormat="1" applyFont="1" applyBorder="1"/>
    <xf numFmtId="166" fontId="1" fillId="0" borderId="80" xfId="0" applyNumberFormat="1" applyFont="1" applyBorder="1"/>
    <xf numFmtId="165" fontId="1" fillId="7" borderId="39" xfId="0" applyNumberFormat="1" applyFont="1" applyFill="1" applyBorder="1"/>
    <xf numFmtId="164" fontId="1" fillId="0" borderId="69" xfId="0" applyFont="1" applyBorder="1"/>
    <xf numFmtId="165" fontId="5" fillId="0" borderId="81" xfId="0" applyNumberFormat="1" applyFont="1" applyBorder="1"/>
    <xf numFmtId="1" fontId="5" fillId="0" borderId="36" xfId="0" applyNumberFormat="1" applyFont="1" applyBorder="1"/>
    <xf numFmtId="164" fontId="5" fillId="0" borderId="82" xfId="0" applyFont="1" applyBorder="1"/>
    <xf numFmtId="165" fontId="5" fillId="0" borderId="34" xfId="0" applyNumberFormat="1" applyFont="1" applyBorder="1"/>
    <xf numFmtId="1" fontId="1" fillId="0" borderId="41" xfId="0" applyNumberFormat="1" applyFont="1" applyBorder="1"/>
    <xf numFmtId="164" fontId="1" fillId="7" borderId="76" xfId="0" applyFont="1" applyFill="1" applyBorder="1"/>
    <xf numFmtId="166" fontId="1" fillId="7" borderId="76" xfId="0" applyNumberFormat="1" applyFont="1" applyFill="1" applyBorder="1"/>
    <xf numFmtId="165" fontId="5" fillId="0" borderId="45" xfId="0" applyNumberFormat="1" applyFont="1" applyBorder="1"/>
    <xf numFmtId="164" fontId="1" fillId="16" borderId="86" xfId="0" applyFont="1" applyFill="1" applyBorder="1"/>
    <xf numFmtId="164" fontId="1" fillId="16" borderId="87" xfId="0" applyFont="1" applyFill="1" applyBorder="1"/>
    <xf numFmtId="9" fontId="1" fillId="16" borderId="88" xfId="0" applyNumberFormat="1" applyFont="1" applyFill="1" applyBorder="1"/>
    <xf numFmtId="165" fontId="1" fillId="16" borderId="66" xfId="0" applyNumberFormat="1" applyFont="1" applyFill="1" applyBorder="1"/>
    <xf numFmtId="171" fontId="1" fillId="0" borderId="65" xfId="0" applyNumberFormat="1" applyFont="1" applyBorder="1"/>
    <xf numFmtId="165" fontId="21" fillId="7" borderId="4" xfId="0" applyNumberFormat="1" applyFont="1" applyFill="1" applyBorder="1" applyAlignment="1">
      <alignment horizontal="left"/>
    </xf>
    <xf numFmtId="0" fontId="4" fillId="0" borderId="0" xfId="0" applyNumberFormat="1" applyFont="1" applyAlignment="1">
      <alignment horizontal="right"/>
    </xf>
    <xf numFmtId="164" fontId="1" fillId="7" borderId="89" xfId="0" applyFont="1" applyFill="1" applyBorder="1"/>
    <xf numFmtId="3" fontId="1" fillId="7" borderId="87" xfId="0" applyNumberFormat="1" applyFont="1" applyFill="1" applyBorder="1"/>
    <xf numFmtId="164" fontId="1" fillId="7" borderId="88" xfId="0" applyFont="1" applyFill="1" applyBorder="1"/>
    <xf numFmtId="172" fontId="1" fillId="7" borderId="66" xfId="0" applyNumberFormat="1" applyFont="1" applyFill="1" applyBorder="1"/>
    <xf numFmtId="164" fontId="1" fillId="7" borderId="86" xfId="0" applyFont="1" applyFill="1" applyBorder="1"/>
    <xf numFmtId="165" fontId="1" fillId="7" borderId="66" xfId="0" applyNumberFormat="1" applyFont="1" applyFill="1" applyBorder="1"/>
    <xf numFmtId="3" fontId="1" fillId="9" borderId="87" xfId="0" applyNumberFormat="1" applyFont="1" applyFill="1" applyBorder="1"/>
    <xf numFmtId="164" fontId="1" fillId="9" borderId="88" xfId="0" applyFont="1" applyFill="1" applyBorder="1"/>
    <xf numFmtId="164" fontId="21" fillId="7" borderId="86" xfId="0" applyFont="1" applyFill="1" applyBorder="1" applyAlignment="1">
      <alignment horizontal="right"/>
    </xf>
    <xf numFmtId="3" fontId="21" fillId="7" borderId="87" xfId="0" applyNumberFormat="1" applyFont="1" applyFill="1" applyBorder="1"/>
    <xf numFmtId="164" fontId="1" fillId="7" borderId="87" xfId="0" applyFont="1" applyFill="1" applyBorder="1"/>
    <xf numFmtId="3" fontId="1" fillId="0" borderId="0" xfId="0" applyNumberFormat="1" applyFont="1"/>
    <xf numFmtId="164" fontId="1" fillId="7" borderId="90" xfId="0" applyFont="1" applyFill="1" applyBorder="1"/>
    <xf numFmtId="164" fontId="1" fillId="7" borderId="91" xfId="0" applyFont="1" applyFill="1" applyBorder="1"/>
    <xf numFmtId="165" fontId="1" fillId="7" borderId="92" xfId="0" applyNumberFormat="1" applyFont="1" applyFill="1" applyBorder="1"/>
    <xf numFmtId="169" fontId="1" fillId="0" borderId="76" xfId="0" applyNumberFormat="1" applyFont="1" applyBorder="1"/>
    <xf numFmtId="165" fontId="1" fillId="7" borderId="4" xfId="0" applyNumberFormat="1" applyFont="1" applyFill="1" applyBorder="1"/>
    <xf numFmtId="164" fontId="1" fillId="0" borderId="80" xfId="0" applyFont="1" applyBorder="1"/>
    <xf numFmtId="164" fontId="1" fillId="7" borderId="4" xfId="0" applyFont="1" applyFill="1" applyBorder="1"/>
    <xf numFmtId="4" fontId="1" fillId="7" borderId="4" xfId="0" applyNumberFormat="1" applyFont="1" applyFill="1" applyBorder="1"/>
    <xf numFmtId="164" fontId="5" fillId="0" borderId="93" xfId="0" applyFont="1" applyBorder="1"/>
    <xf numFmtId="166" fontId="5" fillId="0" borderId="93" xfId="0" applyNumberFormat="1" applyFont="1" applyBorder="1"/>
    <xf numFmtId="164" fontId="5" fillId="0" borderId="94" xfId="0" applyFont="1" applyBorder="1"/>
    <xf numFmtId="164" fontId="1" fillId="0" borderId="78" xfId="0" applyFont="1" applyBorder="1"/>
    <xf numFmtId="173" fontId="1" fillId="0" borderId="66" xfId="0" applyNumberFormat="1" applyFont="1" applyBorder="1"/>
    <xf numFmtId="165" fontId="1" fillId="7" borderId="95" xfId="0" applyNumberFormat="1" applyFont="1" applyFill="1" applyBorder="1"/>
    <xf numFmtId="4" fontId="12" fillId="7" borderId="4" xfId="0" applyNumberFormat="1" applyFont="1" applyFill="1" applyBorder="1"/>
    <xf numFmtId="164" fontId="12" fillId="7" borderId="4" xfId="0" applyFont="1" applyFill="1" applyBorder="1"/>
    <xf numFmtId="1" fontId="1" fillId="0" borderId="96" xfId="0" applyNumberFormat="1" applyFont="1" applyBorder="1"/>
    <xf numFmtId="1" fontId="5" fillId="0" borderId="97" xfId="0" applyNumberFormat="1" applyFont="1" applyBorder="1"/>
    <xf numFmtId="164" fontId="16" fillId="9" borderId="98" xfId="0" applyFont="1" applyFill="1" applyBorder="1" applyAlignment="1">
      <alignment horizontal="center"/>
    </xf>
    <xf numFmtId="164" fontId="16" fillId="9" borderId="99" xfId="0" applyFont="1" applyFill="1" applyBorder="1" applyAlignment="1">
      <alignment horizontal="center"/>
    </xf>
    <xf numFmtId="166" fontId="16" fillId="9" borderId="99" xfId="0" applyNumberFormat="1" applyFont="1" applyFill="1" applyBorder="1" applyAlignment="1">
      <alignment horizontal="center"/>
    </xf>
    <xf numFmtId="164" fontId="16" fillId="9" borderId="100" xfId="0" applyFont="1" applyFill="1" applyBorder="1" applyAlignment="1">
      <alignment horizontal="center"/>
    </xf>
    <xf numFmtId="165" fontId="12" fillId="0" borderId="101" xfId="0" applyNumberFormat="1" applyFont="1" applyBorder="1" applyAlignment="1">
      <alignment horizontal="right"/>
    </xf>
    <xf numFmtId="166" fontId="5" fillId="0" borderId="42" xfId="0" applyNumberFormat="1" applyFont="1" applyBorder="1"/>
    <xf numFmtId="166" fontId="4" fillId="0" borderId="42" xfId="0" applyNumberFormat="1" applyFont="1" applyBorder="1"/>
    <xf numFmtId="164" fontId="4" fillId="0" borderId="42" xfId="0" applyFont="1" applyBorder="1"/>
    <xf numFmtId="165" fontId="4" fillId="0" borderId="66" xfId="0" applyNumberFormat="1" applyFont="1" applyBorder="1"/>
    <xf numFmtId="165" fontId="4" fillId="0" borderId="76" xfId="0" applyNumberFormat="1" applyFont="1" applyBorder="1"/>
    <xf numFmtId="166" fontId="1" fillId="0" borderId="42" xfId="0" applyNumberFormat="1" applyFont="1" applyBorder="1"/>
    <xf numFmtId="1" fontId="5" fillId="0" borderId="102" xfId="0" applyNumberFormat="1" applyFont="1" applyBorder="1"/>
    <xf numFmtId="1" fontId="5" fillId="0" borderId="103" xfId="0" applyNumberFormat="1" applyFont="1" applyBorder="1"/>
    <xf numFmtId="166" fontId="5" fillId="0" borderId="104" xfId="0" applyNumberFormat="1" applyFont="1" applyBorder="1"/>
    <xf numFmtId="164" fontId="5" fillId="0" borderId="105" xfId="0" applyFont="1" applyBorder="1"/>
    <xf numFmtId="165" fontId="5" fillId="0" borderId="106" xfId="0" applyNumberFormat="1" applyFont="1" applyBorder="1"/>
    <xf numFmtId="1" fontId="5" fillId="11" borderId="107" xfId="0" applyNumberFormat="1" applyFont="1" applyFill="1" applyBorder="1" applyAlignment="1">
      <alignment vertical="center"/>
    </xf>
    <xf numFmtId="164" fontId="5" fillId="11" borderId="108" xfId="0" applyFont="1" applyFill="1" applyBorder="1"/>
    <xf numFmtId="166" fontId="5" fillId="11" borderId="108" xfId="0" applyNumberFormat="1" applyFont="1" applyFill="1" applyBorder="1"/>
    <xf numFmtId="165" fontId="5" fillId="11" borderId="109" xfId="0" applyNumberFormat="1" applyFont="1" applyFill="1" applyBorder="1"/>
    <xf numFmtId="0" fontId="12" fillId="17" borderId="4" xfId="0" applyNumberFormat="1" applyFont="1" applyFill="1" applyBorder="1"/>
    <xf numFmtId="173" fontId="1" fillId="0" borderId="0" xfId="0" applyNumberFormat="1" applyFont="1"/>
    <xf numFmtId="9" fontId="1" fillId="0" borderId="65" xfId="0" applyNumberFormat="1" applyFont="1" applyBorder="1"/>
    <xf numFmtId="164" fontId="21" fillId="0" borderId="42" xfId="0" applyFont="1" applyBorder="1"/>
    <xf numFmtId="0" fontId="1" fillId="0" borderId="64" xfId="0" applyNumberFormat="1" applyFont="1" applyBorder="1" applyAlignment="1">
      <alignment horizontal="right"/>
    </xf>
    <xf numFmtId="4" fontId="1" fillId="0" borderId="65" xfId="0" applyNumberFormat="1" applyFont="1" applyBorder="1"/>
    <xf numFmtId="165" fontId="12" fillId="7" borderId="66" xfId="0" applyNumberFormat="1" applyFont="1" applyFill="1" applyBorder="1"/>
    <xf numFmtId="164" fontId="22" fillId="0" borderId="0" xfId="0" applyFont="1"/>
    <xf numFmtId="0" fontId="1" fillId="0" borderId="64" xfId="0" applyNumberFormat="1" applyFont="1" applyBorder="1"/>
    <xf numFmtId="1" fontId="5" fillId="0" borderId="76" xfId="0" applyNumberFormat="1" applyFont="1" applyBorder="1"/>
    <xf numFmtId="165" fontId="5" fillId="0" borderId="76" xfId="0" applyNumberFormat="1" applyFont="1" applyBorder="1"/>
    <xf numFmtId="1" fontId="1" fillId="0" borderId="76" xfId="0" applyNumberFormat="1" applyFont="1" applyBorder="1" applyAlignment="1">
      <alignment horizontal="center"/>
    </xf>
    <xf numFmtId="165" fontId="1" fillId="0" borderId="76" xfId="0" applyNumberFormat="1" applyFont="1" applyBorder="1"/>
    <xf numFmtId="166" fontId="1" fillId="0" borderId="67" xfId="0" applyNumberFormat="1" applyFont="1" applyBorder="1"/>
    <xf numFmtId="164" fontId="4" fillId="0" borderId="64" xfId="0" applyFont="1" applyBorder="1"/>
    <xf numFmtId="164" fontId="12" fillId="0" borderId="0" xfId="0" applyFont="1"/>
    <xf numFmtId="164" fontId="12" fillId="0" borderId="64" xfId="0" applyFont="1" applyBorder="1"/>
    <xf numFmtId="164" fontId="12" fillId="0" borderId="78" xfId="0" applyFont="1" applyBorder="1"/>
    <xf numFmtId="0" fontId="12" fillId="0" borderId="0" xfId="0" quotePrefix="1" applyNumberFormat="1" applyFont="1"/>
    <xf numFmtId="4" fontId="1" fillId="0" borderId="64" xfId="0" applyNumberFormat="1" applyFont="1" applyBorder="1"/>
    <xf numFmtId="1" fontId="1" fillId="0" borderId="110" xfId="0" applyNumberFormat="1" applyFont="1" applyBorder="1"/>
    <xf numFmtId="164" fontId="5" fillId="0" borderId="111" xfId="0" applyFont="1" applyBorder="1"/>
    <xf numFmtId="166" fontId="5" fillId="0" borderId="111" xfId="0" applyNumberFormat="1" applyFont="1" applyBorder="1"/>
    <xf numFmtId="164" fontId="5" fillId="0" borderId="112" xfId="0" applyFont="1" applyBorder="1"/>
    <xf numFmtId="9" fontId="1" fillId="0" borderId="0" xfId="0" applyNumberFormat="1" applyFont="1"/>
    <xf numFmtId="1" fontId="22" fillId="0" borderId="0" xfId="0" applyNumberFormat="1" applyFont="1"/>
    <xf numFmtId="165" fontId="22" fillId="0" borderId="0" xfId="0" applyNumberFormat="1" applyFont="1"/>
    <xf numFmtId="1" fontId="25" fillId="10" borderId="60" xfId="0" applyNumberFormat="1" applyFont="1" applyFill="1" applyBorder="1" applyAlignment="1">
      <alignment vertical="center"/>
    </xf>
    <xf numFmtId="164" fontId="25" fillId="10" borderId="61" xfId="0" applyFont="1" applyFill="1" applyBorder="1"/>
    <xf numFmtId="165" fontId="25" fillId="10" borderId="62" xfId="0" applyNumberFormat="1" applyFont="1" applyFill="1" applyBorder="1"/>
    <xf numFmtId="1" fontId="22" fillId="0" borderId="63" xfId="0" applyNumberFormat="1" applyFont="1" applyBorder="1"/>
    <xf numFmtId="164" fontId="22" fillId="0" borderId="68" xfId="0" applyFont="1" applyBorder="1"/>
    <xf numFmtId="164" fontId="22" fillId="0" borderId="64" xfId="0" applyFont="1" applyBorder="1"/>
    <xf numFmtId="164" fontId="22" fillId="0" borderId="65" xfId="0" applyFont="1" applyBorder="1"/>
    <xf numFmtId="165" fontId="22" fillId="0" borderId="66" xfId="0" applyNumberFormat="1" applyFont="1" applyBorder="1"/>
    <xf numFmtId="164" fontId="22" fillId="0" borderId="42" xfId="0" applyFont="1" applyBorder="1"/>
    <xf numFmtId="165" fontId="22" fillId="0" borderId="79" xfId="0" applyNumberFormat="1" applyFont="1" applyBorder="1"/>
    <xf numFmtId="1" fontId="25" fillId="0" borderId="72" xfId="0" applyNumberFormat="1" applyFont="1" applyBorder="1"/>
    <xf numFmtId="164" fontId="25" fillId="0" borderId="73" xfId="0" applyFont="1" applyBorder="1"/>
    <xf numFmtId="164" fontId="25" fillId="0" borderId="74" xfId="0" applyFont="1" applyBorder="1"/>
    <xf numFmtId="165" fontId="25" fillId="0" borderId="75" xfId="0" applyNumberFormat="1" applyFont="1" applyBorder="1"/>
    <xf numFmtId="1" fontId="25" fillId="11" borderId="60" xfId="0" applyNumberFormat="1" applyFont="1" applyFill="1" applyBorder="1" applyAlignment="1">
      <alignment vertical="center"/>
    </xf>
    <xf numFmtId="164" fontId="25" fillId="11" borderId="61" xfId="0" applyFont="1" applyFill="1" applyBorder="1"/>
    <xf numFmtId="165" fontId="25" fillId="11" borderId="62" xfId="0" applyNumberFormat="1" applyFont="1" applyFill="1" applyBorder="1"/>
    <xf numFmtId="164" fontId="22" fillId="7" borderId="87" xfId="0" applyFont="1" applyFill="1" applyBorder="1"/>
    <xf numFmtId="164" fontId="22" fillId="7" borderId="88" xfId="0" applyFont="1" applyFill="1" applyBorder="1"/>
    <xf numFmtId="165" fontId="22" fillId="7" borderId="66" xfId="0" applyNumberFormat="1" applyFont="1" applyFill="1" applyBorder="1"/>
    <xf numFmtId="164" fontId="25" fillId="0" borderId="0" xfId="0" applyFont="1"/>
    <xf numFmtId="1" fontId="25" fillId="13" borderId="60" xfId="0" applyNumberFormat="1" applyFont="1" applyFill="1" applyBorder="1" applyAlignment="1">
      <alignment vertical="center"/>
    </xf>
    <xf numFmtId="164" fontId="25" fillId="13" borderId="61" xfId="0" applyFont="1" applyFill="1" applyBorder="1"/>
    <xf numFmtId="165" fontId="25" fillId="13" borderId="62" xfId="0" applyNumberFormat="1" applyFont="1" applyFill="1" applyBorder="1"/>
    <xf numFmtId="164" fontId="22" fillId="0" borderId="76" xfId="0" applyFont="1" applyBorder="1"/>
    <xf numFmtId="164" fontId="22" fillId="0" borderId="77" xfId="0" applyFont="1" applyBorder="1"/>
    <xf numFmtId="1" fontId="22" fillId="0" borderId="63" xfId="0" applyNumberFormat="1" applyFont="1" applyBorder="1" applyAlignment="1">
      <alignment horizontal="center"/>
    </xf>
    <xf numFmtId="169" fontId="22" fillId="0" borderId="76" xfId="0" applyNumberFormat="1" applyFont="1" applyBorder="1"/>
    <xf numFmtId="1" fontId="25" fillId="14" borderId="60" xfId="0" applyNumberFormat="1" applyFont="1" applyFill="1" applyBorder="1" applyAlignment="1">
      <alignment vertical="center"/>
    </xf>
    <xf numFmtId="164" fontId="25" fillId="14" borderId="61" xfId="0" applyFont="1" applyFill="1" applyBorder="1"/>
    <xf numFmtId="165" fontId="25" fillId="14" borderId="62" xfId="0" applyNumberFormat="1" applyFont="1" applyFill="1" applyBorder="1"/>
    <xf numFmtId="164" fontId="22" fillId="18" borderId="86" xfId="0" applyFont="1" applyFill="1" applyBorder="1"/>
    <xf numFmtId="164" fontId="22" fillId="18" borderId="87" xfId="0" applyFont="1" applyFill="1" applyBorder="1"/>
    <xf numFmtId="164" fontId="22" fillId="18" borderId="88" xfId="0" applyFont="1" applyFill="1" applyBorder="1"/>
    <xf numFmtId="164" fontId="22" fillId="7" borderId="86" xfId="0" applyFont="1" applyFill="1" applyBorder="1"/>
    <xf numFmtId="164" fontId="26" fillId="0" borderId="0" xfId="0" applyFont="1"/>
    <xf numFmtId="164" fontId="27" fillId="0" borderId="0" xfId="0" applyFont="1"/>
    <xf numFmtId="0" fontId="11" fillId="0" borderId="4" xfId="0" applyNumberFormat="1" applyFont="1" applyBorder="1" applyAlignment="1">
      <alignment horizontal="left" vertical="center" wrapText="1"/>
    </xf>
    <xf numFmtId="0" fontId="9" fillId="19" borderId="0" xfId="0" applyNumberFormat="1" applyFont="1" applyFill="1" applyAlignment="1">
      <alignment horizontal="left" vertical="center" wrapText="1"/>
    </xf>
    <xf numFmtId="0" fontId="11" fillId="19" borderId="0" xfId="0" applyNumberFormat="1" applyFont="1" applyFill="1" applyAlignment="1">
      <alignment horizontal="left" vertical="center" wrapText="1"/>
    </xf>
    <xf numFmtId="0" fontId="11" fillId="19" borderId="4" xfId="0" applyNumberFormat="1" applyFont="1" applyFill="1" applyBorder="1" applyAlignment="1">
      <alignment horizontal="left" vertical="center" wrapText="1"/>
    </xf>
    <xf numFmtId="0" fontId="7" fillId="19" borderId="0" xfId="0" applyNumberFormat="1" applyFont="1" applyFill="1" applyAlignment="1">
      <alignment horizontal="left" vertical="center" wrapText="1"/>
    </xf>
    <xf numFmtId="164" fontId="2" fillId="2" borderId="1" xfId="0" applyFont="1" applyFill="1" applyBorder="1" applyAlignment="1">
      <alignment horizontal="center"/>
    </xf>
    <xf numFmtId="0" fontId="3" fillId="0" borderId="2" xfId="0" applyNumberFormat="1" applyFont="1" applyBorder="1"/>
    <xf numFmtId="0" fontId="3" fillId="0" borderId="3" xfId="0" applyNumberFormat="1" applyFont="1" applyBorder="1"/>
    <xf numFmtId="165" fontId="5" fillId="0" borderId="0" xfId="0" applyNumberFormat="1" applyFont="1" applyAlignment="1">
      <alignment horizontal="center"/>
    </xf>
    <xf numFmtId="164" fontId="0" fillId="0" borderId="0" xfId="0"/>
    <xf numFmtId="0" fontId="8" fillId="0" borderId="6" xfId="0" applyNumberFormat="1" applyFont="1" applyBorder="1"/>
    <xf numFmtId="0" fontId="3" fillId="0" borderId="7" xfId="0" applyNumberFormat="1" applyFont="1" applyBorder="1"/>
    <xf numFmtId="0" fontId="8" fillId="0" borderId="15" xfId="0" applyNumberFormat="1" applyFont="1" applyBorder="1"/>
    <xf numFmtId="0" fontId="3" fillId="0" borderId="16" xfId="0" applyNumberFormat="1" applyFont="1" applyBorder="1"/>
    <xf numFmtId="164" fontId="2" fillId="2" borderId="15" xfId="0" applyFont="1" applyFill="1" applyBorder="1" applyAlignment="1">
      <alignment horizontal="center"/>
    </xf>
    <xf numFmtId="0" fontId="3" fillId="0" borderId="18" xfId="0" applyNumberFormat="1" applyFont="1" applyBorder="1"/>
    <xf numFmtId="164" fontId="12" fillId="7" borderId="1" xfId="0" applyFont="1" applyFill="1" applyBorder="1" applyAlignment="1">
      <alignment horizontal="left" vertical="center"/>
    </xf>
    <xf numFmtId="164" fontId="16" fillId="4" borderId="15" xfId="0" applyFont="1" applyFill="1" applyBorder="1" applyAlignment="1">
      <alignment horizontal="center" vertical="center"/>
    </xf>
    <xf numFmtId="164" fontId="16" fillId="9" borderId="15" xfId="0" applyFont="1" applyFill="1" applyBorder="1" applyAlignment="1">
      <alignment horizontal="center" vertical="center"/>
    </xf>
    <xf numFmtId="164" fontId="16" fillId="4" borderId="57" xfId="0" applyFont="1" applyFill="1" applyBorder="1" applyAlignment="1">
      <alignment horizontal="center"/>
    </xf>
    <xf numFmtId="0" fontId="3" fillId="0" borderId="58" xfId="0" applyNumberFormat="1" applyFont="1" applyBorder="1"/>
    <xf numFmtId="0" fontId="3" fillId="0" borderId="59" xfId="0" applyNumberFormat="1" applyFont="1" applyBorder="1"/>
    <xf numFmtId="164" fontId="16" fillId="9" borderId="57" xfId="0" applyFont="1" applyFill="1" applyBorder="1" applyAlignment="1">
      <alignment horizontal="center"/>
    </xf>
    <xf numFmtId="164" fontId="16" fillId="9" borderId="83" xfId="0" applyFont="1" applyFill="1" applyBorder="1" applyAlignment="1">
      <alignment horizontal="center"/>
    </xf>
    <xf numFmtId="0" fontId="3" fillId="0" borderId="84" xfId="0" applyNumberFormat="1" applyFont="1" applyBorder="1"/>
    <xf numFmtId="0" fontId="3" fillId="0" borderId="85" xfId="0" applyNumberFormat="1" applyFont="1" applyBorder="1"/>
    <xf numFmtId="0" fontId="1" fillId="0" borderId="0" xfId="0" applyNumberFormat="1" applyFont="1" applyAlignment="1">
      <alignment horizontal="center"/>
    </xf>
    <xf numFmtId="164" fontId="5" fillId="7" borderId="1" xfId="0" applyFont="1" applyFill="1" applyBorder="1" applyAlignment="1">
      <alignment horizontal="left"/>
    </xf>
    <xf numFmtId="164" fontId="8" fillId="7" borderId="1" xfId="0" applyFont="1" applyFill="1" applyBorder="1"/>
    <xf numFmtId="164" fontId="23" fillId="2" borderId="1" xfId="0" applyFont="1" applyFill="1" applyBorder="1" applyAlignment="1">
      <alignment horizontal="center"/>
    </xf>
    <xf numFmtId="164" fontId="24" fillId="4" borderId="57" xfId="0" applyFont="1" applyFill="1" applyBorder="1" applyAlignment="1">
      <alignment horizontal="center"/>
    </xf>
    <xf numFmtId="164" fontId="24" fillId="9" borderId="57" xfId="0" applyFont="1" applyFill="1" applyBorder="1" applyAlignment="1">
      <alignment horizontal="center"/>
    </xf>
    <xf numFmtId="0" fontId="28" fillId="20" borderId="4" xfId="0" applyNumberFormat="1" applyFont="1" applyFill="1" applyBorder="1" applyAlignment="1">
      <alignment horizontal="left" vertical="center" wrapText="1"/>
    </xf>
    <xf numFmtId="165" fontId="7" fillId="0" borderId="0" xfId="0" applyNumberFormat="1" applyFont="1" applyFill="1" applyAlignment="1">
      <alignment horizontal="left" vertical="center" wrapText="1"/>
    </xf>
    <xf numFmtId="165" fontId="11" fillId="0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1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8F8F"/>
          <bgColor rgb="FFFF8F8F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8F8F"/>
          <bgColor rgb="FFFF8F8F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000000"/>
        <name val="Calibri"/>
      </font>
      <numFmt numFmtId="164" formatCode="[$CHF]\ #,##0"/>
      <fill>
        <patternFill patternType="none"/>
      </fill>
    </dxf>
    <dxf>
      <font>
        <color rgb="FFFFFFFF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FF8F8F"/>
          <bgColor rgb="FFFF8F8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JOURNAL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Budget : Charges par rapport à Départements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RESULTATS!$C$11:$C$12</c:f>
              <c:strCache>
                <c:ptCount val="2"/>
                <c:pt idx="0">
                  <c:v>BUDGET</c:v>
                </c:pt>
                <c:pt idx="1">
                  <c:v>Charges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ABE-D848-B818-C12ACB10806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3ABE-D848-B818-C12ACB10806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3ABE-D848-B818-C12ACB10806E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3ABE-D848-B818-C12ACB10806E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3ABE-D848-B818-C12ACB10806E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3ABE-D848-B818-C12ACB10806E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3ABE-D848-B818-C12ACB10806E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3ABE-D848-B818-C12ACB10806E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3ABE-D848-B818-C12ACB10806E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</c:spPr>
            <c:extLst>
              <c:ext xmlns:c16="http://schemas.microsoft.com/office/drawing/2014/chart" uri="{C3380CC4-5D6E-409C-BE32-E72D297353CC}">
                <c16:uniqueId val="{00000013-3ABE-D848-B818-C12ACB10806E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</c:spPr>
            <c:extLst>
              <c:ext xmlns:c16="http://schemas.microsoft.com/office/drawing/2014/chart" uri="{C3380CC4-5D6E-409C-BE32-E72D297353CC}">
                <c16:uniqueId val="{00000015-3ABE-D848-B818-C12ACB10806E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</c:spPr>
            <c:extLst>
              <c:ext xmlns:c16="http://schemas.microsoft.com/office/drawing/2014/chart" uri="{C3380CC4-5D6E-409C-BE32-E72D297353CC}">
                <c16:uniqueId val="{00000017-3ABE-D848-B818-C12ACB10806E}"/>
              </c:ext>
            </c:extLst>
          </c:dPt>
          <c:dPt>
            <c:idx val="12"/>
            <c:bubble3D val="0"/>
            <c:spPr>
              <a:solidFill>
                <a:srgbClr val="B9CDE5"/>
              </a:solidFill>
            </c:spPr>
            <c:extLst>
              <c:ext xmlns:c16="http://schemas.microsoft.com/office/drawing/2014/chart" uri="{C3380CC4-5D6E-409C-BE32-E72D297353CC}">
                <c16:uniqueId val="{00000019-3ABE-D848-B818-C12ACB10806E}"/>
              </c:ext>
            </c:extLst>
          </c:dPt>
          <c:dPt>
            <c:idx val="13"/>
            <c:bubble3D val="0"/>
            <c:spPr>
              <a:solidFill>
                <a:srgbClr val="E6B9B8"/>
              </a:solidFill>
            </c:spPr>
            <c:extLst>
              <c:ext xmlns:c16="http://schemas.microsoft.com/office/drawing/2014/chart" uri="{C3380CC4-5D6E-409C-BE32-E72D297353CC}">
                <c16:uniqueId val="{0000001B-3ABE-D848-B818-C12ACB10806E}"/>
              </c:ext>
            </c:extLst>
          </c:dPt>
          <c:dPt>
            <c:idx val="14"/>
            <c:bubble3D val="0"/>
            <c:spPr>
              <a:solidFill>
                <a:srgbClr val="D7E4BD"/>
              </a:solidFill>
            </c:spPr>
            <c:extLst>
              <c:ext xmlns:c16="http://schemas.microsoft.com/office/drawing/2014/chart" uri="{C3380CC4-5D6E-409C-BE32-E72D297353CC}">
                <c16:uniqueId val="{0000001D-3ABE-D848-B818-C12ACB10806E}"/>
              </c:ext>
            </c:extLst>
          </c:dPt>
          <c:cat>
            <c:strRef>
              <c:f>RESULTATS!$B$13:$B$27</c:f>
              <c:strCache>
                <c:ptCount val="15"/>
                <c:pt idx="0">
                  <c:v>SECURITE</c:v>
                </c:pt>
                <c:pt idx="1">
                  <c:v>PROGRAMMATION</c:v>
                </c:pt>
                <c:pt idx="2">
                  <c:v>TECHNIQUE</c:v>
                </c:pt>
                <c:pt idx="3">
                  <c:v>INFRASTRUCTURE</c:v>
                </c:pt>
                <c:pt idx="4">
                  <c:v>RAVITAILLEMENT</c:v>
                </c:pt>
                <c:pt idx="5">
                  <c:v>SPONSORING</c:v>
                </c:pt>
                <c:pt idx="6">
                  <c:v>COMMUNICATION</c:v>
                </c:pt>
                <c:pt idx="7">
                  <c:v>ADMINISTRATION</c:v>
                </c:pt>
                <c:pt idx="8">
                  <c:v>PMW</c:v>
                </c:pt>
                <c:pt idx="9">
                  <c:v>DÉCORATION</c:v>
                </c:pt>
                <c:pt idx="10">
                  <c:v>ÉLECTRICITÉ</c:v>
                </c:pt>
                <c:pt idx="11">
                  <c:v>LOGES</c:v>
                </c:pt>
                <c:pt idx="12">
                  <c:v>ENTREES</c:v>
                </c:pt>
                <c:pt idx="13">
                  <c:v>EVENTS</c:v>
                </c:pt>
                <c:pt idx="14">
                  <c:v>DIVERS</c:v>
                </c:pt>
              </c:strCache>
            </c:strRef>
          </c:cat>
          <c:val>
            <c:numRef>
              <c:f>RESULTATS!$C$13:$C$27</c:f>
              <c:numCache>
                <c:formatCode>[$CHF]\ #,##0.00</c:formatCode>
                <c:ptCount val="15"/>
                <c:pt idx="0">
                  <c:v>11900</c:v>
                </c:pt>
                <c:pt idx="1">
                  <c:v>18000</c:v>
                </c:pt>
                <c:pt idx="2">
                  <c:v>20700</c:v>
                </c:pt>
                <c:pt idx="3">
                  <c:v>9990</c:v>
                </c:pt>
                <c:pt idx="4">
                  <c:v>16750</c:v>
                </c:pt>
                <c:pt idx="5">
                  <c:v>0</c:v>
                </c:pt>
                <c:pt idx="6">
                  <c:v>6562</c:v>
                </c:pt>
                <c:pt idx="7">
                  <c:v>6020</c:v>
                </c:pt>
                <c:pt idx="8">
                  <c:v>100</c:v>
                </c:pt>
                <c:pt idx="9">
                  <c:v>500</c:v>
                </c:pt>
                <c:pt idx="10">
                  <c:v>300</c:v>
                </c:pt>
                <c:pt idx="11">
                  <c:v>800</c:v>
                </c:pt>
                <c:pt idx="12">
                  <c:v>1770.6</c:v>
                </c:pt>
                <c:pt idx="13">
                  <c:v>16179</c:v>
                </c:pt>
                <c:pt idx="1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ABE-D848-B818-C12ACB108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Budget : Produits par rapport à Départements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RESULTATS!$E$11:$E$12</c:f>
              <c:strCache>
                <c:ptCount val="2"/>
                <c:pt idx="0">
                  <c:v>BUDGET</c:v>
                </c:pt>
                <c:pt idx="1">
                  <c:v>Produits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9691-B144-A285-4E5B62C06E4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9691-B144-A285-4E5B62C06E4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9691-B144-A285-4E5B62C06E4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9691-B144-A285-4E5B62C06E4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9691-B144-A285-4E5B62C06E45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9691-B144-A285-4E5B62C06E45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9691-B144-A285-4E5B62C06E45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9691-B144-A285-4E5B62C06E45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9691-B144-A285-4E5B62C06E45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</c:spPr>
            <c:extLst>
              <c:ext xmlns:c16="http://schemas.microsoft.com/office/drawing/2014/chart" uri="{C3380CC4-5D6E-409C-BE32-E72D297353CC}">
                <c16:uniqueId val="{00000013-9691-B144-A285-4E5B62C06E45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</c:spPr>
            <c:extLst>
              <c:ext xmlns:c16="http://schemas.microsoft.com/office/drawing/2014/chart" uri="{C3380CC4-5D6E-409C-BE32-E72D297353CC}">
                <c16:uniqueId val="{00000015-9691-B144-A285-4E5B62C06E45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</c:spPr>
            <c:extLst>
              <c:ext xmlns:c16="http://schemas.microsoft.com/office/drawing/2014/chart" uri="{C3380CC4-5D6E-409C-BE32-E72D297353CC}">
                <c16:uniqueId val="{00000017-9691-B144-A285-4E5B62C06E45}"/>
              </c:ext>
            </c:extLst>
          </c:dPt>
          <c:dPt>
            <c:idx val="12"/>
            <c:bubble3D val="0"/>
            <c:spPr>
              <a:solidFill>
                <a:srgbClr val="B9CDE5"/>
              </a:solidFill>
            </c:spPr>
            <c:extLst>
              <c:ext xmlns:c16="http://schemas.microsoft.com/office/drawing/2014/chart" uri="{C3380CC4-5D6E-409C-BE32-E72D297353CC}">
                <c16:uniqueId val="{00000019-9691-B144-A285-4E5B62C06E45}"/>
              </c:ext>
            </c:extLst>
          </c:dPt>
          <c:dPt>
            <c:idx val="13"/>
            <c:bubble3D val="0"/>
            <c:spPr>
              <a:solidFill>
                <a:srgbClr val="E6B9B8"/>
              </a:solidFill>
            </c:spPr>
            <c:extLst>
              <c:ext xmlns:c16="http://schemas.microsoft.com/office/drawing/2014/chart" uri="{C3380CC4-5D6E-409C-BE32-E72D297353CC}">
                <c16:uniqueId val="{0000001B-9691-B144-A285-4E5B62C06E45}"/>
              </c:ext>
            </c:extLst>
          </c:dPt>
          <c:dPt>
            <c:idx val="14"/>
            <c:bubble3D val="0"/>
            <c:spPr>
              <a:solidFill>
                <a:srgbClr val="D7E4BD"/>
              </a:solidFill>
            </c:spPr>
            <c:extLst>
              <c:ext xmlns:c16="http://schemas.microsoft.com/office/drawing/2014/chart" uri="{C3380CC4-5D6E-409C-BE32-E72D297353CC}">
                <c16:uniqueId val="{0000001D-9691-B144-A285-4E5B62C06E45}"/>
              </c:ext>
            </c:extLst>
          </c:dPt>
          <c:cat>
            <c:strRef>
              <c:f>RESULTATS!$B$13:$B$27</c:f>
              <c:strCache>
                <c:ptCount val="15"/>
                <c:pt idx="0">
                  <c:v>SECURITE</c:v>
                </c:pt>
                <c:pt idx="1">
                  <c:v>PROGRAMMATION</c:v>
                </c:pt>
                <c:pt idx="2">
                  <c:v>TECHNIQUE</c:v>
                </c:pt>
                <c:pt idx="3">
                  <c:v>INFRASTRUCTURE</c:v>
                </c:pt>
                <c:pt idx="4">
                  <c:v>RAVITAILLEMENT</c:v>
                </c:pt>
                <c:pt idx="5">
                  <c:v>SPONSORING</c:v>
                </c:pt>
                <c:pt idx="6">
                  <c:v>COMMUNICATION</c:v>
                </c:pt>
                <c:pt idx="7">
                  <c:v>ADMINISTRATION</c:v>
                </c:pt>
                <c:pt idx="8">
                  <c:v>PMW</c:v>
                </c:pt>
                <c:pt idx="9">
                  <c:v>DÉCORATION</c:v>
                </c:pt>
                <c:pt idx="10">
                  <c:v>ÉLECTRICITÉ</c:v>
                </c:pt>
                <c:pt idx="11">
                  <c:v>LOGES</c:v>
                </c:pt>
                <c:pt idx="12">
                  <c:v>ENTREES</c:v>
                </c:pt>
                <c:pt idx="13">
                  <c:v>EVENTS</c:v>
                </c:pt>
                <c:pt idx="14">
                  <c:v>DIVERS</c:v>
                </c:pt>
              </c:strCache>
            </c:strRef>
          </c:cat>
          <c:val>
            <c:numRef>
              <c:f>RESULTATS!$E$13:$E$27</c:f>
              <c:numCache>
                <c:formatCode>[$CHF]\ 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30400</c:v>
                </c:pt>
                <c:pt idx="5">
                  <c:v>18500</c:v>
                </c:pt>
                <c:pt idx="6">
                  <c:v>2500</c:v>
                </c:pt>
                <c:pt idx="7">
                  <c:v>800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18700</c:v>
                </c:pt>
                <c:pt idx="13">
                  <c:v>38552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691-B144-A285-4E5B62C06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Comptabilité : Charges par rapport à Départements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RESULTATS!$J$11:$J$12</c:f>
              <c:strCache>
                <c:ptCount val="2"/>
                <c:pt idx="0">
                  <c:v>COMPTABILITE</c:v>
                </c:pt>
                <c:pt idx="1">
                  <c:v>Charges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669-5341-9B3E-39659671C2D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A669-5341-9B3E-39659671C2D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A669-5341-9B3E-39659671C2D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A669-5341-9B3E-39659671C2D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A669-5341-9B3E-39659671C2DA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A669-5341-9B3E-39659671C2DA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A669-5341-9B3E-39659671C2DA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A669-5341-9B3E-39659671C2DA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A669-5341-9B3E-39659671C2DA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</c:spPr>
            <c:extLst>
              <c:ext xmlns:c16="http://schemas.microsoft.com/office/drawing/2014/chart" uri="{C3380CC4-5D6E-409C-BE32-E72D297353CC}">
                <c16:uniqueId val="{00000013-A669-5341-9B3E-39659671C2DA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</c:spPr>
            <c:extLst>
              <c:ext xmlns:c16="http://schemas.microsoft.com/office/drawing/2014/chart" uri="{C3380CC4-5D6E-409C-BE32-E72D297353CC}">
                <c16:uniqueId val="{00000015-A669-5341-9B3E-39659671C2DA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</c:spPr>
            <c:extLst>
              <c:ext xmlns:c16="http://schemas.microsoft.com/office/drawing/2014/chart" uri="{C3380CC4-5D6E-409C-BE32-E72D297353CC}">
                <c16:uniqueId val="{00000017-A669-5341-9B3E-39659671C2DA}"/>
              </c:ext>
            </c:extLst>
          </c:dPt>
          <c:dPt>
            <c:idx val="12"/>
            <c:bubble3D val="0"/>
            <c:spPr>
              <a:solidFill>
                <a:srgbClr val="B9CDE5"/>
              </a:solidFill>
            </c:spPr>
            <c:extLst>
              <c:ext xmlns:c16="http://schemas.microsoft.com/office/drawing/2014/chart" uri="{C3380CC4-5D6E-409C-BE32-E72D297353CC}">
                <c16:uniqueId val="{00000019-A669-5341-9B3E-39659671C2DA}"/>
              </c:ext>
            </c:extLst>
          </c:dPt>
          <c:dPt>
            <c:idx val="13"/>
            <c:bubble3D val="0"/>
            <c:spPr>
              <a:solidFill>
                <a:srgbClr val="E6B9B8"/>
              </a:solidFill>
            </c:spPr>
            <c:extLst>
              <c:ext xmlns:c16="http://schemas.microsoft.com/office/drawing/2014/chart" uri="{C3380CC4-5D6E-409C-BE32-E72D297353CC}">
                <c16:uniqueId val="{0000001B-A669-5341-9B3E-39659671C2DA}"/>
              </c:ext>
            </c:extLst>
          </c:dPt>
          <c:dPt>
            <c:idx val="14"/>
            <c:bubble3D val="0"/>
            <c:spPr>
              <a:solidFill>
                <a:srgbClr val="D7E4BD"/>
              </a:solidFill>
            </c:spPr>
            <c:extLst>
              <c:ext xmlns:c16="http://schemas.microsoft.com/office/drawing/2014/chart" uri="{C3380CC4-5D6E-409C-BE32-E72D297353CC}">
                <c16:uniqueId val="{0000001D-A669-5341-9B3E-39659671C2DA}"/>
              </c:ext>
            </c:extLst>
          </c:dPt>
          <c:cat>
            <c:strRef>
              <c:f>RESULTATS!$B$13:$B$27</c:f>
              <c:strCache>
                <c:ptCount val="15"/>
                <c:pt idx="0">
                  <c:v>SECURITE</c:v>
                </c:pt>
                <c:pt idx="1">
                  <c:v>PROGRAMMATION</c:v>
                </c:pt>
                <c:pt idx="2">
                  <c:v>TECHNIQUE</c:v>
                </c:pt>
                <c:pt idx="3">
                  <c:v>INFRASTRUCTURE</c:v>
                </c:pt>
                <c:pt idx="4">
                  <c:v>RAVITAILLEMENT</c:v>
                </c:pt>
                <c:pt idx="5">
                  <c:v>SPONSORING</c:v>
                </c:pt>
                <c:pt idx="6">
                  <c:v>COMMUNICATION</c:v>
                </c:pt>
                <c:pt idx="7">
                  <c:v>ADMINISTRATION</c:v>
                </c:pt>
                <c:pt idx="8">
                  <c:v>PMW</c:v>
                </c:pt>
                <c:pt idx="9">
                  <c:v>DÉCORATION</c:v>
                </c:pt>
                <c:pt idx="10">
                  <c:v>ÉLECTRICITÉ</c:v>
                </c:pt>
                <c:pt idx="11">
                  <c:v>LOGES</c:v>
                </c:pt>
                <c:pt idx="12">
                  <c:v>ENTREES</c:v>
                </c:pt>
                <c:pt idx="13">
                  <c:v>EVENTS</c:v>
                </c:pt>
                <c:pt idx="14">
                  <c:v>DIVERS</c:v>
                </c:pt>
              </c:strCache>
            </c:strRef>
          </c:cat>
          <c:val>
            <c:numRef>
              <c:f>RESULTATS!$J$13:$J$27</c:f>
              <c:numCache>
                <c:formatCode>[$CHF]\ #,##0.00</c:formatCode>
                <c:ptCount val="15"/>
                <c:pt idx="0">
                  <c:v>0</c:v>
                </c:pt>
                <c:pt idx="1">
                  <c:v>1415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6440.7000000000007</c:v>
                </c:pt>
                <c:pt idx="8">
                  <c:v>0</c:v>
                </c:pt>
                <c:pt idx="9">
                  <c:v>244.85000000000002</c:v>
                </c:pt>
                <c:pt idx="10">
                  <c:v>0</c:v>
                </c:pt>
                <c:pt idx="11">
                  <c:v>0</c:v>
                </c:pt>
                <c:pt idx="12">
                  <c:v>1117.3499999999999</c:v>
                </c:pt>
                <c:pt idx="13">
                  <c:v>9977.2900000000009</c:v>
                </c:pt>
                <c:pt idx="14">
                  <c:v>34.200000000000003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669-5341-9B3E-39659671C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Comptabilité : Produits par rapport à Départements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RESULTATS!$L$11:$L$12</c:f>
              <c:strCache>
                <c:ptCount val="2"/>
                <c:pt idx="0">
                  <c:v>COMPTABILITE</c:v>
                </c:pt>
                <c:pt idx="1">
                  <c:v>Produits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7D6-6941-AF1A-13F72077C55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17D6-6941-AF1A-13F72077C55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17D6-6941-AF1A-13F72077C55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17D6-6941-AF1A-13F72077C55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17D6-6941-AF1A-13F72077C557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17D6-6941-AF1A-13F72077C557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17D6-6941-AF1A-13F72077C557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17D6-6941-AF1A-13F72077C557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17D6-6941-AF1A-13F72077C557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</c:spPr>
            <c:extLst>
              <c:ext xmlns:c16="http://schemas.microsoft.com/office/drawing/2014/chart" uri="{C3380CC4-5D6E-409C-BE32-E72D297353CC}">
                <c16:uniqueId val="{00000013-17D6-6941-AF1A-13F72077C557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</c:spPr>
            <c:extLst>
              <c:ext xmlns:c16="http://schemas.microsoft.com/office/drawing/2014/chart" uri="{C3380CC4-5D6E-409C-BE32-E72D297353CC}">
                <c16:uniqueId val="{00000015-17D6-6941-AF1A-13F72077C557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</c:spPr>
            <c:extLst>
              <c:ext xmlns:c16="http://schemas.microsoft.com/office/drawing/2014/chart" uri="{C3380CC4-5D6E-409C-BE32-E72D297353CC}">
                <c16:uniqueId val="{00000017-17D6-6941-AF1A-13F72077C557}"/>
              </c:ext>
            </c:extLst>
          </c:dPt>
          <c:dPt>
            <c:idx val="12"/>
            <c:bubble3D val="0"/>
            <c:spPr>
              <a:solidFill>
                <a:srgbClr val="B9CDE5"/>
              </a:solidFill>
            </c:spPr>
            <c:extLst>
              <c:ext xmlns:c16="http://schemas.microsoft.com/office/drawing/2014/chart" uri="{C3380CC4-5D6E-409C-BE32-E72D297353CC}">
                <c16:uniqueId val="{00000019-17D6-6941-AF1A-13F72077C557}"/>
              </c:ext>
            </c:extLst>
          </c:dPt>
          <c:dPt>
            <c:idx val="13"/>
            <c:bubble3D val="0"/>
            <c:spPr>
              <a:solidFill>
                <a:srgbClr val="E6B9B8"/>
              </a:solidFill>
            </c:spPr>
            <c:extLst>
              <c:ext xmlns:c16="http://schemas.microsoft.com/office/drawing/2014/chart" uri="{C3380CC4-5D6E-409C-BE32-E72D297353CC}">
                <c16:uniqueId val="{0000001B-17D6-6941-AF1A-13F72077C557}"/>
              </c:ext>
            </c:extLst>
          </c:dPt>
          <c:dPt>
            <c:idx val="14"/>
            <c:bubble3D val="0"/>
            <c:spPr>
              <a:solidFill>
                <a:srgbClr val="D7E4BD"/>
              </a:solidFill>
            </c:spPr>
            <c:extLst>
              <c:ext xmlns:c16="http://schemas.microsoft.com/office/drawing/2014/chart" uri="{C3380CC4-5D6E-409C-BE32-E72D297353CC}">
                <c16:uniqueId val="{0000001D-17D6-6941-AF1A-13F72077C557}"/>
              </c:ext>
            </c:extLst>
          </c:dPt>
          <c:cat>
            <c:strRef>
              <c:f>RESULTATS!$B$13:$B$27</c:f>
              <c:strCache>
                <c:ptCount val="15"/>
                <c:pt idx="0">
                  <c:v>SECURITE</c:v>
                </c:pt>
                <c:pt idx="1">
                  <c:v>PROGRAMMATION</c:v>
                </c:pt>
                <c:pt idx="2">
                  <c:v>TECHNIQUE</c:v>
                </c:pt>
                <c:pt idx="3">
                  <c:v>INFRASTRUCTURE</c:v>
                </c:pt>
                <c:pt idx="4">
                  <c:v>RAVITAILLEMENT</c:v>
                </c:pt>
                <c:pt idx="5">
                  <c:v>SPONSORING</c:v>
                </c:pt>
                <c:pt idx="6">
                  <c:v>COMMUNICATION</c:v>
                </c:pt>
                <c:pt idx="7">
                  <c:v>ADMINISTRATION</c:v>
                </c:pt>
                <c:pt idx="8">
                  <c:v>PMW</c:v>
                </c:pt>
                <c:pt idx="9">
                  <c:v>DÉCORATION</c:v>
                </c:pt>
                <c:pt idx="10">
                  <c:v>ÉLECTRICITÉ</c:v>
                </c:pt>
                <c:pt idx="11">
                  <c:v>LOGES</c:v>
                </c:pt>
                <c:pt idx="12">
                  <c:v>ENTREES</c:v>
                </c:pt>
                <c:pt idx="13">
                  <c:v>EVENTS</c:v>
                </c:pt>
                <c:pt idx="14">
                  <c:v>DIVERS</c:v>
                </c:pt>
              </c:strCache>
            </c:strRef>
          </c:cat>
          <c:val>
            <c:numRef>
              <c:f>RESULTATS!$L$13:$L$27</c:f>
              <c:numCache>
                <c:formatCode>[$CHF]\ 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108</c:v>
                </c:pt>
                <c:pt idx="5">
                  <c:v>500</c:v>
                </c:pt>
                <c:pt idx="6">
                  <c:v>0</c:v>
                </c:pt>
                <c:pt idx="7">
                  <c:v>619.29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702.75</c:v>
                </c:pt>
                <c:pt idx="13">
                  <c:v>19903.950000000015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7D6-6941-AF1A-13F72077C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29</xdr:row>
      <xdr:rowOff>152400</xdr:rowOff>
    </xdr:from>
    <xdr:ext cx="5876925" cy="3638550"/>
    <xdr:graphicFrame macro="">
      <xdr:nvGraphicFramePr>
        <xdr:cNvPr id="1790437685" name="Chart 1" title="Graphique">
          <a:extLst>
            <a:ext uri="{FF2B5EF4-FFF2-40B4-BE49-F238E27FC236}">
              <a16:creationId xmlns:a16="http://schemas.microsoft.com/office/drawing/2014/main" id="{00000000-0008-0000-0100-000035E9B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95250</xdr:colOff>
      <xdr:row>50</xdr:row>
      <xdr:rowOff>152400</xdr:rowOff>
    </xdr:from>
    <xdr:ext cx="5876925" cy="3638550"/>
    <xdr:graphicFrame macro="">
      <xdr:nvGraphicFramePr>
        <xdr:cNvPr id="297755387" name="Chart 2" title="Graphique">
          <a:extLst>
            <a:ext uri="{FF2B5EF4-FFF2-40B4-BE49-F238E27FC236}">
              <a16:creationId xmlns:a16="http://schemas.microsoft.com/office/drawing/2014/main" id="{00000000-0008-0000-0100-0000FB62B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352425</xdr:colOff>
      <xdr:row>29</xdr:row>
      <xdr:rowOff>171450</xdr:rowOff>
    </xdr:from>
    <xdr:ext cx="5876925" cy="3638550"/>
    <xdr:graphicFrame macro="">
      <xdr:nvGraphicFramePr>
        <xdr:cNvPr id="775361117" name="Chart 3" title="Graphique">
          <a:extLst>
            <a:ext uri="{FF2B5EF4-FFF2-40B4-BE49-F238E27FC236}">
              <a16:creationId xmlns:a16="http://schemas.microsoft.com/office/drawing/2014/main" id="{00000000-0008-0000-0100-00005D123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352425</xdr:colOff>
      <xdr:row>50</xdr:row>
      <xdr:rowOff>152400</xdr:rowOff>
    </xdr:from>
    <xdr:ext cx="5876925" cy="3638550"/>
    <xdr:graphicFrame macro="">
      <xdr:nvGraphicFramePr>
        <xdr:cNvPr id="1170298587" name="Chart 4" title="Graphique">
          <a:extLst>
            <a:ext uri="{FF2B5EF4-FFF2-40B4-BE49-F238E27FC236}">
              <a16:creationId xmlns:a16="http://schemas.microsoft.com/office/drawing/2014/main" id="{00000000-0008-0000-0100-0000DB56C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P499">
  <tableColumns count="15">
    <tableColumn id="1" xr3:uid="{00000000-0010-0000-0000-000001000000}" name="Compte"/>
    <tableColumn id="2" xr3:uid="{00000000-0010-0000-0000-000002000000}" name="N°"/>
    <tableColumn id="3" xr3:uid="{00000000-0010-0000-0000-000003000000}" name="Date"/>
    <tableColumn id="4" xr3:uid="{00000000-0010-0000-0000-000004000000}" name="Montant"/>
    <tableColumn id="5" xr3:uid="{00000000-0010-0000-0000-000005000000}" name="En faveur de"/>
    <tableColumn id="6" xr3:uid="{00000000-0010-0000-0000-000006000000}" name="Libellé"/>
    <tableColumn id="7" xr3:uid="{00000000-0010-0000-0000-000007000000}" name="Entré par"/>
    <tableColumn id="8" xr3:uid="{00000000-0010-0000-0000-000008000000}" name="Coffre/Banque"/>
    <tableColumn id="9" xr3:uid="{00000000-0010-0000-0000-000009000000}" name="Centre de coûts"/>
    <tableColumn id="10" xr3:uid="{00000000-0010-0000-0000-00000A000000}" name="N°Référence "/>
    <tableColumn id="11" xr3:uid="{00000000-0010-0000-0000-00000B000000}" name="Solde Compte Courant"/>
    <tableColumn id="12" xr3:uid="{00000000-0010-0000-0000-00000C000000}" name="Solde Coffre"/>
    <tableColumn id="13" xr3:uid="{00000000-0010-0000-0000-00000D000000}" name="Solde Compte Epargne"/>
    <tableColumn id="14" xr3:uid="{00000000-0010-0000-0000-00000E000000}" name="Solde Compte MyPos"/>
    <tableColumn id="15" xr3:uid="{00000000-0010-0000-0000-00000F000000}" name="Total"/>
  </tableColumns>
  <tableStyleInfo name="JOURN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joh.dip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000"/>
  <sheetViews>
    <sheetView tabSelected="1" workbookViewId="0">
      <pane ySplit="3" topLeftCell="A5" activePane="bottomLeft" state="frozen"/>
      <selection pane="bottomLeft" activeCell="E56" sqref="E56"/>
    </sheetView>
  </sheetViews>
  <sheetFormatPr baseColWidth="10" defaultColWidth="14.5" defaultRowHeight="15" customHeight="1" x14ac:dyDescent="0.2"/>
  <cols>
    <col min="1" max="1" width="2.1640625" customWidth="1"/>
    <col min="2" max="2" width="36" customWidth="1"/>
    <col min="3" max="3" width="5.5" customWidth="1"/>
    <col min="4" max="4" width="13.83203125" customWidth="1"/>
    <col min="5" max="5" width="15.5" customWidth="1"/>
    <col min="6" max="6" width="37.33203125" customWidth="1"/>
    <col min="7" max="7" width="43.83203125" bestFit="1" customWidth="1"/>
    <col min="8" max="8" width="12" customWidth="1"/>
    <col min="9" max="9" width="16.6640625" customWidth="1"/>
    <col min="10" max="10" width="19.83203125" customWidth="1"/>
    <col min="11" max="11" width="17.83203125" hidden="1" customWidth="1"/>
    <col min="12" max="12" width="21" customWidth="1"/>
    <col min="13" max="13" width="23.83203125" customWidth="1"/>
    <col min="14" max="14" width="15.5" customWidth="1"/>
    <col min="15" max="15" width="24.1640625" hidden="1" customWidth="1"/>
    <col min="16" max="16" width="22.6640625" customWidth="1"/>
    <col min="17" max="17" width="18.1640625" customWidth="1"/>
    <col min="18" max="18" width="5.5" customWidth="1"/>
    <col min="19" max="22" width="8.1640625" customWidth="1"/>
    <col min="23" max="23" width="23.1640625" customWidth="1"/>
    <col min="24" max="24" width="20.5" customWidth="1"/>
    <col min="25" max="31" width="9" customWidth="1"/>
  </cols>
  <sheetData>
    <row r="1" spans="1:30" ht="22" x14ac:dyDescent="0.25">
      <c r="A1" s="1"/>
      <c r="B1" s="360" t="s">
        <v>0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1"/>
      <c r="B2" s="5" t="s">
        <v>1</v>
      </c>
      <c r="C2" s="363" t="e">
        <f>LOOKUP(9^9,Q:Q)-P4</f>
        <v>#N/A</v>
      </c>
      <c r="D2" s="364"/>
      <c r="E2" s="364"/>
      <c r="F2" s="4"/>
      <c r="G2" s="6"/>
      <c r="H2" s="4"/>
      <c r="I2" s="4"/>
      <c r="J2" s="4"/>
      <c r="K2" s="4"/>
      <c r="L2" s="7"/>
      <c r="M2" s="7"/>
      <c r="N2" s="7"/>
      <c r="O2" s="7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25" customHeight="1" x14ac:dyDescent="0.2">
      <c r="A3" s="1"/>
      <c r="B3" s="8" t="s">
        <v>2</v>
      </c>
      <c r="C3" s="9" t="s">
        <v>3</v>
      </c>
      <c r="D3" s="10" t="s">
        <v>4</v>
      </c>
      <c r="E3" s="11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12" t="s">
        <v>11</v>
      </c>
      <c r="L3" s="13" t="s">
        <v>12</v>
      </c>
      <c r="M3" s="14" t="s">
        <v>13</v>
      </c>
      <c r="N3" s="14" t="s">
        <v>14</v>
      </c>
      <c r="O3" s="14" t="s">
        <v>15</v>
      </c>
      <c r="P3" s="15" t="s">
        <v>16</v>
      </c>
      <c r="Q3" s="4"/>
      <c r="T3" s="4"/>
      <c r="U3" s="4"/>
      <c r="V3" s="365" t="s">
        <v>17</v>
      </c>
      <c r="W3" s="366"/>
      <c r="X3" s="4"/>
      <c r="Y3" s="4"/>
      <c r="Z3" s="4"/>
      <c r="AA3" s="4"/>
      <c r="AB3" s="4"/>
      <c r="AC3" s="4"/>
      <c r="AD3" s="4"/>
    </row>
    <row r="4" spans="1:30" ht="14.25" customHeight="1" x14ac:dyDescent="0.2">
      <c r="A4" s="1"/>
      <c r="B4" s="16"/>
      <c r="C4" s="17">
        <v>0</v>
      </c>
      <c r="D4" s="18">
        <v>45866</v>
      </c>
      <c r="E4" s="19"/>
      <c r="F4" s="20"/>
      <c r="G4" s="20" t="s">
        <v>18</v>
      </c>
      <c r="H4" s="20"/>
      <c r="I4" s="20"/>
      <c r="J4" s="20"/>
      <c r="K4" s="21"/>
      <c r="L4" s="22">
        <v>4619.01</v>
      </c>
      <c r="M4" s="23">
        <v>1995.6500000000008</v>
      </c>
      <c r="N4" s="23">
        <v>42.64</v>
      </c>
      <c r="O4" s="23" t="str">
        <f>IF(B4="","",IF(I4="CompteMyPos",IF(IF(ISNA(VLOOKUP(B4,DATA!$A$1:$A$15,1,0)),"",VLOOKUP(B4,DATA!$A$1:$A$15,1,0))="",O3+E4,O3-E4),O3))</f>
        <v/>
      </c>
      <c r="P4" s="22">
        <f t="shared" ref="P4:P258" si="0">IF(L4="", "", SUM(L4,M4,N4,O4))</f>
        <v>6657.3000000000011</v>
      </c>
      <c r="Q4" s="4"/>
      <c r="T4" s="4"/>
      <c r="U4" s="4"/>
      <c r="V4" s="24" t="s">
        <v>19</v>
      </c>
      <c r="W4" s="25" t="s">
        <v>20</v>
      </c>
      <c r="X4" s="4"/>
      <c r="Y4" s="4"/>
      <c r="Z4" s="4"/>
      <c r="AA4" s="4"/>
      <c r="AB4" s="4"/>
      <c r="AC4" s="4"/>
      <c r="AD4" s="4"/>
    </row>
    <row r="5" spans="1:30" ht="14.25" customHeight="1" x14ac:dyDescent="0.2">
      <c r="A5" s="1"/>
      <c r="B5" s="16" t="s">
        <v>21</v>
      </c>
      <c r="C5" s="17">
        <f t="shared" ref="C5:C259" si="1">C4+1</f>
        <v>1</v>
      </c>
      <c r="D5" s="18">
        <v>45911</v>
      </c>
      <c r="E5" s="19">
        <v>24</v>
      </c>
      <c r="F5" s="20" t="s">
        <v>22</v>
      </c>
      <c r="G5" s="20" t="s">
        <v>23</v>
      </c>
      <c r="H5" s="20" t="s">
        <v>19</v>
      </c>
      <c r="I5" s="20" t="s">
        <v>24</v>
      </c>
      <c r="J5" s="20" t="s">
        <v>25</v>
      </c>
      <c r="K5" s="21"/>
      <c r="L5" s="22">
        <f>IF(B5="","",IF(I5="CompteCourant",IF(IF(ISNA(VLOOKUP(B5,DATA!$A$1:$A$16,1,0)),"",VLOOKUP(B5,DATA!$A$1:$A$16,1,0))="",L4+E5,L4-E5),L4))</f>
        <v>4619.01</v>
      </c>
      <c r="M5" s="23">
        <f>IF(B5="","",IF(I5="Coffre",IF(IF(ISNA(VLOOKUP(B5,DATA!$A$1:$A$16,1,0)),"",VLOOKUP(B5,DATA!$A$1:$A$16,1,0))="",M4+E5,M4-E5),M4))</f>
        <v>2019.6500000000008</v>
      </c>
      <c r="N5" s="23">
        <f>IF(B5="","",IF(I5="CompteEpargne",IF(IF(ISNA(VLOOKUP(B5,DATA!$A$1:$A$16,1,0)),"",VLOOKUP(B5,DATA!$A$1:$A$16,1,0))="",N4+E5,N4-E5),N4))</f>
        <v>42.64</v>
      </c>
      <c r="O5" s="23" t="str">
        <f>IF(B5="","",IF(I5="CompteMyPos",IF(IF(ISNA(VLOOKUP(B5,DATA!$A$1:$A$15,1,0)),"",VLOOKUP(B5,DATA!$A$1:$A$15,1,0))="",O4+E5,O4-E5),O4))</f>
        <v/>
      </c>
      <c r="P5" s="22">
        <f t="shared" si="0"/>
        <v>6681.3000000000011</v>
      </c>
      <c r="Q5" s="4"/>
      <c r="T5" s="4"/>
      <c r="U5" s="4"/>
      <c r="V5" s="26"/>
      <c r="W5" s="27"/>
      <c r="X5" s="4"/>
      <c r="Y5" s="4"/>
      <c r="Z5" s="4"/>
      <c r="AA5" s="4"/>
      <c r="AB5" s="4"/>
      <c r="AC5" s="4"/>
      <c r="AD5" s="4"/>
    </row>
    <row r="6" spans="1:30" ht="14.25" customHeight="1" x14ac:dyDescent="0.2">
      <c r="A6" s="1"/>
      <c r="B6" s="16" t="s">
        <v>26</v>
      </c>
      <c r="C6" s="17">
        <f t="shared" si="1"/>
        <v>2</v>
      </c>
      <c r="D6" s="18">
        <v>45912</v>
      </c>
      <c r="E6" s="388">
        <v>54</v>
      </c>
      <c r="F6" s="20" t="s">
        <v>27</v>
      </c>
      <c r="G6" s="20" t="s">
        <v>28</v>
      </c>
      <c r="H6" s="20" t="s">
        <v>19</v>
      </c>
      <c r="I6" s="20" t="s">
        <v>29</v>
      </c>
      <c r="J6" s="20" t="s">
        <v>25</v>
      </c>
      <c r="K6" s="21"/>
      <c r="L6" s="22">
        <f>IF(B6="","",IF(I6="CompteCourant",IF(IF(ISNA(VLOOKUP(B6,DATA!$A$1:$A$16,1,0)),"",VLOOKUP(B6,DATA!$A$1:$A$16,1,0))="",L5+E6,L5-E6),L5))</f>
        <v>4565.01</v>
      </c>
      <c r="M6" s="23">
        <f>IF(B6="","",IF(I6="Coffre",IF(IF(ISNA(VLOOKUP(B6,DATA!$A$1:$A$16,1,0)),"",VLOOKUP(B6,DATA!$A$1:$A$16,1,0))="",M5+E6,M5-E6),M5))</f>
        <v>2019.6500000000008</v>
      </c>
      <c r="N6" s="23">
        <f>IF(B6="","",IF(I6="CompteEpargne",IF(IF(ISNA(VLOOKUP(B6,DATA!$A$1:$A$16,1,0)),"",VLOOKUP(B6,DATA!$A$1:$A$16,1,0))="",N5+E6,N5-E6),N5))</f>
        <v>42.64</v>
      </c>
      <c r="O6" s="23" t="str">
        <f>IF(B6="","",IF(I6="CompteMyPos",IF(IF(ISNA(VLOOKUP(B6,DATA!$A$1:$A$15,1,0)),"",VLOOKUP(B6,DATA!$A$1:$A$15,1,0))="",O5+E6,O5-E6),O5))</f>
        <v/>
      </c>
      <c r="P6" s="22">
        <f t="shared" si="0"/>
        <v>6627.3000000000011</v>
      </c>
      <c r="Q6" s="4"/>
      <c r="T6" s="4"/>
      <c r="U6" s="4"/>
      <c r="V6" s="26"/>
      <c r="W6" s="27"/>
      <c r="X6" s="4"/>
      <c r="Y6" s="4"/>
      <c r="Z6" s="4"/>
      <c r="AA6" s="4"/>
      <c r="AB6" s="4"/>
      <c r="AC6" s="4"/>
      <c r="AD6" s="4"/>
    </row>
    <row r="7" spans="1:30" ht="14.25" customHeight="1" x14ac:dyDescent="0.2">
      <c r="A7" s="1"/>
      <c r="B7" s="16" t="s">
        <v>26</v>
      </c>
      <c r="C7" s="17">
        <f t="shared" si="1"/>
        <v>3</v>
      </c>
      <c r="D7" s="18">
        <v>46279</v>
      </c>
      <c r="E7" s="388">
        <v>175.5</v>
      </c>
      <c r="F7" s="20" t="s">
        <v>27</v>
      </c>
      <c r="G7" s="20" t="s">
        <v>30</v>
      </c>
      <c r="H7" s="20" t="s">
        <v>19</v>
      </c>
      <c r="I7" s="20" t="s">
        <v>29</v>
      </c>
      <c r="J7" s="20" t="s">
        <v>31</v>
      </c>
      <c r="K7" s="21"/>
      <c r="L7" s="22">
        <f>IF(B7="","",IF(I7="CompteCourant",IF(IF(ISNA(VLOOKUP(B7,DATA!$A$1:$A$16,1,0)),"",VLOOKUP(B7,DATA!$A$1:$A$16,1,0))="",L6+E7,L6-E7),L6))</f>
        <v>4389.51</v>
      </c>
      <c r="M7" s="23">
        <f>IF(B7="","",IF(I7="Coffre",IF(IF(ISNA(VLOOKUP(B7,DATA!$A$1:$A$16,1,0)),"",VLOOKUP(B7,DATA!$A$1:$A$16,1,0))="",M6+E7,M6-E7),M6))</f>
        <v>2019.6500000000008</v>
      </c>
      <c r="N7" s="23">
        <f>IF(B7="","",IF(I7="CompteEpargne",IF(IF(ISNA(VLOOKUP(B7,DATA!$A$1:$A$16,1,0)),"",VLOOKUP(B7,DATA!$A$1:$A$16,1,0))="",N6+E7,N6-E7),N6))</f>
        <v>42.64</v>
      </c>
      <c r="O7" s="23" t="str">
        <f>IF(B7="","",IF(I7="CompteMyPos",IF(IF(ISNA(VLOOKUP(B7,DATA!$A$1:$A$15,1,0)),"",VLOOKUP(B7,DATA!$A$1:$A$15,1,0))="",O6+E7,O6-E7),O6))</f>
        <v/>
      </c>
      <c r="P7" s="22">
        <f t="shared" si="0"/>
        <v>6451.8000000000011</v>
      </c>
      <c r="Q7" s="4"/>
      <c r="T7" s="4"/>
      <c r="U7" s="4"/>
      <c r="V7" s="28"/>
      <c r="W7" s="29"/>
      <c r="X7" s="4"/>
      <c r="Y7" s="4"/>
      <c r="Z7" s="4"/>
      <c r="AA7" s="4"/>
      <c r="AB7" s="4"/>
      <c r="AC7" s="4"/>
      <c r="AD7" s="4"/>
    </row>
    <row r="8" spans="1:30" ht="14.25" customHeight="1" x14ac:dyDescent="0.2">
      <c r="A8" s="1"/>
      <c r="B8" s="16" t="s">
        <v>32</v>
      </c>
      <c r="C8" s="17">
        <f t="shared" si="1"/>
        <v>4</v>
      </c>
      <c r="D8" s="18">
        <v>46279</v>
      </c>
      <c r="E8" s="388">
        <v>10.8</v>
      </c>
      <c r="F8" s="20" t="s">
        <v>27</v>
      </c>
      <c r="G8" s="20" t="s">
        <v>33</v>
      </c>
      <c r="H8" s="20" t="s">
        <v>19</v>
      </c>
      <c r="I8" s="20" t="s">
        <v>29</v>
      </c>
      <c r="J8" s="20" t="s">
        <v>34</v>
      </c>
      <c r="K8" s="21"/>
      <c r="L8" s="22">
        <f>IF(B8="","",IF(I8="CompteCourant",IF(IF(ISNA(VLOOKUP(B8,DATA!$A$1:$A$16,1,0)),"",VLOOKUP(B8,DATA!$A$1:$A$16,1,0))="",L7+E8,L7-E8),L7))</f>
        <v>4378.71</v>
      </c>
      <c r="M8" s="23">
        <f>IF(B8="","",IF(I8="Coffre",IF(IF(ISNA(VLOOKUP(B8,DATA!$A$1:$A$16,1,0)),"",VLOOKUP(B8,DATA!$A$1:$A$16,1,0))="",M7+E8,M7-E8),M7))</f>
        <v>2019.6500000000008</v>
      </c>
      <c r="N8" s="23">
        <f>IF(B8="","",IF(I8="CompteEpargne",IF(IF(ISNA(VLOOKUP(B8,DATA!$A$1:$A$16,1,0)),"",VLOOKUP(B8,DATA!$A$1:$A$16,1,0))="",N7+E8,N7-E8),N7))</f>
        <v>42.64</v>
      </c>
      <c r="O8" s="23" t="str">
        <f>IF(B8="","",IF(I8="CompteMyPos",IF(IF(ISNA(VLOOKUP(B8,DATA!$A$1:$A$15,1,0)),"",VLOOKUP(B8,DATA!$A$1:$A$15,1,0))="",O7+E8,O7-E8),O7))</f>
        <v/>
      </c>
      <c r="P8" s="22">
        <f t="shared" si="0"/>
        <v>6441.0000000000009</v>
      </c>
      <c r="Q8" s="4"/>
      <c r="T8" s="4"/>
      <c r="U8" s="4"/>
      <c r="W8" s="4"/>
      <c r="X8" s="4"/>
      <c r="Y8" s="4"/>
      <c r="Z8" s="4"/>
      <c r="AA8" s="4"/>
      <c r="AB8" s="4"/>
      <c r="AC8" s="4"/>
      <c r="AD8" s="4"/>
    </row>
    <row r="9" spans="1:30" ht="14.25" customHeight="1" x14ac:dyDescent="0.2">
      <c r="A9" s="1"/>
      <c r="B9" s="16" t="s">
        <v>21</v>
      </c>
      <c r="C9" s="17">
        <f t="shared" si="1"/>
        <v>5</v>
      </c>
      <c r="D9" s="18">
        <v>45915</v>
      </c>
      <c r="E9" s="388">
        <v>60</v>
      </c>
      <c r="F9" s="20" t="s">
        <v>22</v>
      </c>
      <c r="G9" s="20" t="s">
        <v>35</v>
      </c>
      <c r="H9" s="20" t="s">
        <v>19</v>
      </c>
      <c r="I9" s="20" t="s">
        <v>24</v>
      </c>
      <c r="J9" s="20" t="s">
        <v>31</v>
      </c>
      <c r="K9" s="21"/>
      <c r="L9" s="22">
        <f>IF(B9="","",IF(I9="CompteCourant",IF(IF(ISNA(VLOOKUP(B9,DATA!$A$1:$A$16,1,0)),"",VLOOKUP(B9,DATA!$A$1:$A$16,1,0))="",L8+E9,L8-E9),L8))</f>
        <v>4378.71</v>
      </c>
      <c r="M9" s="23">
        <f>IF(B9="","",IF(I9="Coffre",IF(IF(ISNA(VLOOKUP(B9,DATA!$A$1:$A$16,1,0)),"",VLOOKUP(B9,DATA!$A$1:$A$16,1,0))="",M8+E9,M8-E9),M8))</f>
        <v>2079.6500000000005</v>
      </c>
      <c r="N9" s="23">
        <f>IF(B9="","",IF(I9="CompteEpargne",IF(IF(ISNA(VLOOKUP(B9,DATA!$A$1:$A$16,1,0)),"",VLOOKUP(B9,DATA!$A$1:$A$16,1,0))="",N8+E9,N8-E9),N8))</f>
        <v>42.64</v>
      </c>
      <c r="O9" s="23" t="str">
        <f>IF(B9="","",IF(I9="CompteMyPos",IF(IF(ISNA(VLOOKUP(B9,DATA!$A$1:$A$15,1,0)),"",VLOOKUP(B9,DATA!$A$1:$A$15,1,0))="",O8+E9,O8-E9),O8))</f>
        <v/>
      </c>
      <c r="P9" s="22">
        <f t="shared" si="0"/>
        <v>6501.0000000000009</v>
      </c>
      <c r="Q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14.25" customHeight="1" x14ac:dyDescent="0.2">
      <c r="A10" s="1"/>
      <c r="B10" s="16" t="s">
        <v>21</v>
      </c>
      <c r="C10" s="17">
        <f t="shared" si="1"/>
        <v>6</v>
      </c>
      <c r="D10" s="18">
        <v>45915</v>
      </c>
      <c r="E10" s="388">
        <v>38</v>
      </c>
      <c r="F10" s="20" t="s">
        <v>22</v>
      </c>
      <c r="G10" s="20" t="s">
        <v>36</v>
      </c>
      <c r="H10" s="20" t="s">
        <v>19</v>
      </c>
      <c r="I10" s="20" t="s">
        <v>24</v>
      </c>
      <c r="J10" s="20" t="s">
        <v>31</v>
      </c>
      <c r="K10" s="21"/>
      <c r="L10" s="22">
        <f>IF(B10="","",IF(I10="CompteCourant",IF(IF(ISNA(VLOOKUP(B10,DATA!$A$1:$A$16,1,0)),"",VLOOKUP(B10,DATA!$A$1:$A$16,1,0))="",L9+E10,L9-E10),L9))</f>
        <v>4378.71</v>
      </c>
      <c r="M10" s="23">
        <f>IF(B10="","",IF(I10="Coffre",IF(IF(ISNA(VLOOKUP(B10,DATA!$A$1:$A$16,1,0)),"",VLOOKUP(B10,DATA!$A$1:$A$16,1,0))="",M9+E10,M9-E10),M9))</f>
        <v>2117.6500000000005</v>
      </c>
      <c r="N10" s="23">
        <f>IF(B10="","",IF(I10="CompteEpargne",IF(IF(ISNA(VLOOKUP(B10,DATA!$A$1:$A$16,1,0)),"",VLOOKUP(B10,DATA!$A$1:$A$16,1,0))="",N9+E10,N9-E10),N9))</f>
        <v>42.64</v>
      </c>
      <c r="O10" s="23" t="str">
        <f>IF(B10="","",IF(I10="CompteMyPos",IF(IF(ISNA(VLOOKUP(B10,DATA!$A$1:$A$15,1,0)),"",VLOOKUP(B10,DATA!$A$1:$A$15,1,0))="",O9+E10,O9-E10),O9))</f>
        <v/>
      </c>
      <c r="P10" s="22">
        <f t="shared" si="0"/>
        <v>6539.0000000000009</v>
      </c>
      <c r="Q10" s="4"/>
      <c r="T10" s="4"/>
      <c r="U10" s="4"/>
      <c r="V10" s="367" t="s">
        <v>37</v>
      </c>
      <c r="W10" s="368"/>
      <c r="X10" s="4"/>
      <c r="Y10" s="4"/>
      <c r="Z10" s="4"/>
      <c r="AA10" s="4"/>
      <c r="AB10" s="4"/>
      <c r="AC10" s="4"/>
      <c r="AD10" s="4"/>
    </row>
    <row r="11" spans="1:30" ht="14.25" customHeight="1" x14ac:dyDescent="0.2">
      <c r="A11" s="1"/>
      <c r="B11" s="16" t="s">
        <v>21</v>
      </c>
      <c r="C11" s="17">
        <f t="shared" si="1"/>
        <v>7</v>
      </c>
      <c r="D11" s="18">
        <v>45916</v>
      </c>
      <c r="E11" s="388">
        <v>101.85</v>
      </c>
      <c r="F11" s="20" t="s">
        <v>22</v>
      </c>
      <c r="G11" s="20" t="s">
        <v>38</v>
      </c>
      <c r="H11" s="20" t="s">
        <v>19</v>
      </c>
      <c r="I11" s="20" t="s">
        <v>24</v>
      </c>
      <c r="J11" s="20" t="s">
        <v>34</v>
      </c>
      <c r="K11" s="21"/>
      <c r="L11" s="22">
        <f>IF(B11="","",IF(I11="CompteCourant",IF(IF(ISNA(VLOOKUP(B11,DATA!$A$1:$A$16,1,0)),"",VLOOKUP(B11,DATA!$A$1:$A$16,1,0))="",L10+E11,L10-E11),L10))</f>
        <v>4378.71</v>
      </c>
      <c r="M11" s="23">
        <f>IF(B11="","",IF(I11="Coffre",IF(IF(ISNA(VLOOKUP(B11,DATA!$A$1:$A$16,1,0)),"",VLOOKUP(B11,DATA!$A$1:$A$16,1,0))="",M10+E11,M10-E11),M10))</f>
        <v>2219.5000000000005</v>
      </c>
      <c r="N11" s="23">
        <f>IF(B11="","",IF(I11="CompteEpargne",IF(IF(ISNA(VLOOKUP(B11,DATA!$A$1:$A$16,1,0)),"",VLOOKUP(B11,DATA!$A$1:$A$16,1,0))="",N10+E11,N10-E11),N10))</f>
        <v>42.64</v>
      </c>
      <c r="O11" s="23" t="str">
        <f>IF(B11="","",IF(I11="CompteMyPos",IF(IF(ISNA(VLOOKUP(B11,DATA!$A$1:$A$15,1,0)),"",VLOOKUP(B11,DATA!$A$1:$A$15,1,0))="",O10+E11,O10-E11),O10))</f>
        <v/>
      </c>
      <c r="P11" s="22">
        <f t="shared" si="0"/>
        <v>6640.8500000000013</v>
      </c>
      <c r="Q11" s="4"/>
      <c r="T11" s="4"/>
      <c r="U11" s="4"/>
      <c r="V11" s="24" t="s">
        <v>39</v>
      </c>
      <c r="W11" s="25" t="s">
        <v>40</v>
      </c>
      <c r="X11" s="4"/>
      <c r="Y11" s="4"/>
      <c r="Z11" s="4"/>
      <c r="AA11" s="4"/>
      <c r="AB11" s="4"/>
      <c r="AC11" s="4"/>
      <c r="AD11" s="4"/>
    </row>
    <row r="12" spans="1:30" ht="14.25" customHeight="1" x14ac:dyDescent="0.2">
      <c r="A12" s="1"/>
      <c r="B12" s="16" t="s">
        <v>21</v>
      </c>
      <c r="C12" s="17">
        <f t="shared" si="1"/>
        <v>8</v>
      </c>
      <c r="D12" s="18">
        <v>45916</v>
      </c>
      <c r="E12" s="388">
        <v>23</v>
      </c>
      <c r="F12" s="30" t="s">
        <v>22</v>
      </c>
      <c r="G12" s="20" t="s">
        <v>41</v>
      </c>
      <c r="H12" s="20" t="s">
        <v>19</v>
      </c>
      <c r="I12" s="20" t="s">
        <v>24</v>
      </c>
      <c r="J12" s="30" t="s">
        <v>31</v>
      </c>
      <c r="K12" s="21"/>
      <c r="L12" s="22">
        <f>IF(B12="","",IF(I12="CompteCourant",IF(IF(ISNA(VLOOKUP(B12,DATA!$A$1:$A$16,1,0)),"",VLOOKUP(B12,DATA!$A$1:$A$16,1,0))="",L11+E12,L11-E12),L11))</f>
        <v>4378.71</v>
      </c>
      <c r="M12" s="23">
        <f>IF(B12="","",IF(I12="Coffre",IF(IF(ISNA(VLOOKUP(B12,DATA!$A$1:$A$16,1,0)),"",VLOOKUP(B12,DATA!$A$1:$A$16,1,0))="",M11+E12,M11-E12),M11))</f>
        <v>2242.5000000000005</v>
      </c>
      <c r="N12" s="23">
        <f>IF(B12="","",IF(I12="CompteEpargne",IF(IF(ISNA(VLOOKUP(B12,DATA!$A$1:$A$16,1,0)),"",VLOOKUP(B12,DATA!$A$1:$A$16,1,0))="",N11+E12,N11-E12),N11))</f>
        <v>42.64</v>
      </c>
      <c r="O12" s="23" t="str">
        <f>IF(B12="","",IF(I12="CompteMyPos",IF(IF(ISNA(VLOOKUP(B12,DATA!$A$1:$A$15,1,0)),"",VLOOKUP(B12,DATA!$A$1:$A$15,1,0))="",O11+E12,O11-E12),O11))</f>
        <v/>
      </c>
      <c r="P12" s="22">
        <f t="shared" si="0"/>
        <v>6663.8500000000013</v>
      </c>
      <c r="Q12" s="4"/>
      <c r="T12" s="4"/>
      <c r="U12" s="4"/>
      <c r="V12" s="26" t="s">
        <v>42</v>
      </c>
      <c r="W12" s="27" t="s">
        <v>43</v>
      </c>
      <c r="X12" s="4"/>
      <c r="Y12" s="4"/>
      <c r="Z12" s="4"/>
      <c r="AA12" s="4"/>
      <c r="AB12" s="4"/>
      <c r="AC12" s="4"/>
      <c r="AD12" s="4"/>
    </row>
    <row r="13" spans="1:30" ht="14.25" customHeight="1" x14ac:dyDescent="0.2">
      <c r="A13" s="1"/>
      <c r="B13" s="16" t="s">
        <v>21</v>
      </c>
      <c r="C13" s="17">
        <f t="shared" si="1"/>
        <v>9</v>
      </c>
      <c r="D13" s="18">
        <v>45912</v>
      </c>
      <c r="E13" s="388">
        <v>178.64</v>
      </c>
      <c r="F13" s="20" t="s">
        <v>22</v>
      </c>
      <c r="G13" s="20" t="s">
        <v>44</v>
      </c>
      <c r="H13" s="20" t="s">
        <v>19</v>
      </c>
      <c r="I13" s="20" t="s">
        <v>29</v>
      </c>
      <c r="J13" s="20" t="s">
        <v>34</v>
      </c>
      <c r="K13" s="21"/>
      <c r="L13" s="22">
        <f>IF(B13="","",IF(I13="CompteCourant",IF(IF(ISNA(VLOOKUP(B13,DATA!$A$1:$A$16,1,0)),"",VLOOKUP(B13,DATA!$A$1:$A$16,1,0))="",L12+E13,L12-E13),L12))</f>
        <v>4557.3500000000004</v>
      </c>
      <c r="M13" s="23">
        <f>IF(B13="","",IF(I13="Coffre",IF(IF(ISNA(VLOOKUP(B13,DATA!$A$1:$A$16,1,0)),"",VLOOKUP(B13,DATA!$A$1:$A$16,1,0))="",M12+E13,M12-E13),M12))</f>
        <v>2242.5000000000005</v>
      </c>
      <c r="N13" s="23">
        <f>IF(B13="","",IF(I13="CompteEpargne",IF(IF(ISNA(VLOOKUP(B13,DATA!$A$1:$A$16,1,0)),"",VLOOKUP(B13,DATA!$A$1:$A$16,1,0))="",N12+E13,N12-E13),N12))</f>
        <v>42.64</v>
      </c>
      <c r="O13" s="23" t="str">
        <f>IF(B13="","",IF(I13="CompteMyPos",IF(IF(ISNA(VLOOKUP(B13,DATA!$A$1:$A$15,1,0)),"",VLOOKUP(B13,DATA!$A$1:$A$15,1,0))="",O12+E13,O12-E13),O12))</f>
        <v/>
      </c>
      <c r="P13" s="22">
        <f t="shared" si="0"/>
        <v>6842.4900000000007</v>
      </c>
      <c r="Q13" s="4"/>
      <c r="T13" s="4"/>
      <c r="U13" s="4"/>
      <c r="V13" s="26" t="s">
        <v>45</v>
      </c>
      <c r="W13" s="27" t="s">
        <v>46</v>
      </c>
      <c r="X13" s="4"/>
      <c r="Y13" s="4"/>
      <c r="Z13" s="4"/>
      <c r="AA13" s="4"/>
      <c r="AB13" s="4"/>
      <c r="AC13" s="4"/>
      <c r="AD13" s="4"/>
    </row>
    <row r="14" spans="1:30" ht="14.25" customHeight="1" x14ac:dyDescent="0.2">
      <c r="A14" s="1"/>
      <c r="B14" s="16" t="s">
        <v>21</v>
      </c>
      <c r="C14" s="17">
        <f t="shared" si="1"/>
        <v>10</v>
      </c>
      <c r="D14" s="18">
        <v>45915</v>
      </c>
      <c r="E14" s="388">
        <v>143.09</v>
      </c>
      <c r="F14" s="30" t="s">
        <v>22</v>
      </c>
      <c r="G14" s="20" t="s">
        <v>47</v>
      </c>
      <c r="H14" s="20" t="s">
        <v>19</v>
      </c>
      <c r="I14" s="20" t="s">
        <v>29</v>
      </c>
      <c r="J14" s="30" t="s">
        <v>25</v>
      </c>
      <c r="K14" s="21"/>
      <c r="L14" s="22">
        <f>IF(B14="","",IF(I14="CompteCourant",IF(IF(ISNA(VLOOKUP(B14,DATA!$A$1:$A$16,1,0)),"",VLOOKUP(B14,DATA!$A$1:$A$16,1,0))="",L13+E14,L13-E14),L13))</f>
        <v>4700.4400000000005</v>
      </c>
      <c r="M14" s="23">
        <f>IF(B14="","",IF(I14="Coffre",IF(IF(ISNA(VLOOKUP(B14,DATA!$A$1:$A$16,1,0)),"",VLOOKUP(B14,DATA!$A$1:$A$16,1,0))="",M13+E14,M13-E14),M13))</f>
        <v>2242.5000000000005</v>
      </c>
      <c r="N14" s="23">
        <f>IF(B14="","",IF(I14="CompteEpargne",IF(IF(ISNA(VLOOKUP(B14,DATA!$A$1:$A$16,1,0)),"",VLOOKUP(B14,DATA!$A$1:$A$16,1,0))="",N13+E14,N13-E14),N13))</f>
        <v>42.64</v>
      </c>
      <c r="O14" s="23" t="str">
        <f>IF(B14="","",IF(I14="CompteMyPos",IF(IF(ISNA(VLOOKUP(B14,DATA!$A$1:$A$15,1,0)),"",VLOOKUP(B14,DATA!$A$1:$A$15,1,0))="",O13+E14,O13-E14),O13))</f>
        <v/>
      </c>
      <c r="P14" s="22">
        <f t="shared" si="0"/>
        <v>6985.5800000000008</v>
      </c>
      <c r="Q14" s="4"/>
      <c r="T14" s="4"/>
      <c r="U14" s="4"/>
      <c r="V14" s="26" t="s">
        <v>48</v>
      </c>
      <c r="W14" s="27" t="s">
        <v>49</v>
      </c>
      <c r="X14" s="4"/>
      <c r="Y14" s="4"/>
      <c r="Z14" s="4"/>
      <c r="AA14" s="4"/>
      <c r="AB14" s="4"/>
      <c r="AC14" s="4"/>
      <c r="AD14" s="4"/>
    </row>
    <row r="15" spans="1:30" ht="14.25" customHeight="1" x14ac:dyDescent="0.2">
      <c r="A15" s="1"/>
      <c r="B15" s="16" t="s">
        <v>21</v>
      </c>
      <c r="C15" s="17">
        <f t="shared" si="1"/>
        <v>11</v>
      </c>
      <c r="D15" s="18">
        <v>45917</v>
      </c>
      <c r="E15" s="388">
        <v>146.03</v>
      </c>
      <c r="F15" s="20" t="s">
        <v>22</v>
      </c>
      <c r="G15" s="20" t="s">
        <v>50</v>
      </c>
      <c r="H15" s="20" t="s">
        <v>19</v>
      </c>
      <c r="I15" s="20" t="s">
        <v>29</v>
      </c>
      <c r="J15" s="20" t="s">
        <v>31</v>
      </c>
      <c r="K15" s="21"/>
      <c r="L15" s="22">
        <f>IF(B15="","",IF(I15="CompteCourant",IF(IF(ISNA(VLOOKUP(B15,DATA!$A$1:$A$16,1,0)),"",VLOOKUP(B15,DATA!$A$1:$A$16,1,0))="",L14+E15,L14-E15),L14))</f>
        <v>4846.47</v>
      </c>
      <c r="M15" s="23">
        <f>IF(B15="","",IF(I15="Coffre",IF(IF(ISNA(VLOOKUP(B15,DATA!$A$1:$A$16,1,0)),"",VLOOKUP(B15,DATA!$A$1:$A$16,1,0))="",M14+E15,M14-E15),M14))</f>
        <v>2242.5000000000005</v>
      </c>
      <c r="N15" s="23">
        <f>IF(B15="","",IF(I15="CompteEpargne",IF(IF(ISNA(VLOOKUP(B15,DATA!$A$1:$A$16,1,0)),"",VLOOKUP(B15,DATA!$A$1:$A$16,1,0))="",N14+E15,N14-E15),N14))</f>
        <v>42.64</v>
      </c>
      <c r="O15" s="23" t="str">
        <f>IF(B15="","",IF(I15="CompteMyPos",IF(IF(ISNA(VLOOKUP(B15,DATA!$A$1:$A$15,1,0)),"",VLOOKUP(B15,DATA!$A$1:$A$15,1,0))="",O14+E15,O14-E15),O14))</f>
        <v/>
      </c>
      <c r="P15" s="22">
        <f t="shared" si="0"/>
        <v>7131.6100000000015</v>
      </c>
      <c r="Q15" s="4"/>
      <c r="T15" s="4"/>
      <c r="U15" s="4"/>
      <c r="V15" s="26" t="s">
        <v>51</v>
      </c>
      <c r="W15" s="27" t="s">
        <v>52</v>
      </c>
      <c r="X15" s="4"/>
      <c r="Y15" s="4"/>
      <c r="Z15" s="4"/>
      <c r="AA15" s="4"/>
      <c r="AB15" s="4"/>
      <c r="AC15" s="4"/>
      <c r="AD15" s="4"/>
    </row>
    <row r="16" spans="1:30" ht="14.25" customHeight="1" x14ac:dyDescent="0.2">
      <c r="A16" s="1"/>
      <c r="B16" s="16" t="s">
        <v>21</v>
      </c>
      <c r="C16" s="17">
        <f t="shared" si="1"/>
        <v>12</v>
      </c>
      <c r="D16" s="18">
        <v>45916</v>
      </c>
      <c r="E16" s="388">
        <v>153.93</v>
      </c>
      <c r="F16" s="20" t="s">
        <v>22</v>
      </c>
      <c r="G16" s="20" t="s">
        <v>53</v>
      </c>
      <c r="H16" s="20" t="s">
        <v>19</v>
      </c>
      <c r="I16" s="20" t="s">
        <v>29</v>
      </c>
      <c r="J16" s="20" t="s">
        <v>31</v>
      </c>
      <c r="K16" s="21"/>
      <c r="L16" s="22">
        <f>IF(B16="","",IF(I16="CompteCourant",IF(IF(ISNA(VLOOKUP(B16,DATA!$A$1:$A$16,1,0)),"",VLOOKUP(B16,DATA!$A$1:$A$16,1,0))="",L15+E16,L15-E16),L15))</f>
        <v>5000.4000000000005</v>
      </c>
      <c r="M16" s="23">
        <f>IF(B16="","",IF(I16="Coffre",IF(IF(ISNA(VLOOKUP(B16,DATA!$A$1:$A$16,1,0)),"",VLOOKUP(B16,DATA!$A$1:$A$16,1,0))="",M15+E16,M15-E16),M15))</f>
        <v>2242.5000000000005</v>
      </c>
      <c r="N16" s="23">
        <f>IF(B16="","",IF(I16="CompteEpargne",IF(IF(ISNA(VLOOKUP(B16,DATA!$A$1:$A$16,1,0)),"",VLOOKUP(B16,DATA!$A$1:$A$16,1,0))="",N15+E16,N15-E16),N15))</f>
        <v>42.64</v>
      </c>
      <c r="O16" s="23" t="str">
        <f>IF(B16="","",IF(I16="CompteMyPos",IF(IF(ISNA(VLOOKUP(B16,DATA!$A$1:$A$15,1,0)),"",VLOOKUP(B16,DATA!$A$1:$A$15,1,0))="",O15+E16,O15-E16),O15))</f>
        <v/>
      </c>
      <c r="P16" s="22">
        <f t="shared" si="0"/>
        <v>7285.5400000000018</v>
      </c>
      <c r="Q16" s="4"/>
      <c r="T16" s="4"/>
      <c r="U16" s="4"/>
      <c r="V16" s="26" t="s">
        <v>54</v>
      </c>
      <c r="W16" s="27" t="s">
        <v>55</v>
      </c>
      <c r="X16" s="4"/>
      <c r="Y16" s="4"/>
      <c r="Z16" s="4"/>
      <c r="AA16" s="4"/>
      <c r="AB16" s="4"/>
      <c r="AC16" s="4"/>
      <c r="AD16" s="4"/>
    </row>
    <row r="17" spans="1:31" ht="14.25" customHeight="1" x14ac:dyDescent="0.2">
      <c r="A17" s="1"/>
      <c r="B17" s="16" t="s">
        <v>21</v>
      </c>
      <c r="C17" s="17">
        <f t="shared" si="1"/>
        <v>13</v>
      </c>
      <c r="D17" s="18">
        <v>45918</v>
      </c>
      <c r="E17" s="388">
        <v>236.84</v>
      </c>
      <c r="F17" s="20" t="s">
        <v>22</v>
      </c>
      <c r="G17" s="20" t="s">
        <v>56</v>
      </c>
      <c r="H17" s="20" t="s">
        <v>19</v>
      </c>
      <c r="I17" s="20" t="s">
        <v>29</v>
      </c>
      <c r="J17" s="20" t="s">
        <v>31</v>
      </c>
      <c r="K17" s="21"/>
      <c r="L17" s="22">
        <f>IF(B17="","",IF(I17="CompteCourant",IF(IF(ISNA(VLOOKUP(B17,DATA!$A$1:$A$16,1,0)),"",VLOOKUP(B17,DATA!$A$1:$A$16,1,0))="",L16+E17,L16-E17),L16))</f>
        <v>5237.2400000000007</v>
      </c>
      <c r="M17" s="23">
        <f>IF(B17="","",IF(I17="Coffre",IF(IF(ISNA(VLOOKUP(B17,DATA!$A$1:$A$16,1,0)),"",VLOOKUP(B17,DATA!$A$1:$A$16,1,0))="",M16+E17,M16-E17),M16))</f>
        <v>2242.5000000000005</v>
      </c>
      <c r="N17" s="23">
        <f>IF(B17="","",IF(I17="CompteEpargne",IF(IF(ISNA(VLOOKUP(B17,DATA!$A$1:$A$16,1,0)),"",VLOOKUP(B17,DATA!$A$1:$A$16,1,0))="",N16+E17,N16-E17),N16))</f>
        <v>42.64</v>
      </c>
      <c r="O17" s="23" t="str">
        <f>IF(B17="","",IF(I17="CompteMyPos",IF(IF(ISNA(VLOOKUP(B17,DATA!$A$1:$A$15,1,0)),"",VLOOKUP(B17,DATA!$A$1:$A$15,1,0))="",O16+E17,O16-E17),O16))</f>
        <v/>
      </c>
      <c r="P17" s="22">
        <f t="shared" si="0"/>
        <v>7522.3800000000019</v>
      </c>
      <c r="Q17" s="4"/>
      <c r="T17" s="4"/>
      <c r="U17" s="4"/>
      <c r="V17" s="26" t="s">
        <v>57</v>
      </c>
      <c r="W17" s="27" t="s">
        <v>58</v>
      </c>
      <c r="X17" s="4"/>
      <c r="Y17" s="4"/>
      <c r="Z17" s="4"/>
      <c r="AA17" s="4"/>
      <c r="AB17" s="4"/>
      <c r="AC17" s="4"/>
      <c r="AD17" s="4"/>
    </row>
    <row r="18" spans="1:31" ht="14.25" customHeight="1" x14ac:dyDescent="0.2">
      <c r="A18" s="1"/>
      <c r="B18" s="16" t="s">
        <v>21</v>
      </c>
      <c r="C18" s="17">
        <f t="shared" si="1"/>
        <v>14</v>
      </c>
      <c r="D18" s="18">
        <v>45919</v>
      </c>
      <c r="E18" s="388">
        <v>1016.6</v>
      </c>
      <c r="F18" s="20" t="s">
        <v>22</v>
      </c>
      <c r="G18" s="20" t="s">
        <v>59</v>
      </c>
      <c r="H18" s="20" t="s">
        <v>19</v>
      </c>
      <c r="I18" s="20" t="s">
        <v>29</v>
      </c>
      <c r="J18" s="20" t="s">
        <v>31</v>
      </c>
      <c r="K18" s="21"/>
      <c r="L18" s="22">
        <f>IF(B18="","",IF(I18="CompteCourant",IF(IF(ISNA(VLOOKUP(B18,DATA!$A$1:$A$16,1,0)),"",VLOOKUP(B18,DATA!$A$1:$A$16,1,0))="",L17+E18,L17-E18),L17))</f>
        <v>6253.8400000000011</v>
      </c>
      <c r="M18" s="23">
        <f>IF(B18="","",IF(I18="Coffre",IF(IF(ISNA(VLOOKUP(B18,DATA!$A$1:$A$16,1,0)),"",VLOOKUP(B18,DATA!$A$1:$A$16,1,0))="",M17+E18,M17-E18),M17))</f>
        <v>2242.5000000000005</v>
      </c>
      <c r="N18" s="23">
        <f>IF(B18="","",IF(I18="CompteEpargne",IF(IF(ISNA(VLOOKUP(B18,DATA!$A$1:$A$16,1,0)),"",VLOOKUP(B18,DATA!$A$1:$A$16,1,0))="",N17+E18,N17-E18),N17))</f>
        <v>42.64</v>
      </c>
      <c r="O18" s="23" t="str">
        <f>IF(B18="","",IF(I18="CompteMyPos",IF(IF(ISNA(VLOOKUP(B18,DATA!$A$1:$A$15,1,0)),"",VLOOKUP(B18,DATA!$A$1:$A$15,1,0))="",O17+E18,O17-E18),O17))</f>
        <v/>
      </c>
      <c r="P18" s="22">
        <f t="shared" si="0"/>
        <v>8538.9800000000014</v>
      </c>
      <c r="Q18" s="4"/>
      <c r="T18" s="4"/>
      <c r="U18" s="4"/>
      <c r="V18" s="26" t="s">
        <v>60</v>
      </c>
      <c r="W18" s="27" t="s">
        <v>61</v>
      </c>
      <c r="X18" s="4"/>
      <c r="Y18" s="4"/>
      <c r="Z18" s="4"/>
      <c r="AA18" s="4"/>
      <c r="AB18" s="4"/>
      <c r="AC18" s="4"/>
      <c r="AD18" s="4"/>
    </row>
    <row r="19" spans="1:31" ht="14.25" customHeight="1" x14ac:dyDescent="0.2">
      <c r="A19" s="1"/>
      <c r="B19" s="16" t="s">
        <v>21</v>
      </c>
      <c r="C19" s="17">
        <f t="shared" si="1"/>
        <v>15</v>
      </c>
      <c r="D19" s="18">
        <v>45919</v>
      </c>
      <c r="E19" s="388">
        <f>646.21+84.87</f>
        <v>731.08</v>
      </c>
      <c r="F19" s="20" t="s">
        <v>22</v>
      </c>
      <c r="G19" s="20" t="s">
        <v>62</v>
      </c>
      <c r="H19" s="20" t="s">
        <v>19</v>
      </c>
      <c r="I19" s="20" t="s">
        <v>29</v>
      </c>
      <c r="J19" s="20" t="s">
        <v>34</v>
      </c>
      <c r="K19" s="21"/>
      <c r="L19" s="22">
        <f>IF(B19="","",IF(I19="CompteCourant",IF(IF(ISNA(VLOOKUP(B19,DATA!$A$1:$A$16,1,0)),"",VLOOKUP(B19,DATA!$A$1:$A$16,1,0))="",L18+E19,L18-E19),L18))</f>
        <v>6984.920000000001</v>
      </c>
      <c r="M19" s="23">
        <f>IF(B19="","",IF(I19="Coffre",IF(IF(ISNA(VLOOKUP(B19,DATA!$A$1:$A$16,1,0)),"",VLOOKUP(B19,DATA!$A$1:$A$16,1,0))="",M18+E19,M18-E19),M18))</f>
        <v>2242.5000000000005</v>
      </c>
      <c r="N19" s="23">
        <f>IF(B19="","",IF(I19="CompteEpargne",IF(IF(ISNA(VLOOKUP(B19,DATA!$A$1:$A$16,1,0)),"",VLOOKUP(B19,DATA!$A$1:$A$16,1,0))="",N18+E19,N18-E19),N18))</f>
        <v>42.64</v>
      </c>
      <c r="O19" s="23" t="str">
        <f>IF(B19="","",IF(I19="CompteMyPos",IF(IF(ISNA(VLOOKUP(B19,DATA!$A$1:$A$15,1,0)),"",VLOOKUP(B19,DATA!$A$1:$A$15,1,0))="",O18+E19,O18-E19),O18))</f>
        <v/>
      </c>
      <c r="P19" s="22">
        <f t="shared" si="0"/>
        <v>9270.0600000000013</v>
      </c>
      <c r="Q19" s="4"/>
      <c r="T19" s="4"/>
      <c r="U19" s="4"/>
      <c r="V19" s="26" t="s">
        <v>63</v>
      </c>
      <c r="W19" s="27" t="s">
        <v>64</v>
      </c>
      <c r="X19" s="4"/>
      <c r="Y19" s="4"/>
      <c r="Z19" s="4"/>
      <c r="AA19" s="4"/>
      <c r="AB19" s="4"/>
      <c r="AC19" s="4"/>
      <c r="AD19" s="4"/>
    </row>
    <row r="20" spans="1:31" ht="14.25" customHeight="1" x14ac:dyDescent="0.2">
      <c r="A20" s="1"/>
      <c r="B20" s="16" t="s">
        <v>21</v>
      </c>
      <c r="C20" s="17">
        <f t="shared" si="1"/>
        <v>16</v>
      </c>
      <c r="D20" s="18">
        <v>45920</v>
      </c>
      <c r="E20" s="388">
        <v>134.47999999999999</v>
      </c>
      <c r="F20" s="20" t="s">
        <v>22</v>
      </c>
      <c r="G20" s="20" t="s">
        <v>65</v>
      </c>
      <c r="H20" s="20" t="s">
        <v>19</v>
      </c>
      <c r="I20" s="20" t="s">
        <v>29</v>
      </c>
      <c r="J20" s="20" t="s">
        <v>31</v>
      </c>
      <c r="K20" s="21"/>
      <c r="L20" s="22">
        <f>IF(B20="","",IF(I20="CompteCourant",IF(IF(ISNA(VLOOKUP(B20,DATA!$A$1:$A$16,1,0)),"",VLOOKUP(B20,DATA!$A$1:$A$16,1,0))="",L19+E20,L19-E20),L19))</f>
        <v>7119.4000000000005</v>
      </c>
      <c r="M20" s="23">
        <f>IF(B20="","",IF(I20="Coffre",IF(IF(ISNA(VLOOKUP(B20,DATA!$A$1:$A$16,1,0)),"",VLOOKUP(B20,DATA!$A$1:$A$16,1,0))="",M19+#REF!,M19-#REF!),M19))</f>
        <v>2242.5000000000005</v>
      </c>
      <c r="N20" s="23">
        <f>IF(B20="","",IF(I20="CompteEpargne",IF(IF(ISNA(VLOOKUP(B20,DATA!$A$1:$A$16,1,0)),"",VLOOKUP(B20,DATA!$A$1:$A$16,1,0))="",N19+#REF!,N19-#REF!),N19))</f>
        <v>42.64</v>
      </c>
      <c r="O20" s="23" t="str">
        <f>IF(B20="","",IF(I20="CompteMyPos",IF(IF(ISNA(VLOOKUP(B20,DATA!$A$1:$A$15,1,0)),"",VLOOKUP(B20,DATA!$A$1:$A$15,1,0))="",O19+#REF!,O19-#REF!),O19))</f>
        <v/>
      </c>
      <c r="P20" s="22">
        <f t="shared" si="0"/>
        <v>9404.5400000000009</v>
      </c>
      <c r="Q20" s="4"/>
      <c r="T20" s="4"/>
      <c r="U20" s="4"/>
      <c r="V20" s="26" t="s">
        <v>66</v>
      </c>
      <c r="W20" s="27" t="s">
        <v>67</v>
      </c>
      <c r="X20" s="4"/>
      <c r="Y20" s="4"/>
      <c r="Z20" s="4"/>
      <c r="AA20" s="4"/>
      <c r="AB20" s="4"/>
      <c r="AC20" s="4"/>
      <c r="AD20" s="4"/>
    </row>
    <row r="21" spans="1:31" ht="14.25" customHeight="1" x14ac:dyDescent="0.2">
      <c r="A21" s="1"/>
      <c r="B21" s="16" t="s">
        <v>21</v>
      </c>
      <c r="C21" s="17">
        <f t="shared" si="1"/>
        <v>17</v>
      </c>
      <c r="D21" s="18">
        <v>45916</v>
      </c>
      <c r="E21" s="388">
        <v>23</v>
      </c>
      <c r="F21" s="20" t="s">
        <v>22</v>
      </c>
      <c r="G21" s="20" t="s">
        <v>68</v>
      </c>
      <c r="H21" s="20" t="s">
        <v>19</v>
      </c>
      <c r="I21" s="20" t="s">
        <v>24</v>
      </c>
      <c r="J21" s="20" t="s">
        <v>31</v>
      </c>
      <c r="K21" s="21"/>
      <c r="L21" s="22">
        <f>IF(B21="","",IF(I21="CompteCourant",IF(IF(ISNA(VLOOKUP(B21,DATA!$A$1:$A$16,1,0)),"",VLOOKUP(B21,DATA!$A$1:$A$16,1,0))="",L20+E21,L20-E21),L20))</f>
        <v>7119.4000000000005</v>
      </c>
      <c r="M21" s="23">
        <f>IF(B21="","",IF(I21="Coffre",IF(IF(ISNA(VLOOKUP(B21,DATA!$A$1:$A$16,1,0)),"",VLOOKUP(B21,DATA!$A$1:$A$16,1,0))="",M20+E20,M20-E20),M20))</f>
        <v>2376.9800000000005</v>
      </c>
      <c r="N21" s="23">
        <f>IF(B21="","",IF(I21="CompteEpargne",IF(IF(ISNA(VLOOKUP(B21,DATA!$A$1:$A$16,1,0)),"",VLOOKUP(B21,DATA!$A$1:$A$16,1,0))="",N20+E20,N20-E20),N20))</f>
        <v>42.64</v>
      </c>
      <c r="O21" s="23" t="str">
        <f>IF(B21="","",IF(I21="CompteMyPos",IF(IF(ISNA(VLOOKUP(B21,DATA!$A$1:$A$15,1,0)),"",VLOOKUP(B21,DATA!$A$1:$A$15,1,0))="",O20+E20,O20-E20),O20))</f>
        <v/>
      </c>
      <c r="P21" s="22">
        <f t="shared" si="0"/>
        <v>9539.02</v>
      </c>
      <c r="Q21" s="4"/>
      <c r="T21" s="4"/>
      <c r="U21" s="4"/>
      <c r="V21" s="26" t="s">
        <v>69</v>
      </c>
      <c r="W21" s="27" t="s">
        <v>70</v>
      </c>
      <c r="X21" s="4"/>
      <c r="Y21" s="4"/>
      <c r="Z21" s="4"/>
      <c r="AA21" s="4"/>
      <c r="AB21" s="4"/>
      <c r="AC21" s="4"/>
      <c r="AD21" s="4"/>
    </row>
    <row r="22" spans="1:31" ht="14.25" customHeight="1" x14ac:dyDescent="0.2">
      <c r="A22" s="1"/>
      <c r="B22" s="16" t="s">
        <v>21</v>
      </c>
      <c r="C22" s="17">
        <f t="shared" si="1"/>
        <v>18</v>
      </c>
      <c r="D22" s="18">
        <v>45918</v>
      </c>
      <c r="E22" s="388">
        <v>104</v>
      </c>
      <c r="F22" s="20" t="s">
        <v>22</v>
      </c>
      <c r="G22" s="20" t="s">
        <v>71</v>
      </c>
      <c r="H22" s="20" t="s">
        <v>19</v>
      </c>
      <c r="I22" s="20" t="s">
        <v>24</v>
      </c>
      <c r="J22" s="20" t="s">
        <v>34</v>
      </c>
      <c r="K22" s="21"/>
      <c r="L22" s="22">
        <f>IF(B22="","",IF(I22="CompteCourant",IF(IF(ISNA(VLOOKUP(B22,DATA!$A$1:$A$16,1,0)),"",VLOOKUP(B22,DATA!$A$1:$A$16,1,0))="",L21+E22,L21-E22),L21))</f>
        <v>7119.4000000000005</v>
      </c>
      <c r="M22" s="23">
        <f>IF(B22="","",IF(I22="Coffre",IF(IF(ISNA(VLOOKUP(B22,DATA!$A$1:$A$16,1,0)),"",VLOOKUP(B22,DATA!$A$1:$A$16,1,0))="",M21+E22,M21-E22),M21))</f>
        <v>2480.9800000000005</v>
      </c>
      <c r="N22" s="23">
        <f>IF(B22="","",IF(I22="CompteEpargne",IF(IF(ISNA(VLOOKUP(B22,DATA!$A$1:$A$16,1,0)),"",VLOOKUP(B22,DATA!$A$1:$A$16,1,0))="",N21+E22,N21-E22),N21))</f>
        <v>42.64</v>
      </c>
      <c r="O22" s="23" t="str">
        <f>IF(B22="","",IF(I22="CompteMyPos",IF(IF(ISNA(VLOOKUP(B22,DATA!$A$1:$A$15,1,0)),"",VLOOKUP(B22,DATA!$A$1:$A$15,1,0))="",O21+E22,O21-E22),O21))</f>
        <v/>
      </c>
      <c r="P22" s="22">
        <f t="shared" si="0"/>
        <v>9643.02</v>
      </c>
      <c r="Q22" s="4"/>
      <c r="T22" s="4"/>
      <c r="U22" s="4"/>
      <c r="V22" s="26" t="s">
        <v>72</v>
      </c>
      <c r="W22" s="27" t="s">
        <v>73</v>
      </c>
      <c r="X22" s="4"/>
      <c r="Y22" s="4"/>
      <c r="Z22" s="4"/>
      <c r="AA22" s="4"/>
      <c r="AB22" s="4"/>
      <c r="AC22" s="4"/>
      <c r="AD22" s="4"/>
    </row>
    <row r="23" spans="1:31" ht="14.25" customHeight="1" x14ac:dyDescent="0.2">
      <c r="A23" s="1"/>
      <c r="B23" s="16" t="s">
        <v>21</v>
      </c>
      <c r="C23" s="17">
        <f t="shared" si="1"/>
        <v>19</v>
      </c>
      <c r="D23" s="18">
        <v>45919</v>
      </c>
      <c r="E23" s="388">
        <v>3</v>
      </c>
      <c r="F23" s="20" t="s">
        <v>22</v>
      </c>
      <c r="G23" s="20" t="s">
        <v>74</v>
      </c>
      <c r="H23" s="20" t="s">
        <v>19</v>
      </c>
      <c r="I23" s="20" t="s">
        <v>24</v>
      </c>
      <c r="J23" s="20" t="s">
        <v>31</v>
      </c>
      <c r="K23" s="21"/>
      <c r="L23" s="22">
        <f>IF(B23="","",IF(I23="CompteCourant",IF(IF(ISNA(VLOOKUP(B23,DATA!$A$1:$A$16,1,0)),"",VLOOKUP(B23,DATA!$A$1:$A$16,1,0))="",L22+E23,L22-E23),L22))</f>
        <v>7119.4000000000005</v>
      </c>
      <c r="M23" s="23">
        <f>IF(B23="","",IF(I23="Coffre",IF(IF(ISNA(VLOOKUP(B23,DATA!$A$1:$A$16,1,0)),"",VLOOKUP(B23,DATA!$A$1:$A$16,1,0))="",M22+E23,M22-E23),M22))</f>
        <v>2483.9800000000005</v>
      </c>
      <c r="N23" s="23">
        <f>IF(B23="","",IF(I23="CompteEpargne",IF(IF(ISNA(VLOOKUP(B23,DATA!$A$1:$A$16,1,0)),"",VLOOKUP(B23,DATA!$A$1:$A$16,1,0))="",N22+E23,N22-E23),N22))</f>
        <v>42.64</v>
      </c>
      <c r="O23" s="23" t="str">
        <f>IF(B23="","",IF(I23="CompteMyPos",IF(IF(ISNA(VLOOKUP(B23,DATA!$A$1:$A$15,1,0)),"",VLOOKUP(B23,DATA!$A$1:$A$15,1,0))="",O22+E23,O22-E23),O22))</f>
        <v/>
      </c>
      <c r="P23" s="22">
        <f t="shared" si="0"/>
        <v>9646.02</v>
      </c>
      <c r="Q23" s="4"/>
      <c r="T23" s="4"/>
      <c r="U23" s="4"/>
      <c r="V23" s="26" t="s">
        <v>75</v>
      </c>
      <c r="W23" s="27" t="s">
        <v>76</v>
      </c>
      <c r="X23" s="4"/>
      <c r="Y23" s="4"/>
      <c r="Z23" s="4"/>
      <c r="AA23" s="4"/>
      <c r="AB23" s="4"/>
      <c r="AC23" s="4"/>
      <c r="AD23" s="4"/>
    </row>
    <row r="24" spans="1:31" ht="14.25" customHeight="1" x14ac:dyDescent="0.2">
      <c r="A24" s="1"/>
      <c r="B24" s="16" t="s">
        <v>32</v>
      </c>
      <c r="C24" s="17">
        <f t="shared" si="1"/>
        <v>20</v>
      </c>
      <c r="D24" s="18">
        <v>45911</v>
      </c>
      <c r="E24" s="388">
        <v>23.4</v>
      </c>
      <c r="F24" s="20" t="s">
        <v>27</v>
      </c>
      <c r="G24" s="20" t="s">
        <v>77</v>
      </c>
      <c r="H24" s="20" t="s">
        <v>19</v>
      </c>
      <c r="I24" s="20" t="s">
        <v>29</v>
      </c>
      <c r="J24" s="20" t="s">
        <v>78</v>
      </c>
      <c r="K24" s="21"/>
      <c r="L24" s="22">
        <f>IF(B24="","",IF(I24="CompteCourant",IF(IF(ISNA(VLOOKUP(B24,DATA!$A$1:$A$16,1,0)),"",VLOOKUP(B24,DATA!$A$1:$A$16,1,0))="",L23+E24,L23-E24),L23))</f>
        <v>7096.0000000000009</v>
      </c>
      <c r="M24" s="23">
        <f>IF(B24="","",IF(I24="Coffre",IF(IF(ISNA(VLOOKUP(B24,DATA!$A$1:$A$16,1,0)),"",VLOOKUP(B24,DATA!$A$1:$A$16,1,0))="",M23+E24,M23-E24),M23))</f>
        <v>2483.9800000000005</v>
      </c>
      <c r="N24" s="23">
        <f>IF(B24="","",IF(I24="CompteEpargne",IF(IF(ISNA(VLOOKUP(B24,DATA!$A$1:$A$16,1,0)),"",VLOOKUP(B24,DATA!$A$1:$A$16,1,0))="",N23+E24,N23-E24),N23))</f>
        <v>42.64</v>
      </c>
      <c r="O24" s="23"/>
      <c r="P24" s="22">
        <f t="shared" si="0"/>
        <v>9622.6200000000008</v>
      </c>
      <c r="Q24" s="4"/>
      <c r="T24" s="4"/>
      <c r="U24" s="4"/>
      <c r="V24" s="26" t="s">
        <v>79</v>
      </c>
      <c r="W24" s="27" t="s">
        <v>80</v>
      </c>
      <c r="X24" s="4"/>
      <c r="Y24" s="4"/>
      <c r="Z24" s="4"/>
      <c r="AA24" s="4"/>
      <c r="AB24" s="4"/>
      <c r="AC24" s="4"/>
      <c r="AD24" s="4"/>
    </row>
    <row r="25" spans="1:31" ht="14.25" customHeight="1" x14ac:dyDescent="0.2">
      <c r="A25" s="1"/>
      <c r="B25" s="16" t="s">
        <v>26</v>
      </c>
      <c r="C25" s="17">
        <f t="shared" si="1"/>
        <v>21</v>
      </c>
      <c r="D25" s="18">
        <v>45911</v>
      </c>
      <c r="E25" s="388">
        <v>10.5</v>
      </c>
      <c r="F25" s="20" t="s">
        <v>81</v>
      </c>
      <c r="G25" s="20" t="s">
        <v>82</v>
      </c>
      <c r="H25" s="20" t="s">
        <v>19</v>
      </c>
      <c r="I25" s="20" t="s">
        <v>29</v>
      </c>
      <c r="J25" s="20" t="s">
        <v>25</v>
      </c>
      <c r="K25" s="21"/>
      <c r="L25" s="22">
        <f>IF(B25="","",IF(I25="CompteCourant",IF(IF(ISNA(VLOOKUP(B25,DATA!$A$1:$A$16,1,0)),"",VLOOKUP(B25,DATA!$A$1:$A$16,1,0))="",L24+E25,L24-E25),L24))</f>
        <v>7085.5000000000009</v>
      </c>
      <c r="M25" s="23">
        <f>IF(B25="","",IF(I25="Coffre",IF(IF(ISNA(VLOOKUP(B25,DATA!$A$1:$A$16,1,0)),"",VLOOKUP(B25,DATA!$A$1:$A$16,1,0))="",M24+E25,M24-E25),M24))</f>
        <v>2483.9800000000005</v>
      </c>
      <c r="N25" s="23">
        <f>IF(B25="","",IF(I25="CompteEpargne",IF(IF(ISNA(VLOOKUP(B25,DATA!$A$1:$A$16,1,0)),"",VLOOKUP(B25,DATA!$A$1:$A$16,1,0))="",N24+E25,N24-E25),N24))</f>
        <v>42.64</v>
      </c>
      <c r="O25" s="23"/>
      <c r="P25" s="22">
        <f t="shared" si="0"/>
        <v>9612.1200000000008</v>
      </c>
      <c r="Q25" s="23"/>
      <c r="R25" s="4"/>
      <c r="U25" s="4"/>
      <c r="V25" s="26" t="s">
        <v>83</v>
      </c>
      <c r="W25" s="27" t="s">
        <v>84</v>
      </c>
      <c r="Y25" s="4"/>
      <c r="Z25" s="4"/>
      <c r="AA25" s="4"/>
      <c r="AB25" s="4"/>
      <c r="AC25" s="4"/>
      <c r="AD25" s="4"/>
      <c r="AE25" s="4"/>
    </row>
    <row r="26" spans="1:31" ht="14.25" customHeight="1" x14ac:dyDescent="0.2">
      <c r="A26" s="1"/>
      <c r="B26" s="16" t="s">
        <v>26</v>
      </c>
      <c r="C26" s="17">
        <f t="shared" si="1"/>
        <v>22</v>
      </c>
      <c r="D26" s="18">
        <v>45911</v>
      </c>
      <c r="E26" s="388">
        <v>15</v>
      </c>
      <c r="F26" s="20" t="s">
        <v>27</v>
      </c>
      <c r="G26" s="20" t="s">
        <v>85</v>
      </c>
      <c r="H26" s="20" t="s">
        <v>19</v>
      </c>
      <c r="I26" s="20" t="s">
        <v>29</v>
      </c>
      <c r="J26" s="20" t="s">
        <v>25</v>
      </c>
      <c r="K26" s="21"/>
      <c r="L26" s="22">
        <f>IF(B26="","",IF(I26="CompteCourant",IF(IF(ISNA(VLOOKUP(B26,DATA!$A$1:$A$16,1,0)),"",VLOOKUP(B26,DATA!$A$1:$A$16,1,0))="",L25+E26,L25-E26),L25))</f>
        <v>7070.5000000000009</v>
      </c>
      <c r="M26" s="23">
        <f>IF(B26="","",IF(I26="Coffre",IF(IF(ISNA(VLOOKUP(B26,DATA!$A$1:$A$16,1,0)),"",VLOOKUP(B26,DATA!$A$1:$A$16,1,0))="",M25+E26,M25-E26),M25))</f>
        <v>2483.9800000000005</v>
      </c>
      <c r="N26" s="23">
        <f>IF(B26="","",IF(I26="CompteEpargne",IF(IF(ISNA(VLOOKUP(B26,DATA!$A$1:$A$16,1,0)),"",VLOOKUP(B26,DATA!$A$1:$A$16,1,0))="",N25+E26,N25-E26),N25))</f>
        <v>42.64</v>
      </c>
      <c r="O26" s="23"/>
      <c r="P26" s="22">
        <f t="shared" si="0"/>
        <v>9597.1200000000008</v>
      </c>
      <c r="Q26" s="23"/>
      <c r="R26" s="4"/>
      <c r="U26" s="4"/>
      <c r="V26" s="26" t="s">
        <v>86</v>
      </c>
      <c r="W26" s="27" t="s">
        <v>87</v>
      </c>
      <c r="Y26" s="4"/>
      <c r="Z26" s="4"/>
      <c r="AA26" s="4"/>
      <c r="AB26" s="4"/>
      <c r="AC26" s="4"/>
      <c r="AD26" s="4"/>
      <c r="AE26" s="4"/>
    </row>
    <row r="27" spans="1:31" ht="14.25" customHeight="1" x14ac:dyDescent="0.2">
      <c r="A27" s="1"/>
      <c r="B27" s="359" t="s">
        <v>88</v>
      </c>
      <c r="C27" s="17">
        <f t="shared" si="1"/>
        <v>23</v>
      </c>
      <c r="D27" s="18">
        <v>45914</v>
      </c>
      <c r="E27" s="388">
        <v>334</v>
      </c>
      <c r="F27" s="20" t="s">
        <v>22</v>
      </c>
      <c r="G27" s="31" t="s">
        <v>89</v>
      </c>
      <c r="H27" s="20" t="s">
        <v>19</v>
      </c>
      <c r="I27" s="20" t="s">
        <v>29</v>
      </c>
      <c r="J27" s="20" t="s">
        <v>78</v>
      </c>
      <c r="K27" s="21"/>
      <c r="L27" s="22">
        <f>IF(B27="","",IF(I27="CompteCourant",IF(IF(ISNA(VLOOKUP(B27,DATA!$A$1:$A$16,1,0)),"",VLOOKUP(B27,DATA!$A$1:$A$16,1,0))="",L26+E27,L26-E27),L26))</f>
        <v>7404.5000000000009</v>
      </c>
      <c r="M27" s="23">
        <f>IF(B27="","",IF(I27="Coffre",IF(IF(ISNA(VLOOKUP(B27,DATA!$A$1:$A$16,1,0)),"",VLOOKUP(B27,DATA!$A$1:$A$16,1,0))="",M26+E27,M26-E27),M26))</f>
        <v>2483.9800000000005</v>
      </c>
      <c r="N27" s="23">
        <f>IF(B27="","",IF(I27="CompteEpargne",IF(IF(ISNA(VLOOKUP(B27,DATA!$A$1:$A$16,1,0)),"",VLOOKUP(B27,DATA!$A$1:$A$16,1,0))="",N26+E27,N26-E27),N26))</f>
        <v>42.64</v>
      </c>
      <c r="O27" s="23"/>
      <c r="P27" s="22">
        <f t="shared" si="0"/>
        <v>9931.1200000000008</v>
      </c>
      <c r="Q27" s="23"/>
      <c r="R27" s="4"/>
      <c r="U27" s="4"/>
      <c r="V27" s="26" t="s">
        <v>90</v>
      </c>
      <c r="W27" s="27" t="s">
        <v>91</v>
      </c>
      <c r="Y27" s="4"/>
      <c r="Z27" s="4"/>
      <c r="AA27" s="4"/>
      <c r="AB27" s="4"/>
      <c r="AC27" s="4"/>
      <c r="AD27" s="4"/>
      <c r="AE27" s="4"/>
    </row>
    <row r="28" spans="1:31" ht="14.25" customHeight="1" x14ac:dyDescent="0.2">
      <c r="A28" s="1"/>
      <c r="B28" s="16" t="s">
        <v>26</v>
      </c>
      <c r="C28" s="17">
        <f t="shared" si="1"/>
        <v>24</v>
      </c>
      <c r="D28" s="18">
        <v>45917</v>
      </c>
      <c r="E28" s="388">
        <v>500</v>
      </c>
      <c r="F28" s="20" t="s">
        <v>92</v>
      </c>
      <c r="G28" s="20" t="s">
        <v>93</v>
      </c>
      <c r="H28" s="20" t="s">
        <v>19</v>
      </c>
      <c r="I28" s="20" t="s">
        <v>29</v>
      </c>
      <c r="J28" s="20" t="s">
        <v>63</v>
      </c>
      <c r="K28" s="21"/>
      <c r="L28" s="22">
        <f>IF(B28="","",IF(I28="CompteCourant",IF(IF(ISNA(VLOOKUP(B28,DATA!$A$1:$A$16,1,0)),"",VLOOKUP(B28,DATA!$A$1:$A$16,1,0))="",L27+E28,L27-E28),L27))</f>
        <v>6904.5000000000009</v>
      </c>
      <c r="M28" s="23">
        <f>IF(B28="","",IF(I28="Coffre",IF(IF(ISNA(VLOOKUP(B28,DATA!$A$1:$A$16,1,0)),"",VLOOKUP(B28,DATA!$A$1:$A$16,1,0))="",M27+E28,M27-E28),M27))</f>
        <v>2483.9800000000005</v>
      </c>
      <c r="N28" s="23">
        <f>IF(B28="","",IF(I28="CompteEpargne",IF(IF(ISNA(VLOOKUP(B28,DATA!$A$1:$A$16,1,0)),"",VLOOKUP(B28,DATA!$A$1:$A$16,1,0))="",N27+E28,N27-E28),N27))</f>
        <v>42.64</v>
      </c>
      <c r="O28" s="23"/>
      <c r="P28" s="22">
        <f t="shared" si="0"/>
        <v>9431.1200000000008</v>
      </c>
      <c r="Q28" s="23"/>
      <c r="R28" s="4"/>
      <c r="U28" s="4"/>
      <c r="V28" s="26" t="s">
        <v>94</v>
      </c>
      <c r="W28" s="27" t="s">
        <v>95</v>
      </c>
      <c r="Y28" s="4"/>
      <c r="Z28" s="4"/>
      <c r="AA28" s="4"/>
      <c r="AB28" s="4"/>
      <c r="AC28" s="4"/>
      <c r="AD28" s="4"/>
      <c r="AE28" s="4"/>
    </row>
    <row r="29" spans="1:31" ht="14.25" customHeight="1" x14ac:dyDescent="0.2">
      <c r="A29" s="1"/>
      <c r="B29" s="16" t="s">
        <v>26</v>
      </c>
      <c r="C29" s="17">
        <f t="shared" si="1"/>
        <v>25</v>
      </c>
      <c r="D29" s="18">
        <v>45918</v>
      </c>
      <c r="E29" s="388">
        <v>20.5</v>
      </c>
      <c r="F29" s="20" t="s">
        <v>96</v>
      </c>
      <c r="G29" s="20" t="s">
        <v>97</v>
      </c>
      <c r="H29" s="20" t="s">
        <v>19</v>
      </c>
      <c r="I29" s="20" t="s">
        <v>24</v>
      </c>
      <c r="J29" s="20" t="s">
        <v>31</v>
      </c>
      <c r="K29" s="20"/>
      <c r="L29" s="22">
        <f>IF(B29="","",IF(I29="CompteCourant",IF(IF(ISNA(VLOOKUP(B29,DATA!$A$1:$A$16,1,0)),"",VLOOKUP(B29,DATA!$A$1:$A$16,1,0))="",L28+E29,L28-E29),L28))</f>
        <v>6904.5000000000009</v>
      </c>
      <c r="M29" s="23">
        <f>IF(B29="","",IF(I29="Coffre",IF(IF(ISNA(VLOOKUP(B29,DATA!$A$1:$A$16,1,0)),"",VLOOKUP(B29,DATA!$A$1:$A$16,1,0))="",M28+E29,M28-E29),M28))</f>
        <v>2463.4800000000005</v>
      </c>
      <c r="N29" s="23">
        <f>IF(B29="","",IF(I29="CompteEpargne",IF(IF(ISNA(VLOOKUP(B29,DATA!$A$1:$A$16,1,0)),"",VLOOKUP(B29,DATA!$A$1:$A$16,1,0))="",N28+E29,N28-E29),N28))</f>
        <v>42.64</v>
      </c>
      <c r="O29" s="23">
        <f>IF(B29="","",IF(J29="CompteEpargne",IF(IF(ISNA(VLOOKUP(B29,DATA!$A$1:$A$16,1,0)),"",VLOOKUP(B29,DATA!$A$1:$A$16,1,0))="",N23+E29,N23-E29),N23))</f>
        <v>42.64</v>
      </c>
      <c r="P29" s="22">
        <f t="shared" si="0"/>
        <v>9453.26</v>
      </c>
      <c r="Q29" s="23"/>
      <c r="R29" s="4"/>
      <c r="S29" s="4"/>
      <c r="T29" s="4"/>
      <c r="U29" s="4"/>
      <c r="V29" s="26" t="s">
        <v>98</v>
      </c>
      <c r="W29" s="27" t="s">
        <v>99</v>
      </c>
      <c r="Y29" s="4"/>
      <c r="Z29" s="4"/>
      <c r="AA29" s="4"/>
      <c r="AB29" s="4"/>
      <c r="AC29" s="4"/>
      <c r="AD29" s="4"/>
      <c r="AE29" s="4"/>
    </row>
    <row r="30" spans="1:31" ht="14.25" customHeight="1" x14ac:dyDescent="0.2">
      <c r="A30" s="1"/>
      <c r="B30" s="16" t="s">
        <v>26</v>
      </c>
      <c r="C30" s="17">
        <f t="shared" si="1"/>
        <v>26</v>
      </c>
      <c r="D30" s="18">
        <v>45918</v>
      </c>
      <c r="E30" s="388">
        <v>47.25</v>
      </c>
      <c r="F30" s="20" t="s">
        <v>96</v>
      </c>
      <c r="G30" s="20" t="s">
        <v>97</v>
      </c>
      <c r="H30" s="20" t="s">
        <v>19</v>
      </c>
      <c r="I30" s="20" t="s">
        <v>24</v>
      </c>
      <c r="J30" s="20" t="s">
        <v>31</v>
      </c>
      <c r="K30" s="20"/>
      <c r="L30" s="22">
        <f>IF(B30="","",IF(I30="CompteCourant",IF(IF(ISNA(VLOOKUP(B30,DATA!$A$1:$A$16,1,0)),"",VLOOKUP(B30,DATA!$A$1:$A$16,1,0))="",L29+E30,L29-E30),L29))</f>
        <v>6904.5000000000009</v>
      </c>
      <c r="M30" s="23">
        <f>IF(B30="","",IF(I30="Coffre",IF(IF(ISNA(VLOOKUP(B30,DATA!$A$1:$A$16,1,0)),"",VLOOKUP(B30,DATA!$A$1:$A$16,1,0))="",M29+E30,M29-E30),M29))</f>
        <v>2416.2300000000005</v>
      </c>
      <c r="N30" s="23">
        <f>IF(B30="","",IF(I30="CompteEpargne",IF(IF(ISNA(VLOOKUP(B30,DATA!$A$1:$A$16,1,0)),"",VLOOKUP(B30,DATA!$A$1:$A$16,1,0))="",N29+E30,N29-E30),N29))</f>
        <v>42.64</v>
      </c>
      <c r="O30" s="23">
        <f>IF(B30="","",IF(J30="CompteEpargne",IF(IF(ISNA(VLOOKUP(B30,DATA!$A$1:$A$16,1,0)),"",VLOOKUP(B30,DATA!$A$1:$A$16,1,0))="",O29+E30,O29-E30),O29))</f>
        <v>42.64</v>
      </c>
      <c r="P30" s="22">
        <f t="shared" si="0"/>
        <v>9406.01</v>
      </c>
      <c r="Q30" s="23"/>
      <c r="R30" s="4"/>
      <c r="S30" s="4"/>
      <c r="T30" s="4"/>
      <c r="U30" s="4"/>
      <c r="V30" s="26" t="s">
        <v>100</v>
      </c>
      <c r="W30" s="27" t="s">
        <v>101</v>
      </c>
      <c r="Y30" s="4"/>
      <c r="Z30" s="4"/>
      <c r="AA30" s="4"/>
      <c r="AB30" s="4"/>
      <c r="AC30" s="4"/>
      <c r="AD30" s="4"/>
      <c r="AE30" s="4"/>
    </row>
    <row r="31" spans="1:31" ht="14.25" customHeight="1" x14ac:dyDescent="0.2">
      <c r="A31" s="1"/>
      <c r="B31" s="16" t="s">
        <v>26</v>
      </c>
      <c r="C31" s="17">
        <f t="shared" si="1"/>
        <v>27</v>
      </c>
      <c r="D31" s="18">
        <v>45919</v>
      </c>
      <c r="E31" s="388">
        <v>21.6</v>
      </c>
      <c r="F31" s="20" t="s">
        <v>27</v>
      </c>
      <c r="G31" s="20" t="s">
        <v>102</v>
      </c>
      <c r="H31" s="20" t="s">
        <v>19</v>
      </c>
      <c r="I31" s="20" t="s">
        <v>29</v>
      </c>
      <c r="J31" s="20" t="s">
        <v>31</v>
      </c>
      <c r="K31" s="20"/>
      <c r="L31" s="22">
        <f>IF(B31="","",IF(I31="CompteCourant",IF(IF(ISNA(VLOOKUP(B31,DATA!$A$1:$A$16,1,0)),"",VLOOKUP(B31,DATA!$A$1:$A$16,1,0))="",L30+E31,L30-E31),L30))</f>
        <v>6882.9000000000005</v>
      </c>
      <c r="M31" s="23">
        <f>IF(B31="","",IF(I31="Coffre",IF(IF(ISNA(VLOOKUP(B31,DATA!$A$1:$A$16,1,0)),"",VLOOKUP(B31,DATA!$A$1:$A$16,1,0))="",M30+E31,M30-E31),M30))</f>
        <v>2416.2300000000005</v>
      </c>
      <c r="N31" s="23">
        <f>IF(B31="","",IF(I31="CompteEpargne",IF(IF(ISNA(VLOOKUP(B31,DATA!$A$1:$A$16,1,0)),"",VLOOKUP(B31,DATA!$A$1:$A$16,1,0))="",N30+E31,N30-E31),N30))</f>
        <v>42.64</v>
      </c>
      <c r="O31" s="23">
        <f>IF(B31="","",IF(J31="CompteEpargne",IF(IF(ISNA(VLOOKUP(B31,DATA!$A$1:$A$16,1,0)),"",VLOOKUP(B31,DATA!$A$1:$A$16,1,0))="",O30+E31,O30-E31),O30))</f>
        <v>42.64</v>
      </c>
      <c r="P31" s="22">
        <f t="shared" si="0"/>
        <v>9384.41</v>
      </c>
      <c r="Q31" s="32"/>
      <c r="R31" s="4"/>
      <c r="S31" s="4"/>
      <c r="T31" s="4"/>
      <c r="U31" s="4"/>
      <c r="V31" s="26" t="s">
        <v>103</v>
      </c>
      <c r="W31" s="27" t="s">
        <v>104</v>
      </c>
      <c r="Y31" s="4"/>
      <c r="Z31" s="4"/>
      <c r="AA31" s="4"/>
      <c r="AB31" s="4"/>
      <c r="AC31" s="4"/>
      <c r="AD31" s="4"/>
      <c r="AE31" s="4"/>
    </row>
    <row r="32" spans="1:31" ht="14.25" customHeight="1" x14ac:dyDescent="0.2">
      <c r="A32" s="1"/>
      <c r="B32" s="16" t="s">
        <v>21</v>
      </c>
      <c r="C32" s="17">
        <f t="shared" si="1"/>
        <v>28</v>
      </c>
      <c r="D32" s="18">
        <v>45925</v>
      </c>
      <c r="E32" s="388">
        <v>700</v>
      </c>
      <c r="F32" s="20" t="s">
        <v>22</v>
      </c>
      <c r="G32" s="20" t="s">
        <v>448</v>
      </c>
      <c r="H32" s="20" t="s">
        <v>19</v>
      </c>
      <c r="I32" s="20" t="s">
        <v>29</v>
      </c>
      <c r="J32" s="20" t="s">
        <v>78</v>
      </c>
      <c r="K32" s="20"/>
      <c r="L32" s="22">
        <f>IF(B32="","",IF(I32="CompteCourant",IF(IF(ISNA(VLOOKUP(B32,DATA!$A$1:$A$16,1,0)),"",VLOOKUP(B32,DATA!$A$1:$A$16,1,0))="",L31+E32,L31-E32),L31))</f>
        <v>7582.9000000000005</v>
      </c>
      <c r="M32" s="23">
        <f>IF(B32="","",IF(I32="Coffre",IF(IF(ISNA(VLOOKUP(B32,DATA!$A$1:$A$16,1,0)),"",VLOOKUP(B32,DATA!$A$1:$A$16,1,0))="",M31+E32,M31-E32),M31))</f>
        <v>2416.2300000000005</v>
      </c>
      <c r="N32" s="23">
        <f>IF(B32="","",IF(I32="CompteEpargne",IF(IF(ISNA(VLOOKUP(B32,DATA!$A$1:$A$16,1,0)),"",VLOOKUP(B32,DATA!$A$1:$A$16,1,0))="",N31+E32,N31-E32),N31))</f>
        <v>42.64</v>
      </c>
      <c r="O32" s="23">
        <f>IF(B32="","",IF(J32="CompteEpargne",IF(IF(ISNA(VLOOKUP(B32,DATA!$A$1:$A$16,1,0)),"",VLOOKUP(B32,DATA!$A$1:$A$16,1,0))="",O31+E32,O31-E32),O31))</f>
        <v>42.64</v>
      </c>
      <c r="P32" s="22">
        <f t="shared" si="0"/>
        <v>10084.41</v>
      </c>
      <c r="Q32" s="32"/>
      <c r="R32" s="4"/>
      <c r="S32" s="4"/>
      <c r="T32" s="4"/>
      <c r="U32" s="4"/>
      <c r="V32" s="26" t="s">
        <v>105</v>
      </c>
      <c r="W32" s="27" t="s">
        <v>106</v>
      </c>
      <c r="Y32" s="4"/>
      <c r="Z32" s="4"/>
      <c r="AA32" s="4"/>
      <c r="AB32" s="4"/>
      <c r="AC32" s="4"/>
      <c r="AD32" s="4"/>
      <c r="AE32" s="4"/>
    </row>
    <row r="33" spans="1:31" ht="14.25" customHeight="1" x14ac:dyDescent="0.2">
      <c r="A33" s="1"/>
      <c r="B33" s="16" t="s">
        <v>107</v>
      </c>
      <c r="C33" s="17">
        <f t="shared" si="1"/>
        <v>29</v>
      </c>
      <c r="D33" s="18">
        <v>45930</v>
      </c>
      <c r="E33" s="388">
        <v>25.2</v>
      </c>
      <c r="F33" s="20" t="s">
        <v>108</v>
      </c>
      <c r="G33" s="20" t="s">
        <v>109</v>
      </c>
      <c r="H33" s="20" t="s">
        <v>19</v>
      </c>
      <c r="I33" s="20" t="s">
        <v>29</v>
      </c>
      <c r="J33" s="20" t="s">
        <v>78</v>
      </c>
      <c r="K33" s="20"/>
      <c r="L33" s="22">
        <f>IF(B33="","",IF(I33="CompteCourant",IF(IF(ISNA(VLOOKUP(B33,DATA!$A$1:$A$16,1,0)),"",VLOOKUP(B33,DATA!$A$1:$A$16,1,0))="",L32+E33,L32-E33),L32))</f>
        <v>7557.7000000000007</v>
      </c>
      <c r="M33" s="23">
        <f>IF(B33="","",IF(I33="Coffre",IF(IF(ISNA(VLOOKUP(B33,DATA!$A$1:$A$16,1,0)),"",VLOOKUP(B33,DATA!$A$1:$A$16,1,0))="",M32+E33,M32-E33),M32))</f>
        <v>2416.2300000000005</v>
      </c>
      <c r="N33" s="23">
        <f>IF(B33="","",IF(I33="CompteEpargne",IF(IF(ISNA(VLOOKUP(B33,DATA!$A$1:$A$16,1,0)),"",VLOOKUP(B33,DATA!$A$1:$A$16,1,0))="",N32+E33,N32-E33),N32))</f>
        <v>42.64</v>
      </c>
      <c r="O33" s="23">
        <f>IF(B33="","",IF(J33="CompteEpargne",IF(IF(ISNA(VLOOKUP(B33,DATA!$A$1:$A$16,1,0)),"",VLOOKUP(B33,DATA!$A$1:$A$16,1,0))="",O32+E33,O32-E33),O32))</f>
        <v>42.64</v>
      </c>
      <c r="P33" s="22">
        <f t="shared" si="0"/>
        <v>10059.209999999999</v>
      </c>
      <c r="Q33" s="32"/>
      <c r="R33" s="4"/>
      <c r="S33" s="4"/>
      <c r="T33" s="4"/>
      <c r="U33" s="4"/>
      <c r="V33" s="26" t="s">
        <v>110</v>
      </c>
      <c r="W33" s="27" t="s">
        <v>111</v>
      </c>
      <c r="Y33" s="4"/>
      <c r="Z33" s="4"/>
      <c r="AA33" s="4"/>
      <c r="AB33" s="4"/>
      <c r="AC33" s="4"/>
      <c r="AD33" s="4"/>
      <c r="AE33" s="4"/>
    </row>
    <row r="34" spans="1:31" ht="14.25" customHeight="1" x14ac:dyDescent="0.2">
      <c r="A34" s="1"/>
      <c r="B34" s="16" t="s">
        <v>107</v>
      </c>
      <c r="C34" s="17">
        <f t="shared" si="1"/>
        <v>30</v>
      </c>
      <c r="D34" s="18">
        <v>45932</v>
      </c>
      <c r="E34" s="388">
        <v>120</v>
      </c>
      <c r="F34" s="20" t="s">
        <v>112</v>
      </c>
      <c r="G34" s="20" t="s">
        <v>113</v>
      </c>
      <c r="H34" s="20" t="s">
        <v>19</v>
      </c>
      <c r="I34" s="20" t="s">
        <v>29</v>
      </c>
      <c r="J34" s="20" t="s">
        <v>78</v>
      </c>
      <c r="K34" s="20"/>
      <c r="L34" s="22">
        <f>IF(B34="","",IF(I34="CompteCourant",IF(IF(ISNA(VLOOKUP(B34,DATA!$A$1:$A$16,1,0)),"",VLOOKUP(B34,DATA!$A$1:$A$16,1,0))="",L33+E34,L33-E34),L33))</f>
        <v>7437.7000000000007</v>
      </c>
      <c r="M34" s="23">
        <f>IF(B34="","",IF(I34="Coffre",IF(IF(ISNA(VLOOKUP(B34,DATA!$A$1:$A$16,1,0)),"",VLOOKUP(B34,DATA!$A$1:$A$16,1,0))="",M33+E34,M33-E34),M33))</f>
        <v>2416.2300000000005</v>
      </c>
      <c r="N34" s="23">
        <f>IF(B34="","",IF(I34="CompteEpargne",IF(IF(ISNA(VLOOKUP(B34,DATA!$A$1:$A$16,1,0)),"",VLOOKUP(B34,DATA!$A$1:$A$16,1,0))="",N33+E34,N33-E34),N33))</f>
        <v>42.64</v>
      </c>
      <c r="O34" s="23">
        <f>IF(B34="","",IF(J34="CompteEpargne",IF(IF(ISNA(VLOOKUP(B34,DATA!$A$1:$A$16,1,0)),"",VLOOKUP(B34,DATA!$A$1:$A$16,1,0))="",O33+E34,O33-E34),O33))</f>
        <v>42.64</v>
      </c>
      <c r="P34" s="22">
        <f t="shared" si="0"/>
        <v>9939.2099999999991</v>
      </c>
      <c r="Q34" s="32"/>
      <c r="R34" s="4"/>
      <c r="S34" s="4"/>
      <c r="T34" s="4"/>
      <c r="U34" s="4"/>
      <c r="V34" s="26" t="s">
        <v>114</v>
      </c>
      <c r="W34" s="27" t="s">
        <v>115</v>
      </c>
      <c r="Y34" s="4"/>
      <c r="Z34" s="4"/>
      <c r="AA34" s="4"/>
      <c r="AB34" s="4"/>
      <c r="AC34" s="4"/>
      <c r="AD34" s="4"/>
      <c r="AE34" s="4"/>
    </row>
    <row r="35" spans="1:31" ht="14.25" customHeight="1" x14ac:dyDescent="0.2">
      <c r="A35" s="1"/>
      <c r="B35" s="33" t="s">
        <v>116</v>
      </c>
      <c r="C35" s="17">
        <f t="shared" si="1"/>
        <v>31</v>
      </c>
      <c r="D35" s="34">
        <v>45932</v>
      </c>
      <c r="E35" s="389">
        <v>156.9</v>
      </c>
      <c r="F35" s="20" t="s">
        <v>22</v>
      </c>
      <c r="G35" s="20" t="s">
        <v>117</v>
      </c>
      <c r="H35" s="36" t="s">
        <v>19</v>
      </c>
      <c r="I35" s="36" t="s">
        <v>29</v>
      </c>
      <c r="J35" s="20" t="s">
        <v>78</v>
      </c>
      <c r="K35" s="36"/>
      <c r="L35" s="22">
        <f>IF(B35="","",IF(I35="CompteCourant",IF(IF(ISNA(VLOOKUP(B35,DATA!$A$1:$A$16,1,0)),"",VLOOKUP(B35,DATA!$A$1:$A$16,1,0))="",L34+E35,L34-E35),L34))</f>
        <v>7594.6</v>
      </c>
      <c r="M35" s="23">
        <f>IF(B35="","",IF(I35="Coffre",IF(IF(ISNA(VLOOKUP(B35,DATA!$A$1:$A$16,1,0)),"",VLOOKUP(B35,DATA!$A$1:$A$16,1,0))="",M34+E35,M34-E35),M34))</f>
        <v>2416.2300000000005</v>
      </c>
      <c r="N35" s="23">
        <f>IF(B35="","",IF(I35="CompteEpargne",IF(IF(ISNA(VLOOKUP(B35,DATA!$A$1:$A$16,1,0)),"",VLOOKUP(B35,DATA!$A$1:$A$16,1,0))="",N34+E35,N34-E35),N34))</f>
        <v>42.64</v>
      </c>
      <c r="O35" s="32">
        <f>IF(B35="","",IF(J35="CompteEpargne",IF(IF(ISNA(VLOOKUP(B35,DATA!$A$1:$A$16,1,0)),"",VLOOKUP(B35,DATA!$A$1:$A$16,1,0))="",O34+E35,O34-E35),O34))</f>
        <v>42.64</v>
      </c>
      <c r="P35" s="22">
        <f t="shared" si="0"/>
        <v>10096.11</v>
      </c>
      <c r="Q35" s="32"/>
      <c r="R35" s="4"/>
      <c r="S35" s="4"/>
      <c r="T35" s="4"/>
      <c r="U35" s="4"/>
      <c r="V35" s="4" t="s">
        <v>118</v>
      </c>
      <c r="W35" s="4" t="s">
        <v>119</v>
      </c>
      <c r="Y35" s="4"/>
      <c r="Z35" s="4"/>
      <c r="AA35" s="4"/>
      <c r="AB35" s="4"/>
      <c r="AC35" s="4"/>
      <c r="AD35" s="4"/>
      <c r="AE35" s="4"/>
    </row>
    <row r="36" spans="1:31" ht="14.25" customHeight="1" x14ac:dyDescent="0.2">
      <c r="A36" s="1"/>
      <c r="B36" s="33" t="s">
        <v>107</v>
      </c>
      <c r="C36" s="17">
        <f t="shared" si="1"/>
        <v>32</v>
      </c>
      <c r="D36" s="34">
        <v>45957</v>
      </c>
      <c r="E36" s="389">
        <v>36.75</v>
      </c>
      <c r="F36" s="20" t="s">
        <v>120</v>
      </c>
      <c r="G36" s="20" t="s">
        <v>121</v>
      </c>
      <c r="H36" s="36" t="s">
        <v>19</v>
      </c>
      <c r="I36" s="36" t="s">
        <v>29</v>
      </c>
      <c r="J36" s="20" t="s">
        <v>78</v>
      </c>
      <c r="K36" s="36"/>
      <c r="L36" s="22">
        <f>IF(B36="","",IF(I36="CompteCourant",IF(IF(ISNA(VLOOKUP(B36,DATA!$A$1:$A$16,1,0)),"",VLOOKUP(B36,DATA!$A$1:$A$16,1,0))="",L35+E36,L35-E36),L35))</f>
        <v>7557.85</v>
      </c>
      <c r="M36" s="23">
        <f>IF(B36="","",IF(I36="Coffre",IF(IF(ISNA(VLOOKUP(B36,DATA!$A$1:$A$16,1,0)),"",VLOOKUP(B36,DATA!$A$1:$A$16,1,0))="",M35+E36,M35-E36),M35))</f>
        <v>2416.2300000000005</v>
      </c>
      <c r="N36" s="23">
        <f>IF(B36="","",IF(I36="CompteEpargne",IF(IF(ISNA(VLOOKUP(B36,DATA!$A$1:$A$16,1,0)),"",VLOOKUP(B36,DATA!$A$1:$A$16,1,0))="",N35+E36,N35-E36),N35))</f>
        <v>42.64</v>
      </c>
      <c r="O36" s="32">
        <f>IF(B36="","",IF(J36="CompteEpargne",IF(IF(ISNA(VLOOKUP(B36,DATA!$A$1:$A$16,1,0)),"",VLOOKUP(B36,DATA!$A$1:$A$16,1,0))="",O35+E36,O35-E36),O35))</f>
        <v>42.64</v>
      </c>
      <c r="P36" s="22">
        <f t="shared" si="0"/>
        <v>10059.36</v>
      </c>
      <c r="Q36" s="32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4.25" customHeight="1" x14ac:dyDescent="0.2">
      <c r="A37" s="1"/>
      <c r="B37" s="33" t="s">
        <v>26</v>
      </c>
      <c r="C37" s="17">
        <f t="shared" si="1"/>
        <v>33</v>
      </c>
      <c r="D37" s="34">
        <v>45938</v>
      </c>
      <c r="E37" s="389">
        <v>47.05</v>
      </c>
      <c r="F37" s="20" t="s">
        <v>96</v>
      </c>
      <c r="G37" s="20" t="s">
        <v>122</v>
      </c>
      <c r="H37" s="36" t="s">
        <v>19</v>
      </c>
      <c r="I37" s="36" t="s">
        <v>24</v>
      </c>
      <c r="J37" s="20" t="s">
        <v>123</v>
      </c>
      <c r="K37" s="36"/>
      <c r="L37" s="22">
        <f>IF(B37="","",IF(I37="CompteCourant",IF(IF(ISNA(VLOOKUP(B37,DATA!$A$1:$A$16,1,0)),"",VLOOKUP(B37,DATA!$A$1:$A$16,1,0))="",L36+E37,L36-E37),L36))</f>
        <v>7557.85</v>
      </c>
      <c r="M37" s="23">
        <f>IF(B37="","",IF(I37="Coffre",IF(IF(ISNA(VLOOKUP(B37,DATA!$A$1:$A$16,1,0)),"",VLOOKUP(B37,DATA!$A$1:$A$16,1,0))="",M36+E37,M36-E37),M36))</f>
        <v>2369.1800000000003</v>
      </c>
      <c r="N37" s="23">
        <f>IF(B37="","",IF(I37="CompteEpargne",IF(IF(ISNA(VLOOKUP(B37,DATA!$A$1:$A$16,1,0)),"",VLOOKUP(B37,DATA!$A$1:$A$16,1,0))="",N36+E37,N36-E37),N36))</f>
        <v>42.64</v>
      </c>
      <c r="O37" s="32">
        <f>IF(B37="","",IF(J37="CompteEpargne",IF(IF(ISNA(VLOOKUP(B37,DATA!$A$1:$A$16,1,0)),"",VLOOKUP(B37,DATA!$A$1:$A$16,1,0))="",O36+E37,O36-E37),O36))</f>
        <v>42.64</v>
      </c>
      <c r="P37" s="22">
        <f t="shared" si="0"/>
        <v>10012.31</v>
      </c>
      <c r="Q37" s="32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4.25" customHeight="1" x14ac:dyDescent="0.2">
      <c r="A38" s="1"/>
      <c r="B38" s="33" t="s">
        <v>26</v>
      </c>
      <c r="C38" s="17">
        <f t="shared" si="1"/>
        <v>34</v>
      </c>
      <c r="D38" s="34">
        <v>45933</v>
      </c>
      <c r="E38" s="389">
        <v>0</v>
      </c>
      <c r="F38" s="20" t="s">
        <v>120</v>
      </c>
      <c r="G38" s="20" t="s">
        <v>449</v>
      </c>
      <c r="H38" s="36" t="s">
        <v>19</v>
      </c>
      <c r="I38" s="36" t="s">
        <v>29</v>
      </c>
      <c r="J38" s="20" t="s">
        <v>63</v>
      </c>
      <c r="K38" s="36"/>
      <c r="L38" s="22">
        <f>IF(B38="","",IF(I38="CompteCourant",IF(IF(ISNA(VLOOKUP(B38,DATA!$A$1:$A$16,1,0)),"",VLOOKUP(B38,DATA!$A$1:$A$16,1,0))="",L37+E38,L37-E38),L37))</f>
        <v>7557.85</v>
      </c>
      <c r="M38" s="23">
        <f>IF(B38="","",IF(I38="Coffre",IF(IF(ISNA(VLOOKUP(B38,DATA!$A$1:$A$16,1,0)),"",VLOOKUP(B38,DATA!$A$1:$A$16,1,0))="",M37+E38,M37-E38),M37))</f>
        <v>2369.1800000000003</v>
      </c>
      <c r="N38" s="23">
        <f>IF(B38="","",IF(I38="CompteEpargne",IF(IF(ISNA(VLOOKUP(B38,DATA!$A$1:$A$16,1,0)),"",VLOOKUP(B38,DATA!$A$1:$A$16,1,0))="",N37+E38,N37-E38),N37))</f>
        <v>42.64</v>
      </c>
      <c r="O38" s="32">
        <f>IF(B38="","",IF(J38="CompteEpargne",IF(IF(ISNA(VLOOKUP(B38,DATA!$A$1:$A$16,1,0)),"",VLOOKUP(B38,DATA!$A$1:$A$16,1,0))="",O37+E38,O37-E38),O37))</f>
        <v>42.64</v>
      </c>
      <c r="P38" s="22">
        <f t="shared" si="0"/>
        <v>10012.31</v>
      </c>
      <c r="Q38" s="32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4.25" customHeight="1" x14ac:dyDescent="0.2">
      <c r="A39" s="1"/>
      <c r="B39" s="357" t="s">
        <v>107</v>
      </c>
      <c r="C39" s="17">
        <f t="shared" si="1"/>
        <v>35</v>
      </c>
      <c r="D39" s="34">
        <v>45933</v>
      </c>
      <c r="E39" s="389">
        <v>172.6</v>
      </c>
      <c r="F39" s="20" t="s">
        <v>27</v>
      </c>
      <c r="G39" s="31" t="s">
        <v>125</v>
      </c>
      <c r="H39" s="36" t="s">
        <v>19</v>
      </c>
      <c r="I39" s="36" t="s">
        <v>29</v>
      </c>
      <c r="J39" s="31"/>
      <c r="K39" s="36"/>
      <c r="L39" s="22">
        <f>IF(B39="","",IF(I39="CompteCourant",IF(IF(ISNA(VLOOKUP(B39,DATA!$A$1:$A$16,1,0)),"",VLOOKUP(B39,DATA!$A$1:$A$16,1,0))="",L38+E39,L38-E39),L38))</f>
        <v>7385.25</v>
      </c>
      <c r="M39" s="23">
        <f>IF(B39="","",IF(I39="Coffre",IF(IF(ISNA(VLOOKUP(B39,DATA!$A$1:$A$16,1,0)),"",VLOOKUP(B39,DATA!$A$1:$A$16,1,0))="",M38+E39,M38-E39),M38))</f>
        <v>2369.1800000000003</v>
      </c>
      <c r="N39" s="23">
        <f>IF(B39="","",IF(I39="CompteEpargne",IF(IF(ISNA(VLOOKUP(B39,DATA!$A$1:$A$16,1,0)),"",VLOOKUP(B39,DATA!$A$1:$A$16,1,0))="",N38+E39,N38-E39),N38))</f>
        <v>42.64</v>
      </c>
      <c r="O39" s="32">
        <f>IF(B39="","",IF(J39="CompteEpargne",IF(IF(ISNA(VLOOKUP(B39,DATA!$A$1:$A$16,1,0)),"",VLOOKUP(B39,DATA!$A$1:$A$16,1,0))="",O38+E39,O38-E39),O38))</f>
        <v>42.64</v>
      </c>
      <c r="P39" s="22">
        <f t="shared" si="0"/>
        <v>9839.7099999999991</v>
      </c>
      <c r="Q39" s="32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4.25" customHeight="1" x14ac:dyDescent="0.2">
      <c r="A40" s="1"/>
      <c r="B40" s="33" t="s">
        <v>26</v>
      </c>
      <c r="C40" s="17">
        <f t="shared" si="1"/>
        <v>36</v>
      </c>
      <c r="D40" s="34">
        <v>45935</v>
      </c>
      <c r="E40" s="389">
        <v>150</v>
      </c>
      <c r="F40" s="20" t="s">
        <v>126</v>
      </c>
      <c r="G40" s="20" t="s">
        <v>127</v>
      </c>
      <c r="H40" s="36" t="s">
        <v>19</v>
      </c>
      <c r="I40" s="36" t="s">
        <v>29</v>
      </c>
      <c r="J40" s="20" t="s">
        <v>63</v>
      </c>
      <c r="K40" s="36"/>
      <c r="L40" s="22">
        <f>IF(B40="","",IF(I40="CompteCourant",IF(IF(ISNA(VLOOKUP(B40,DATA!$A$1:$A$16,1,0)),"",VLOOKUP(B40,DATA!$A$1:$A$16,1,0))="",L39+E40,L39-E40),L39))</f>
        <v>7235.25</v>
      </c>
      <c r="M40" s="23">
        <f>IF(B40="","",IF(I40="Coffre",IF(IF(ISNA(VLOOKUP(B40,DATA!$A$1:$A$16,1,0)),"",VLOOKUP(B40,DATA!$A$1:$A$16,1,0))="",M39+E40,M39-E40),M39))</f>
        <v>2369.1800000000003</v>
      </c>
      <c r="N40" s="23">
        <f>IF(B40="","",IF(I40="CompteEpargne",IF(IF(ISNA(VLOOKUP(B40,DATA!$A$1:$A$16,1,0)),"",VLOOKUP(B40,DATA!$A$1:$A$16,1,0))="",N39+E40,N39-E40),N39))</f>
        <v>42.64</v>
      </c>
      <c r="O40" s="32">
        <f>IF(B40="","",IF(J40="CompteEpargne",IF(IF(ISNA(VLOOKUP(B40,DATA!$A$1:$A$16,1,0)),"",VLOOKUP(B40,DATA!$A$1:$A$16,1,0))="",O39+E40,O39-E40),O39))</f>
        <v>42.64</v>
      </c>
      <c r="P40" s="22">
        <f t="shared" si="0"/>
        <v>9689.7099999999991</v>
      </c>
      <c r="Q40" s="32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4.25" customHeight="1" x14ac:dyDescent="0.2">
      <c r="A41" s="1"/>
      <c r="B41" s="33" t="s">
        <v>26</v>
      </c>
      <c r="C41" s="17">
        <f t="shared" si="1"/>
        <v>37</v>
      </c>
      <c r="D41" s="34">
        <v>45935</v>
      </c>
      <c r="E41" s="389">
        <v>91.8</v>
      </c>
      <c r="F41" s="20" t="s">
        <v>128</v>
      </c>
      <c r="G41" s="20" t="s">
        <v>129</v>
      </c>
      <c r="H41" s="36" t="s">
        <v>19</v>
      </c>
      <c r="I41" s="36" t="s">
        <v>29</v>
      </c>
      <c r="J41" s="20" t="s">
        <v>63</v>
      </c>
      <c r="K41" s="36"/>
      <c r="L41" s="22">
        <f>IF(B41="","",IF(I41="CompteCourant",IF(IF(ISNA(VLOOKUP(B41,DATA!$A$1:$A$16,1,0)),"",VLOOKUP(B41,DATA!$A$1:$A$16,1,0))="",L40+E41,L40-E41),L40))</f>
        <v>7143.45</v>
      </c>
      <c r="M41" s="23">
        <f>IF(B41="","",IF(I41="Coffre",IF(IF(ISNA(VLOOKUP(B41,DATA!$A$1:$A$16,1,0)),"",VLOOKUP(B41,DATA!$A$1:$A$16,1,0))="",M40+E41,M40-E41),M40))</f>
        <v>2369.1800000000003</v>
      </c>
      <c r="N41" s="23">
        <f>IF(B41="","",IF(I41="CompteEpargne",IF(IF(ISNA(VLOOKUP(B41,DATA!$A$1:$A$16,1,0)),"",VLOOKUP(B41,DATA!$A$1:$A$16,1,0))="",N40+E41,N40-E41),N40))</f>
        <v>42.64</v>
      </c>
      <c r="O41" s="32">
        <f>IF(B41="","",IF(J41="CompteEpargne",IF(IF(ISNA(VLOOKUP(B41,DATA!$A$1:$A$16,1,0)),"",VLOOKUP(B41,DATA!$A$1:$A$16,1,0))="",O40+E41,O40-E41),O40))</f>
        <v>42.64</v>
      </c>
      <c r="P41" s="22">
        <f t="shared" si="0"/>
        <v>9597.91</v>
      </c>
      <c r="Q41" s="32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4.25" customHeight="1" x14ac:dyDescent="0.2">
      <c r="A42" s="1"/>
      <c r="B42" s="33" t="s">
        <v>26</v>
      </c>
      <c r="C42" s="17">
        <f t="shared" si="1"/>
        <v>38</v>
      </c>
      <c r="D42" s="34">
        <v>45943</v>
      </c>
      <c r="E42" s="389">
        <v>968.48</v>
      </c>
      <c r="F42" s="20" t="s">
        <v>130</v>
      </c>
      <c r="G42" s="20" t="s">
        <v>131</v>
      </c>
      <c r="H42" s="36" t="s">
        <v>19</v>
      </c>
      <c r="I42" s="36" t="s">
        <v>29</v>
      </c>
      <c r="J42" s="20" t="s">
        <v>31</v>
      </c>
      <c r="K42" s="36"/>
      <c r="L42" s="22">
        <f>IF(B42="","",IF(I42="CompteCourant",IF(IF(ISNA(VLOOKUP(B42,DATA!$A$1:$A$16,1,0)),"",VLOOKUP(B42,DATA!$A$1:$A$16,1,0))="",L41+E42,L41-E42),L41))</f>
        <v>6174.9699999999993</v>
      </c>
      <c r="M42" s="23">
        <f>IF(B42="","",IF(I42="Coffre",IF(IF(ISNA(VLOOKUP(B42,DATA!$A$1:$A$16,1,0)),"",VLOOKUP(B42,DATA!$A$1:$A$16,1,0))="",M41+E42,M41-E42),M41))</f>
        <v>2369.1800000000003</v>
      </c>
      <c r="N42" s="23">
        <f>IF(B42="","",IF(I42="CompteEpargne",IF(IF(ISNA(VLOOKUP(B42,DATA!$A$1:$A$16,1,0)),"",VLOOKUP(B42,DATA!$A$1:$A$16,1,0))="",N41+E42,N41-E42),N41))</f>
        <v>42.64</v>
      </c>
      <c r="O42" s="32">
        <f>IF(B42="","",IF(J42="CompteEpargne",IF(IF(ISNA(VLOOKUP(B42,DATA!$A$1:$A$16,1,0)),"",VLOOKUP(B42,DATA!$A$1:$A$16,1,0))="",O41+E42,O41-E42),O41))</f>
        <v>42.64</v>
      </c>
      <c r="P42" s="22">
        <f t="shared" si="0"/>
        <v>8629.4299999999985</v>
      </c>
      <c r="Q42" s="32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4.25" customHeight="1" x14ac:dyDescent="0.2">
      <c r="A43" s="1"/>
      <c r="B43" s="33" t="s">
        <v>116</v>
      </c>
      <c r="C43" s="17">
        <f t="shared" si="1"/>
        <v>39</v>
      </c>
      <c r="D43" s="34">
        <v>45943</v>
      </c>
      <c r="E43" s="389">
        <v>192</v>
      </c>
      <c r="F43" s="20" t="s">
        <v>22</v>
      </c>
      <c r="G43" s="31" t="s">
        <v>398</v>
      </c>
      <c r="H43" s="36" t="s">
        <v>19</v>
      </c>
      <c r="I43" s="36" t="s">
        <v>29</v>
      </c>
      <c r="J43" s="31" t="s">
        <v>63</v>
      </c>
      <c r="K43" s="36"/>
      <c r="L43" s="22">
        <f>IF(B43="","",IF(I43="CompteCourant",IF(IF(ISNA(VLOOKUP(B43,DATA!$A$1:$A$16,1,0)),"",VLOOKUP(B43,DATA!$A$1:$A$16,1,0))="",L42+E43,L42-E43),L42))</f>
        <v>6366.9699999999993</v>
      </c>
      <c r="M43" s="23">
        <f>IF(B43="","",IF(I43="Coffre",IF(IF(ISNA(VLOOKUP(B43,DATA!$A$1:$A$16,1,0)),"",VLOOKUP(B43,DATA!$A$1:$A$16,1,0))="",M42+E43,M42-E43),M42))</f>
        <v>2369.1800000000003</v>
      </c>
      <c r="N43" s="23">
        <f>IF(B43="","",IF(I43="CompteEpargne",IF(IF(ISNA(VLOOKUP(B43,DATA!$A$1:$A$16,1,0)),"",VLOOKUP(B43,DATA!$A$1:$A$16,1,0))="",N42+E43,N42-E43),N42))</f>
        <v>42.64</v>
      </c>
      <c r="O43" s="32">
        <f>IF(B43="","",IF(J43="CompteEpargne",IF(IF(ISNA(VLOOKUP(B43,DATA!$A$1:$A$16,1,0)),"",VLOOKUP(B43,DATA!$A$1:$A$16,1,0))="",O42+E43,O42-E43),O42))</f>
        <v>42.64</v>
      </c>
      <c r="P43" s="22">
        <f t="shared" si="0"/>
        <v>8821.4299999999985</v>
      </c>
      <c r="Q43" s="32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4.25" customHeight="1" x14ac:dyDescent="0.2">
      <c r="A44" s="1"/>
      <c r="B44" s="33" t="s">
        <v>26</v>
      </c>
      <c r="C44" s="17">
        <f t="shared" si="1"/>
        <v>40</v>
      </c>
      <c r="D44" s="34">
        <v>45945</v>
      </c>
      <c r="E44" s="389">
        <v>200</v>
      </c>
      <c r="F44" s="20" t="s">
        <v>120</v>
      </c>
      <c r="G44" s="20" t="s">
        <v>132</v>
      </c>
      <c r="H44" s="36" t="s">
        <v>19</v>
      </c>
      <c r="I44" s="36" t="s">
        <v>29</v>
      </c>
      <c r="J44" s="20" t="s">
        <v>34</v>
      </c>
      <c r="K44" s="36"/>
      <c r="L44" s="22">
        <f>IF(B44="","",IF(I44="CompteCourant",IF(IF(ISNA(VLOOKUP(B44,DATA!$A$1:$A$16,1,0)),"",VLOOKUP(B44,DATA!$A$1:$A$16,1,0))="",L43+E44,L43-E44),L43))</f>
        <v>6166.9699999999993</v>
      </c>
      <c r="M44" s="23">
        <f>IF(B44="","",IF(I44="Coffre",IF(IF(ISNA(VLOOKUP(B44,DATA!$A$1:$A$16,1,0)),"",VLOOKUP(B44,DATA!$A$1:$A$16,1,0))="",M43+E44,M43-E44),M43))</f>
        <v>2369.1800000000003</v>
      </c>
      <c r="N44" s="23">
        <f>IF(B44="","",IF(I44="CompteEpargne",IF(IF(ISNA(VLOOKUP(B44,DATA!$A$1:$A$16,1,0)),"",VLOOKUP(B44,DATA!$A$1:$A$16,1,0))="",N43+E44,N43-E44),N43))</f>
        <v>42.64</v>
      </c>
      <c r="O44" s="32">
        <f>IF(B44="","",IF(J44="CompteEpargne",IF(IF(ISNA(VLOOKUP(B44,DATA!$A$1:$A$16,1,0)),"",VLOOKUP(B44,DATA!$A$1:$A$16,1,0))="",O43+E44,O43-E44),O43))</f>
        <v>42.64</v>
      </c>
      <c r="P44" s="22">
        <f t="shared" si="0"/>
        <v>8621.4299999999985</v>
      </c>
      <c r="Q44" s="32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4.25" customHeight="1" x14ac:dyDescent="0.2">
      <c r="A45" s="1"/>
      <c r="B45" s="33" t="s">
        <v>116</v>
      </c>
      <c r="C45" s="17">
        <f t="shared" si="1"/>
        <v>41</v>
      </c>
      <c r="D45" s="34">
        <v>45951</v>
      </c>
      <c r="E45" s="389">
        <v>67</v>
      </c>
      <c r="F45" s="20" t="s">
        <v>22</v>
      </c>
      <c r="G45" s="20" t="s">
        <v>133</v>
      </c>
      <c r="H45" s="36" t="s">
        <v>19</v>
      </c>
      <c r="I45" s="36" t="s">
        <v>29</v>
      </c>
      <c r="J45" s="31"/>
      <c r="K45" s="36"/>
      <c r="L45" s="22">
        <f>IF(B45="","",IF(I45="CompteCourant",IF(IF(ISNA(VLOOKUP(B45,DATA!$A$1:$A$16,1,0)),"",VLOOKUP(B45,DATA!$A$1:$A$16,1,0))="",L44+E45,L44-E45),L44))</f>
        <v>6233.9699999999993</v>
      </c>
      <c r="M45" s="23">
        <f>IF(B45="","",IF(I45="Coffre",IF(IF(ISNA(VLOOKUP(B45,DATA!$A$1:$A$16,1,0)),"",VLOOKUP(B45,DATA!$A$1:$A$16,1,0))="",M44+E45,M44-E45),M44))</f>
        <v>2369.1800000000003</v>
      </c>
      <c r="N45" s="23">
        <f>IF(B45="","",IF(I45="CompteEpargne",IF(IF(ISNA(VLOOKUP(B45,DATA!$A$1:$A$16,1,0)),"",VLOOKUP(B45,DATA!$A$1:$A$16,1,0))="",N44+E45,N44-E45),N44))</f>
        <v>42.64</v>
      </c>
      <c r="O45" s="32">
        <f>IF(B45="","",IF(J45="CompteEpargne",IF(IF(ISNA(VLOOKUP(B45,DATA!$A$1:$A$16,1,0)),"",VLOOKUP(B45,DATA!$A$1:$A$16,1,0))="",O44+E45,O44-E45),O44))</f>
        <v>42.64</v>
      </c>
      <c r="P45" s="22">
        <f t="shared" si="0"/>
        <v>8688.4299999999985</v>
      </c>
      <c r="Q45" s="32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4.25" customHeight="1" x14ac:dyDescent="0.2">
      <c r="A46" s="1"/>
      <c r="B46" s="33" t="s">
        <v>107</v>
      </c>
      <c r="C46" s="17">
        <f t="shared" si="1"/>
        <v>42</v>
      </c>
      <c r="D46" s="34">
        <v>45952</v>
      </c>
      <c r="E46" s="389">
        <v>2977.65</v>
      </c>
      <c r="F46" s="20" t="s">
        <v>134</v>
      </c>
      <c r="G46" s="20" t="s">
        <v>135</v>
      </c>
      <c r="H46" s="36" t="s">
        <v>19</v>
      </c>
      <c r="I46" s="36" t="s">
        <v>29</v>
      </c>
      <c r="J46" s="20" t="s">
        <v>78</v>
      </c>
      <c r="K46" s="36"/>
      <c r="L46" s="22">
        <f>IF(B46="","",IF(I46="CompteCourant",IF(IF(ISNA(VLOOKUP(B46,DATA!$A$1:$A$16,1,0)),"",VLOOKUP(B46,DATA!$A$1:$A$16,1,0))="",L45+E46,L45-E46),L45))</f>
        <v>3256.3199999999993</v>
      </c>
      <c r="M46" s="23">
        <f>IF(B46="","",IF(I46="Coffre",IF(IF(ISNA(VLOOKUP(B46,DATA!$A$1:$A$16,1,0)),"",VLOOKUP(B46,DATA!$A$1:$A$16,1,0))="",M45+E46,M45-E46),M45))</f>
        <v>2369.1800000000003</v>
      </c>
      <c r="N46" s="23">
        <f>IF(B46="","",IF(I46="CompteEpargne",IF(IF(ISNA(VLOOKUP(B46,DATA!$A$1:$A$16,1,0)),"",VLOOKUP(B46,DATA!$A$1:$A$16,1,0))="",N45+E46,N45-E46),N45))</f>
        <v>42.64</v>
      </c>
      <c r="O46" s="32">
        <f>IF(B46="","",IF(J46="CompteEpargne",IF(IF(ISNA(VLOOKUP(B46,DATA!$A$1:$A$16,1,0)),"",VLOOKUP(B46,DATA!$A$1:$A$16,1,0))="",O45+E46,O45-E46),O45))</f>
        <v>42.64</v>
      </c>
      <c r="P46" s="22">
        <f t="shared" si="0"/>
        <v>5710.7800000000007</v>
      </c>
      <c r="Q46" s="32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4.25" customHeight="1" x14ac:dyDescent="0.2">
      <c r="A47" s="1"/>
      <c r="B47" s="33" t="s">
        <v>21</v>
      </c>
      <c r="C47" s="17">
        <f t="shared" si="1"/>
        <v>43</v>
      </c>
      <c r="D47" s="34">
        <v>45936</v>
      </c>
      <c r="E47" s="389">
        <v>171.73</v>
      </c>
      <c r="F47" s="20" t="s">
        <v>22</v>
      </c>
      <c r="G47" s="20" t="s">
        <v>136</v>
      </c>
      <c r="H47" s="36" t="s">
        <v>19</v>
      </c>
      <c r="I47" s="36" t="s">
        <v>29</v>
      </c>
      <c r="J47" s="20" t="s">
        <v>63</v>
      </c>
      <c r="K47" s="36"/>
      <c r="L47" s="22">
        <f>IF(B47="","",IF(I47="CompteCourant",IF(IF(ISNA(VLOOKUP(B47,DATA!$A$1:$A$16,1,0)),"",VLOOKUP(B47,DATA!$A$1:$A$16,1,0))="",L46+E47,L46-E47),L46))</f>
        <v>3428.0499999999993</v>
      </c>
      <c r="M47" s="23">
        <f>IF(B47="","",IF(I47="Coffre",IF(IF(ISNA(VLOOKUP(B47,DATA!$A$1:$A$16,1,0)),"",VLOOKUP(B47,DATA!$A$1:$A$16,1,0))="",M46+E47,M46-E47),M46))</f>
        <v>2369.1800000000003</v>
      </c>
      <c r="N47" s="23">
        <f>IF(B47="","",IF(I47="CompteEpargne",IF(IF(ISNA(VLOOKUP(B47,DATA!$A$1:$A$16,1,0)),"",VLOOKUP(B47,DATA!$A$1:$A$16,1,0))="",N46+E47,N46-E47),N46))</f>
        <v>42.64</v>
      </c>
      <c r="O47" s="32">
        <f>IF(B47="","",IF(J47="CompteEpargne",IF(IF(ISNA(VLOOKUP(B47,DATA!$A$1:$A$16,1,0)),"",VLOOKUP(B47,DATA!$A$1:$A$16,1,0))="",O46+E47,O46-E47),O46))</f>
        <v>42.64</v>
      </c>
      <c r="P47" s="22">
        <f t="shared" si="0"/>
        <v>5882.51</v>
      </c>
      <c r="Q47" s="32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4.25" customHeight="1" x14ac:dyDescent="0.2">
      <c r="A48" s="1"/>
      <c r="B48" s="33" t="s">
        <v>21</v>
      </c>
      <c r="C48" s="17">
        <f t="shared" si="1"/>
        <v>44</v>
      </c>
      <c r="D48" s="34">
        <v>45937</v>
      </c>
      <c r="E48" s="389">
        <v>467.8</v>
      </c>
      <c r="F48" s="20" t="s">
        <v>22</v>
      </c>
      <c r="G48" s="20" t="s">
        <v>136</v>
      </c>
      <c r="H48" s="36" t="s">
        <v>19</v>
      </c>
      <c r="I48" s="36" t="s">
        <v>29</v>
      </c>
      <c r="J48" s="20" t="s">
        <v>63</v>
      </c>
      <c r="K48" s="36"/>
      <c r="L48" s="22">
        <f>IF(B48="","",IF(I48="CompteCourant",IF(IF(ISNA(VLOOKUP(B48,DATA!$A$1:$A$16,1,0)),"",VLOOKUP(B48,DATA!$A$1:$A$16,1,0))="",L47+E48,L47-E48),L47))</f>
        <v>3895.8499999999995</v>
      </c>
      <c r="M48" s="23">
        <f>IF(B48="","",IF(I48="Coffre",IF(IF(ISNA(VLOOKUP(B48,DATA!$A$1:$A$16,1,0)),"",VLOOKUP(B48,DATA!$A$1:$A$16,1,0))="",M47+E48,M47-E48),M47))</f>
        <v>2369.1800000000003</v>
      </c>
      <c r="N48" s="23">
        <f>IF(B48="","",IF(I48="CompteEpargne",IF(IF(ISNA(VLOOKUP(B48,DATA!$A$1:$A$16,1,0)),"",VLOOKUP(B48,DATA!$A$1:$A$16,1,0))="",N47+E48,N47-E48),N47))</f>
        <v>42.64</v>
      </c>
      <c r="O48" s="32">
        <f>IF(B48="","",IF(J48="CompteEpargne",IF(IF(ISNA(VLOOKUP(B48,DATA!$A$1:$A$16,1,0)),"",VLOOKUP(B48,DATA!$A$1:$A$16,1,0))="",O47+E48,O47-E48),O47))</f>
        <v>42.64</v>
      </c>
      <c r="P48" s="22">
        <f t="shared" si="0"/>
        <v>6350.31</v>
      </c>
      <c r="Q48" s="32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4.25" customHeight="1" x14ac:dyDescent="0.2">
      <c r="A49" s="1"/>
      <c r="B49" s="33" t="s">
        <v>21</v>
      </c>
      <c r="C49" s="17">
        <f t="shared" si="1"/>
        <v>45</v>
      </c>
      <c r="D49" s="34">
        <v>45937</v>
      </c>
      <c r="E49" s="389">
        <v>25.66</v>
      </c>
      <c r="F49" s="20" t="s">
        <v>22</v>
      </c>
      <c r="G49" s="20" t="s">
        <v>136</v>
      </c>
      <c r="H49" s="36" t="s">
        <v>19</v>
      </c>
      <c r="I49" s="36" t="s">
        <v>29</v>
      </c>
      <c r="J49" s="20" t="s">
        <v>63</v>
      </c>
      <c r="K49" s="36"/>
      <c r="L49" s="22">
        <f>IF(B49="","",IF(I49="CompteCourant",IF(IF(ISNA(VLOOKUP(B49,DATA!$A$1:$A$16,1,0)),"",VLOOKUP(B49,DATA!$A$1:$A$16,1,0))="",L48+E49,L48-E49),L48))</f>
        <v>3921.5099999999993</v>
      </c>
      <c r="M49" s="23">
        <f>IF(B49="","",IF(I49="Coffre",IF(IF(ISNA(VLOOKUP(B49,DATA!$A$1:$A$16,1,0)),"",VLOOKUP(B49,DATA!$A$1:$A$16,1,0))="",M48+E49,M48-E49),M48))</f>
        <v>2369.1800000000003</v>
      </c>
      <c r="N49" s="23">
        <f>IF(B49="","",IF(I49="CompteEpargne",IF(IF(ISNA(VLOOKUP(B49,DATA!$A$1:$A$16,1,0)),"",VLOOKUP(B49,DATA!$A$1:$A$16,1,0))="",N48+E49,N48-E49),N48))</f>
        <v>42.64</v>
      </c>
      <c r="O49" s="32">
        <f>IF(B49="","",IF(J49="CompteEpargne",IF(IF(ISNA(VLOOKUP(B49,DATA!$A$1:$A$16,1,0)),"",VLOOKUP(B49,DATA!$A$1:$A$16,1,0))="",O48+E49,O48-E49),O48))</f>
        <v>42.64</v>
      </c>
      <c r="P49" s="22">
        <f t="shared" si="0"/>
        <v>6375.97</v>
      </c>
      <c r="Q49" s="32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4.25" customHeight="1" x14ac:dyDescent="0.2">
      <c r="A50" s="1"/>
      <c r="B50" s="33" t="s">
        <v>21</v>
      </c>
      <c r="C50" s="17">
        <f t="shared" si="1"/>
        <v>46</v>
      </c>
      <c r="D50" s="34">
        <v>45940</v>
      </c>
      <c r="E50" s="389">
        <v>0.99</v>
      </c>
      <c r="F50" s="20" t="s">
        <v>22</v>
      </c>
      <c r="G50" s="20" t="s">
        <v>136</v>
      </c>
      <c r="H50" s="36" t="s">
        <v>19</v>
      </c>
      <c r="I50" s="36" t="s">
        <v>29</v>
      </c>
      <c r="J50" s="20" t="s">
        <v>63</v>
      </c>
      <c r="K50" s="36"/>
      <c r="L50" s="22">
        <f>IF(B50="","",IF(I50="CompteCourant",IF(IF(ISNA(VLOOKUP(B50,DATA!$A$1:$A$16,1,0)),"",VLOOKUP(B50,DATA!$A$1:$A$16,1,0))="",L49+E50,L49-E50),L49))</f>
        <v>3922.4999999999991</v>
      </c>
      <c r="M50" s="23">
        <f>IF(B50="","",IF(I50="Coffre",IF(IF(ISNA(VLOOKUP(B50,DATA!$A$1:$A$16,1,0)),"",VLOOKUP(B50,DATA!$A$1:$A$16,1,0))="",M49+E50,M49-E50),M49))</f>
        <v>2369.1800000000003</v>
      </c>
      <c r="N50" s="23">
        <f>IF(B50="","",IF(I50="CompteEpargne",IF(IF(ISNA(VLOOKUP(B50,DATA!$A$1:$A$16,1,0)),"",VLOOKUP(B50,DATA!$A$1:$A$16,1,0))="",N49+E50,N49-E50),N49))</f>
        <v>42.64</v>
      </c>
      <c r="O50" s="32">
        <f>IF(B50="","",IF(J50="CompteEpargne",IF(IF(ISNA(VLOOKUP(B50,DATA!$A$1:$A$16,1,0)),"",VLOOKUP(B50,DATA!$A$1:$A$16,1,0))="",O49+E50,O49-E50),O49))</f>
        <v>42.64</v>
      </c>
      <c r="P50" s="22">
        <f t="shared" si="0"/>
        <v>6376.96</v>
      </c>
      <c r="Q50" s="32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4.25" customHeight="1" x14ac:dyDescent="0.2">
      <c r="A51" s="1"/>
      <c r="B51" s="33" t="s">
        <v>21</v>
      </c>
      <c r="C51" s="17">
        <f t="shared" si="1"/>
        <v>47</v>
      </c>
      <c r="D51" s="34">
        <v>45943</v>
      </c>
      <c r="E51" s="389">
        <v>379.92</v>
      </c>
      <c r="F51" s="20" t="s">
        <v>22</v>
      </c>
      <c r="G51" s="20" t="s">
        <v>137</v>
      </c>
      <c r="H51" s="36" t="s">
        <v>19</v>
      </c>
      <c r="I51" s="36" t="s">
        <v>29</v>
      </c>
      <c r="J51" s="20" t="s">
        <v>123</v>
      </c>
      <c r="K51" s="36"/>
      <c r="L51" s="22">
        <f>IF(B51="","",IF(I51="CompteCourant",IF(IF(ISNA(VLOOKUP(B51,DATA!$A$1:$A$16,1,0)),"",VLOOKUP(B51,DATA!$A$1:$A$16,1,0))="",L50+E51,L50-E51),L50))</f>
        <v>4302.4199999999992</v>
      </c>
      <c r="M51" s="23">
        <f>IF(B51="","",IF(I51="Coffre",IF(IF(ISNA(VLOOKUP(B51,DATA!$A$1:$A$16,1,0)),"",VLOOKUP(B51,DATA!$A$1:$A$16,1,0))="",M50+E51,M50-E51),M50))</f>
        <v>2369.1800000000003</v>
      </c>
      <c r="N51" s="23">
        <f>IF(B51="","",IF(I51="CompteEpargne",IF(IF(ISNA(VLOOKUP(B51,DATA!$A$1:$A$16,1,0)),"",VLOOKUP(B51,DATA!$A$1:$A$16,1,0))="",N50+E51,N50-E51),N50))</f>
        <v>42.64</v>
      </c>
      <c r="O51" s="32">
        <f>IF(B51="","",IF(J51="CompteEpargne",IF(IF(ISNA(VLOOKUP(B51,DATA!$A$1:$A$16,1,0)),"",VLOOKUP(B51,DATA!$A$1:$A$16,1,0))="",O50+E51,O50-E51),O50))</f>
        <v>42.64</v>
      </c>
      <c r="P51" s="22">
        <f t="shared" si="0"/>
        <v>6756.88</v>
      </c>
      <c r="Q51" s="32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4.25" customHeight="1" x14ac:dyDescent="0.2">
      <c r="A52" s="1"/>
      <c r="B52" s="33" t="s">
        <v>21</v>
      </c>
      <c r="C52" s="17">
        <f t="shared" si="1"/>
        <v>48</v>
      </c>
      <c r="D52" s="34">
        <v>45950</v>
      </c>
      <c r="E52" s="389">
        <v>95.7</v>
      </c>
      <c r="F52" s="20" t="s">
        <v>22</v>
      </c>
      <c r="G52" s="20" t="s">
        <v>138</v>
      </c>
      <c r="H52" s="36" t="s">
        <v>19</v>
      </c>
      <c r="I52" s="36" t="s">
        <v>29</v>
      </c>
      <c r="J52" s="20" t="s">
        <v>123</v>
      </c>
      <c r="K52" s="36"/>
      <c r="L52" s="22">
        <f>IF(B52="","",IF(I52="CompteCourant",IF(IF(ISNA(VLOOKUP(B52,DATA!$A$1:$A$16,1,0)),"",VLOOKUP(B52,DATA!$A$1:$A$16,1,0))="",L51+E52,L51-E52),L51))</f>
        <v>4398.119999999999</v>
      </c>
      <c r="M52" s="23">
        <f>IF(B52="","",IF(I52="Coffre",IF(IF(ISNA(VLOOKUP(B52,DATA!$A$1:$A$16,1,0)),"",VLOOKUP(B52,DATA!$A$1:$A$16,1,0))="",M51+E52,M51-E52),M51))</f>
        <v>2369.1800000000003</v>
      </c>
      <c r="N52" s="23">
        <f>IF(B52="","",IF(I52="CompteEpargne",IF(IF(ISNA(VLOOKUP(B52,DATA!$A$1:$A$16,1,0)),"",VLOOKUP(B52,DATA!$A$1:$A$16,1,0))="",N51+E52,N51-E52),N51))</f>
        <v>42.64</v>
      </c>
      <c r="O52" s="32">
        <f>IF(B52="","",IF(J52="CompteEpargne",IF(IF(ISNA(VLOOKUP(B52,DATA!$A$1:$A$16,1,0)),"",VLOOKUP(B52,DATA!$A$1:$A$16,1,0))="",O51+E52,O51-E52),O51))</f>
        <v>42.64</v>
      </c>
      <c r="P52" s="22">
        <f t="shared" si="0"/>
        <v>6852.58</v>
      </c>
      <c r="Q52" s="32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4.25" customHeight="1" x14ac:dyDescent="0.2">
      <c r="A53" s="1"/>
      <c r="B53" s="33" t="s">
        <v>21</v>
      </c>
      <c r="C53" s="17">
        <f t="shared" si="1"/>
        <v>49</v>
      </c>
      <c r="D53" s="34">
        <v>45939</v>
      </c>
      <c r="E53" s="389">
        <v>166.6</v>
      </c>
      <c r="F53" s="20" t="s">
        <v>22</v>
      </c>
      <c r="G53" s="20" t="s">
        <v>139</v>
      </c>
      <c r="H53" s="36" t="s">
        <v>19</v>
      </c>
      <c r="I53" s="36" t="s">
        <v>24</v>
      </c>
      <c r="J53" s="20" t="s">
        <v>63</v>
      </c>
      <c r="K53" s="36"/>
      <c r="L53" s="22">
        <f>IF(B53="","",IF(I53="CompteCourant",IF(IF(ISNA(VLOOKUP(B53,DATA!$A$1:$A$16,1,0)),"",VLOOKUP(B53,DATA!$A$1:$A$16,1,0))="",L52+E53,L52-E53),L52))</f>
        <v>4398.119999999999</v>
      </c>
      <c r="M53" s="23">
        <f>IF(B53="","",IF(I53="Coffre",IF(IF(ISNA(VLOOKUP(B53,DATA!$A$1:$A$16,1,0)),"",VLOOKUP(B53,DATA!$A$1:$A$16,1,0))="",M52+E53,M52-E53),M52))</f>
        <v>2535.7800000000002</v>
      </c>
      <c r="N53" s="23">
        <f>IF(B53="","",IF(I53="CompteEpargne",IF(IF(ISNA(VLOOKUP(B53,DATA!$A$1:$A$16,1,0)),"",VLOOKUP(B53,DATA!$A$1:$A$16,1,0))="",N52+E53,N52-E53),N52))</f>
        <v>42.64</v>
      </c>
      <c r="O53" s="32">
        <f>IF(B53="","",IF(J53="CompteEpargne",IF(IF(ISNA(VLOOKUP(B53,DATA!$A$1:$A$16,1,0)),"",VLOOKUP(B53,DATA!$A$1:$A$16,1,0))="",O52+E53,O52-E53),O52))</f>
        <v>42.64</v>
      </c>
      <c r="P53" s="22">
        <f t="shared" si="0"/>
        <v>7019.18</v>
      </c>
      <c r="Q53" s="32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4.25" customHeight="1" x14ac:dyDescent="0.2">
      <c r="A54" s="1"/>
      <c r="B54" s="33" t="s">
        <v>21</v>
      </c>
      <c r="C54" s="17">
        <f t="shared" si="1"/>
        <v>50</v>
      </c>
      <c r="D54" s="34">
        <v>45939</v>
      </c>
      <c r="E54" s="389">
        <v>120</v>
      </c>
      <c r="F54" s="20" t="s">
        <v>22</v>
      </c>
      <c r="G54" s="20" t="s">
        <v>140</v>
      </c>
      <c r="H54" s="36" t="s">
        <v>19</v>
      </c>
      <c r="I54" s="36" t="s">
        <v>24</v>
      </c>
      <c r="J54" s="20" t="s">
        <v>34</v>
      </c>
      <c r="K54" s="36"/>
      <c r="L54" s="22">
        <f>IF(B54="","",IF(I54="CompteCourant",IF(IF(ISNA(VLOOKUP(B54,DATA!$A$1:$A$16,1,0)),"",VLOOKUP(B54,DATA!$A$1:$A$16,1,0))="",L53+E54,L53-E54),L53))</f>
        <v>4398.119999999999</v>
      </c>
      <c r="M54" s="23">
        <f>IF(B54="","",IF(I54="Coffre",IF(IF(ISNA(VLOOKUP(B54,DATA!$A$1:$A$16,1,0)),"",VLOOKUP(B54,DATA!$A$1:$A$16,1,0))="",M53+E54,M53-E54),M53))</f>
        <v>2655.78</v>
      </c>
      <c r="N54" s="23">
        <f>IF(B54="","",IF(I54="CompteEpargne",IF(IF(ISNA(VLOOKUP(B54,DATA!$A$1:$A$16,1,0)),"",VLOOKUP(B54,DATA!$A$1:$A$16,1,0))="",N53+E54,N53-E54),N53))</f>
        <v>42.64</v>
      </c>
      <c r="O54" s="32">
        <f>IF(B54="","",IF(J54="CompteEpargne",IF(IF(ISNA(VLOOKUP(B54,DATA!$A$1:$A$16,1,0)),"",VLOOKUP(B54,DATA!$A$1:$A$16,1,0))="",O53+E54,O53-E54),O53))</f>
        <v>42.64</v>
      </c>
      <c r="P54" s="22">
        <f t="shared" si="0"/>
        <v>7139.18</v>
      </c>
      <c r="Q54" s="32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4.25" customHeight="1" x14ac:dyDescent="0.2">
      <c r="A55" s="1"/>
      <c r="B55" s="33" t="s">
        <v>21</v>
      </c>
      <c r="C55" s="17">
        <f t="shared" si="1"/>
        <v>51</v>
      </c>
      <c r="D55" s="34">
        <v>45939</v>
      </c>
      <c r="E55" s="389">
        <v>112.15</v>
      </c>
      <c r="F55" s="20" t="s">
        <v>22</v>
      </c>
      <c r="G55" s="20" t="s">
        <v>141</v>
      </c>
      <c r="H55" s="36" t="s">
        <v>19</v>
      </c>
      <c r="I55" s="36" t="s">
        <v>24</v>
      </c>
      <c r="J55" s="20" t="s">
        <v>123</v>
      </c>
      <c r="K55" s="36"/>
      <c r="L55" s="22">
        <f>IF(B55="","",IF(I55="CompteCourant",IF(IF(ISNA(VLOOKUP(B55,DATA!$A$1:$A$16,1,0)),"",VLOOKUP(B55,DATA!$A$1:$A$16,1,0))="",L54+E55,L54-E55),L54))</f>
        <v>4398.119999999999</v>
      </c>
      <c r="M55" s="23">
        <f>IF(B55="","",IF(I55="Coffre",IF(IF(ISNA(VLOOKUP(B55,DATA!$A$1:$A$16,1,0)),"",VLOOKUP(B55,DATA!$A$1:$A$16,1,0))="",M54+E55,M54-E55),M54))</f>
        <v>2767.9300000000003</v>
      </c>
      <c r="N55" s="23">
        <f>IF(B55="","",IF(I55="CompteEpargne",IF(IF(ISNA(VLOOKUP(B55,DATA!$A$1:$A$16,1,0)),"",VLOOKUP(B55,DATA!$A$1:$A$16,1,0))="",N54+E55,N54-E55),N54))</f>
        <v>42.64</v>
      </c>
      <c r="O55" s="32">
        <f>IF(B55="","",IF(J55="CompteEpargne",IF(IF(ISNA(VLOOKUP(B55,DATA!$A$1:$A$16,1,0)),"",VLOOKUP(B55,DATA!$A$1:$A$16,1,0))="",O54+E55,O54-E55),O54))</f>
        <v>42.64</v>
      </c>
      <c r="P55" s="22">
        <f t="shared" si="0"/>
        <v>7251.33</v>
      </c>
      <c r="Q55" s="32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4.25" customHeight="1" x14ac:dyDescent="0.2">
      <c r="A56" s="1"/>
      <c r="B56" s="33" t="s">
        <v>107</v>
      </c>
      <c r="C56" s="17">
        <f t="shared" si="1"/>
        <v>52</v>
      </c>
      <c r="D56" s="34">
        <v>45925</v>
      </c>
      <c r="E56" s="389">
        <v>591.4</v>
      </c>
      <c r="F56" s="20" t="s">
        <v>22</v>
      </c>
      <c r="G56" s="20" t="s">
        <v>142</v>
      </c>
      <c r="H56" s="36" t="s">
        <v>19</v>
      </c>
      <c r="I56" s="36" t="s">
        <v>24</v>
      </c>
      <c r="J56" s="20" t="s">
        <v>78</v>
      </c>
      <c r="K56" s="36"/>
      <c r="L56" s="22">
        <f>IF(B56="","",IF(I56="CompteCourant",IF(IF(ISNA(VLOOKUP(B56,DATA!$A$1:$A$16,1,0)),"",VLOOKUP(B56,DATA!$A$1:$A$16,1,0))="",L55+E56,L55-E56),L55))</f>
        <v>4398.119999999999</v>
      </c>
      <c r="M56" s="23">
        <f>IF(B56="","",IF(I56="Coffre",IF(IF(ISNA(VLOOKUP(B56,DATA!$A$1:$A$16,1,0)),"",VLOOKUP(B56,DATA!$A$1:$A$16,1,0))="",M55+E56,M55-E56),M55))</f>
        <v>2176.5300000000002</v>
      </c>
      <c r="N56" s="23">
        <f>IF(B56="","",IF(I56="CompteEpargne",IF(IF(ISNA(VLOOKUP(B56,DATA!$A$1:$A$16,1,0)),"",VLOOKUP(B56,DATA!$A$1:$A$16,1,0))="",N55+E56,N55-E56),N55))</f>
        <v>42.64</v>
      </c>
      <c r="O56" s="32">
        <f>IF(B56="","",IF(J56="CompteEpargne",IF(IF(ISNA(VLOOKUP(B56,DATA!$A$1:$A$16,1,0)),"",VLOOKUP(B56,DATA!$A$1:$A$16,1,0))="",O55+E56,O55-E56),O55))</f>
        <v>42.64</v>
      </c>
      <c r="P56" s="22">
        <f t="shared" si="0"/>
        <v>6659.93</v>
      </c>
      <c r="Q56" s="32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4.25" customHeight="1" x14ac:dyDescent="0.2">
      <c r="A57" s="1"/>
      <c r="B57" s="33" t="s">
        <v>21</v>
      </c>
      <c r="C57" s="17">
        <f t="shared" si="1"/>
        <v>53</v>
      </c>
      <c r="D57" s="34">
        <v>45986</v>
      </c>
      <c r="E57" s="389">
        <v>65.67</v>
      </c>
      <c r="F57" s="20" t="s">
        <v>22</v>
      </c>
      <c r="G57" s="20" t="s">
        <v>143</v>
      </c>
      <c r="H57" s="36" t="s">
        <v>19</v>
      </c>
      <c r="I57" s="36" t="s">
        <v>24</v>
      </c>
      <c r="J57" s="20" t="s">
        <v>34</v>
      </c>
      <c r="K57" s="36"/>
      <c r="L57" s="22">
        <f>IF(B57="","",IF(I57="CompteCourant",IF(IF(ISNA(VLOOKUP(B57,DATA!$A$1:$A$16,1,0)),"",VLOOKUP(B57,DATA!$A$1:$A$16,1,0))="",L56+E57,L56-E57),L56))</f>
        <v>4398.119999999999</v>
      </c>
      <c r="M57" s="23">
        <f>IF(B57="","",IF(I57="Coffre",IF(IF(ISNA(VLOOKUP(B57,DATA!$A$1:$A$16,1,0)),"",VLOOKUP(B57,DATA!$A$1:$A$16,1,0))="",M56+E57,M56-E57),M56))</f>
        <v>2242.2000000000003</v>
      </c>
      <c r="N57" s="23">
        <f>IF(B57="","",IF(I57="CompteEpargne",IF(IF(ISNA(VLOOKUP(B57,DATA!$A$1:$A$16,1,0)),"",VLOOKUP(B57,DATA!$A$1:$A$16,1,0))="",N56+E57,N56-E57),N56))</f>
        <v>42.64</v>
      </c>
      <c r="O57" s="32">
        <f>IF(B57="","",IF(J57="CompteEpargne",IF(IF(ISNA(VLOOKUP(B57,DATA!$A$1:$A$16,1,0)),"",VLOOKUP(B57,DATA!$A$1:$A$16,1,0))="",O56+E57,O56-E57),O56))</f>
        <v>42.64</v>
      </c>
      <c r="P57" s="22">
        <f t="shared" si="0"/>
        <v>6725.6</v>
      </c>
      <c r="Q57" s="32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4.25" customHeight="1" x14ac:dyDescent="0.2">
      <c r="A58" s="1"/>
      <c r="B58" s="358" t="s">
        <v>107</v>
      </c>
      <c r="C58" s="17">
        <f t="shared" si="1"/>
        <v>54</v>
      </c>
      <c r="D58" s="34">
        <v>45957</v>
      </c>
      <c r="E58" s="389">
        <v>26.85</v>
      </c>
      <c r="F58" s="20" t="s">
        <v>120</v>
      </c>
      <c r="G58" s="356" t="s">
        <v>144</v>
      </c>
      <c r="H58" s="36" t="s">
        <v>19</v>
      </c>
      <c r="I58" s="36" t="s">
        <v>29</v>
      </c>
      <c r="J58" s="20"/>
      <c r="K58" s="36"/>
      <c r="L58" s="22">
        <f>IF(B58="","",IF(I58="CompteCourant",IF(IF(ISNA(VLOOKUP(B58,DATA!$A$1:$A$16,1,0)),"",VLOOKUP(B58,DATA!$A$1:$A$16,1,0))="",L57+E58,L57-E58),L57))</f>
        <v>4371.2699999999986</v>
      </c>
      <c r="M58" s="23">
        <f>IF(B58="","",IF(I58="Coffre",IF(IF(ISNA(VLOOKUP(B58,DATA!$A$1:$A$16,1,0)),"",VLOOKUP(B58,DATA!$A$1:$A$16,1,0))="",M57+E58,M57-E58),M57))</f>
        <v>2242.2000000000003</v>
      </c>
      <c r="N58" s="23">
        <f>IF(B58="","",IF(I58="CompteEpargne",IF(IF(ISNA(VLOOKUP(B58,DATA!$A$1:$A$16,1,0)),"",VLOOKUP(B58,DATA!$A$1:$A$16,1,0))="",N57+E58,N57-E58),N57))</f>
        <v>42.64</v>
      </c>
      <c r="O58" s="32">
        <f>IF(B58="","",IF(J58="CompteEpargne",IF(IF(ISNA(VLOOKUP(B58,DATA!$A$1:$A$16,1,0)),"",VLOOKUP(B58,DATA!$A$1:$A$16,1,0))="",O57+E58,O57-E58),O57))</f>
        <v>42.64</v>
      </c>
      <c r="P58" s="22">
        <f t="shared" si="0"/>
        <v>6698.75</v>
      </c>
      <c r="Q58" s="32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4.25" customHeight="1" x14ac:dyDescent="0.2">
      <c r="A59" s="1"/>
      <c r="B59" s="358" t="s">
        <v>107</v>
      </c>
      <c r="C59" s="17">
        <f t="shared" si="1"/>
        <v>55</v>
      </c>
      <c r="D59" s="34">
        <v>45957</v>
      </c>
      <c r="E59" s="389">
        <v>210</v>
      </c>
      <c r="F59" s="20" t="s">
        <v>20</v>
      </c>
      <c r="G59" s="356" t="s">
        <v>144</v>
      </c>
      <c r="H59" s="36" t="s">
        <v>19</v>
      </c>
      <c r="I59" s="36" t="s">
        <v>29</v>
      </c>
      <c r="J59" s="20"/>
      <c r="K59" s="36"/>
      <c r="L59" s="22">
        <f>IF(B59="","",IF(I59="CompteCourant",IF(IF(ISNA(VLOOKUP(B59,DATA!$A$1:$A$16,1,0)),"",VLOOKUP(B59,DATA!$A$1:$A$16,1,0))="",L58+E59,L58-E59),L58))</f>
        <v>4161.2699999999986</v>
      </c>
      <c r="M59" s="23">
        <f>IF(B59="","",IF(I59="Coffre",IF(IF(ISNA(VLOOKUP(B59,DATA!$A$1:$A$16,1,0)),"",VLOOKUP(B59,DATA!$A$1:$A$16,1,0))="",M58+E59,M58-E59),M58))</f>
        <v>2242.2000000000003</v>
      </c>
      <c r="N59" s="23">
        <f>IF(B59="","",IF(I59="CompteEpargne",IF(IF(ISNA(VLOOKUP(B59,DATA!$A$1:$A$16,1,0)),"",VLOOKUP(B59,DATA!$A$1:$A$16,1,0))="",N58+E59,N58-E59),N58))</f>
        <v>42.64</v>
      </c>
      <c r="O59" s="32">
        <f>IF(B59="","",IF(J59="CompteEpargne",IF(IF(ISNA(VLOOKUP(B59,DATA!$A$1:$A$16,1,0)),"",VLOOKUP(B59,DATA!$A$1:$A$16,1,0))="",O58+E59,O58-E59),O58))</f>
        <v>42.64</v>
      </c>
      <c r="P59" s="22">
        <f t="shared" si="0"/>
        <v>6488.75</v>
      </c>
      <c r="Q59" s="32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4.25" customHeight="1" x14ac:dyDescent="0.2">
      <c r="A60" s="1"/>
      <c r="B60" s="355" t="s">
        <v>21</v>
      </c>
      <c r="C60" s="17">
        <f t="shared" si="1"/>
        <v>56</v>
      </c>
      <c r="D60" s="34">
        <v>45960</v>
      </c>
      <c r="E60" s="389">
        <v>154.93</v>
      </c>
      <c r="F60" s="20" t="s">
        <v>22</v>
      </c>
      <c r="G60" s="20" t="s">
        <v>145</v>
      </c>
      <c r="H60" s="36" t="s">
        <v>19</v>
      </c>
      <c r="I60" s="36" t="s">
        <v>29</v>
      </c>
      <c r="J60" s="20" t="s">
        <v>123</v>
      </c>
      <c r="K60" s="36"/>
      <c r="L60" s="22">
        <f>IF(B60="","",IF(I60="CompteCourant",IF(IF(ISNA(VLOOKUP(B60,DATA!$A$1:$A$16,1,0)),"",VLOOKUP(B60,DATA!$A$1:$A$16,1,0))="",L59+E60,L59-E60),L59))</f>
        <v>4316.1999999999989</v>
      </c>
      <c r="M60" s="23">
        <f>IF(B60="","",IF(I60="Coffre",IF(IF(ISNA(VLOOKUP(B60,DATA!$A$1:$A$16,1,0)),"",VLOOKUP(B60,DATA!$A$1:$A$16,1,0))="",M59+E60,M59-E60),M59))</f>
        <v>2242.2000000000003</v>
      </c>
      <c r="N60" s="23">
        <f>IF(B60="","",IF(I60="CompteEpargne",IF(IF(ISNA(VLOOKUP(B60,DATA!$A$1:$A$16,1,0)),"",VLOOKUP(B60,DATA!$A$1:$A$16,1,0))="",N59+E60,N59-E60),N59))</f>
        <v>42.64</v>
      </c>
      <c r="O60" s="32">
        <f>IF(B60="","",IF(J60="CompteEpargne",IF(IF(ISNA(VLOOKUP(B60,DATA!$A$1:$A$16,1,0)),"",VLOOKUP(B60,DATA!$A$1:$A$16,1,0))="",O59+E60,O59-E60),O59))</f>
        <v>42.64</v>
      </c>
      <c r="P60" s="22">
        <f t="shared" si="0"/>
        <v>6643.68</v>
      </c>
      <c r="Q60" s="32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4.25" customHeight="1" x14ac:dyDescent="0.2">
      <c r="A61" s="1"/>
      <c r="B61" s="358" t="s">
        <v>107</v>
      </c>
      <c r="C61" s="17">
        <f t="shared" si="1"/>
        <v>57</v>
      </c>
      <c r="D61" s="34">
        <v>45961</v>
      </c>
      <c r="E61" s="389">
        <v>107.6</v>
      </c>
      <c r="F61" s="20" t="s">
        <v>20</v>
      </c>
      <c r="G61" s="356" t="s">
        <v>144</v>
      </c>
      <c r="H61" s="36" t="s">
        <v>19</v>
      </c>
      <c r="I61" s="36" t="s">
        <v>29</v>
      </c>
      <c r="J61" s="20"/>
      <c r="K61" s="36"/>
      <c r="L61" s="22">
        <f>IF(B61="","",IF(I61="CompteCourant",IF(IF(ISNA(VLOOKUP(B61,DATA!$A$1:$A$16,1,0)),"",VLOOKUP(B61,DATA!$A$1:$A$16,1,0))="",L60+E61,L60-E61),L60))</f>
        <v>4208.5999999999985</v>
      </c>
      <c r="M61" s="23">
        <f>IF(B61="","",IF(I61="Coffre",IF(IF(ISNA(VLOOKUP(B61,DATA!$A$1:$A$16,1,0)),"",VLOOKUP(B61,DATA!$A$1:$A$16,1,0))="",M60+E61,M60-E61),M60))</f>
        <v>2242.2000000000003</v>
      </c>
      <c r="N61" s="23">
        <f>IF(B61="","",IF(I61="CompteEpargne",IF(IF(ISNA(VLOOKUP(B61,DATA!$A$1:$A$16,1,0)),"",VLOOKUP(B61,DATA!$A$1:$A$16,1,0))="",N60+E61,N60-E61),N60))</f>
        <v>42.64</v>
      </c>
      <c r="O61" s="32">
        <f>IF(B61="","",IF(J61="CompteEpargne",IF(IF(ISNA(VLOOKUP(B61,DATA!$A$1:$A$16,1,0)),"",VLOOKUP(B61,DATA!$A$1:$A$16,1,0))="",O60+E61,O60-E61),O60))</f>
        <v>42.64</v>
      </c>
      <c r="P61" s="22">
        <f t="shared" si="0"/>
        <v>6536.08</v>
      </c>
      <c r="Q61" s="32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4.25" customHeight="1" x14ac:dyDescent="0.2">
      <c r="A62" s="1"/>
      <c r="B62" s="355" t="s">
        <v>21</v>
      </c>
      <c r="C62" s="17">
        <f t="shared" si="1"/>
        <v>58</v>
      </c>
      <c r="D62" s="34">
        <v>45961</v>
      </c>
      <c r="E62" s="389">
        <v>10</v>
      </c>
      <c r="F62" s="20" t="s">
        <v>22</v>
      </c>
      <c r="G62" s="20" t="s">
        <v>146</v>
      </c>
      <c r="H62" s="36" t="s">
        <v>19</v>
      </c>
      <c r="I62" s="36" t="s">
        <v>29</v>
      </c>
      <c r="J62" s="20" t="s">
        <v>123</v>
      </c>
      <c r="K62" s="36"/>
      <c r="L62" s="22">
        <f>IF(B62="","",IF(I62="CompteCourant",IF(IF(ISNA(VLOOKUP(B62,DATA!$A$1:$A$16,1,0)),"",VLOOKUP(B62,DATA!$A$1:$A$16,1,0))="",L61+E62,L61-E62),L61))</f>
        <v>4218.5999999999985</v>
      </c>
      <c r="M62" s="23">
        <f>IF(B62="","",IF(I62="Coffre",IF(IF(ISNA(VLOOKUP(B62,DATA!$A$1:$A$16,1,0)),"",VLOOKUP(B62,DATA!$A$1:$A$16,1,0))="",M61+E62,M61-E62),M61))</f>
        <v>2242.2000000000003</v>
      </c>
      <c r="N62" s="23">
        <f>IF(B62="","",IF(I62="CompteEpargne",IF(IF(ISNA(VLOOKUP(B62,DATA!$A$1:$A$16,1,0)),"",VLOOKUP(B62,DATA!$A$1:$A$16,1,0))="",N61+E62,N61-E62),N61))</f>
        <v>42.64</v>
      </c>
      <c r="O62" s="32">
        <f>IF(B62="","",IF(J62="CompteEpargne",IF(IF(ISNA(VLOOKUP(B62,DATA!$A$1:$A$16,1,0)),"",VLOOKUP(B62,DATA!$A$1:$A$16,1,0))="",O61+E62,O61-E62),O61))</f>
        <v>42.64</v>
      </c>
      <c r="P62" s="22">
        <f t="shared" si="0"/>
        <v>6546.08</v>
      </c>
      <c r="Q62" s="32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4.25" customHeight="1" x14ac:dyDescent="0.2">
      <c r="A63" s="1"/>
      <c r="B63" s="355" t="s">
        <v>21</v>
      </c>
      <c r="C63" s="17">
        <f t="shared" si="1"/>
        <v>59</v>
      </c>
      <c r="D63" s="34">
        <v>45961</v>
      </c>
      <c r="E63" s="389">
        <v>17.760000000000002</v>
      </c>
      <c r="F63" s="20" t="s">
        <v>22</v>
      </c>
      <c r="G63" s="20" t="s">
        <v>147</v>
      </c>
      <c r="H63" s="36" t="s">
        <v>19</v>
      </c>
      <c r="I63" s="36" t="s">
        <v>29</v>
      </c>
      <c r="J63" s="20" t="s">
        <v>34</v>
      </c>
      <c r="K63" s="36"/>
      <c r="L63" s="22">
        <f>IF(B63="","",IF(I63="CompteCourant",IF(IF(ISNA(VLOOKUP(B63,DATA!$A$1:$A$16,1,0)),"",VLOOKUP(B63,DATA!$A$1:$A$16,1,0))="",L62+E63,L62-E63),L62))</f>
        <v>4236.3599999999988</v>
      </c>
      <c r="M63" s="23">
        <f>IF(B63="","",IF(I63="Coffre",IF(IF(ISNA(VLOOKUP(B63,DATA!$A$1:$A$16,1,0)),"",VLOOKUP(B63,DATA!$A$1:$A$16,1,0))="",M62+E63,M62-E63),M62))</f>
        <v>2242.2000000000003</v>
      </c>
      <c r="N63" s="23">
        <f>IF(B63="","",IF(I63="CompteEpargne",IF(IF(ISNA(VLOOKUP(B63,DATA!$A$1:$A$16,1,0)),"",VLOOKUP(B63,DATA!$A$1:$A$16,1,0))="",N62+E63,N62-E63),N62))</f>
        <v>42.64</v>
      </c>
      <c r="O63" s="32">
        <f>IF(B63="","",IF(J63="CompteEpargne",IF(IF(ISNA(VLOOKUP(B63,DATA!$A$1:$A$16,1,0)),"",VLOOKUP(B63,DATA!$A$1:$A$16,1,0))="",O62+E63,O62-E63),O62))</f>
        <v>42.64</v>
      </c>
      <c r="P63" s="22">
        <f t="shared" si="0"/>
        <v>6563.84</v>
      </c>
      <c r="Q63" s="32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4.25" customHeight="1" x14ac:dyDescent="0.2">
      <c r="A64" s="1"/>
      <c r="B64" s="355" t="s">
        <v>21</v>
      </c>
      <c r="C64" s="17">
        <f t="shared" si="1"/>
        <v>60</v>
      </c>
      <c r="D64" s="34">
        <v>45964</v>
      </c>
      <c r="E64" s="389">
        <v>218.1</v>
      </c>
      <c r="F64" s="20" t="s">
        <v>22</v>
      </c>
      <c r="G64" s="20" t="s">
        <v>147</v>
      </c>
      <c r="H64" s="36" t="s">
        <v>19</v>
      </c>
      <c r="I64" s="36" t="s">
        <v>29</v>
      </c>
      <c r="J64" s="20" t="s">
        <v>34</v>
      </c>
      <c r="K64" s="36"/>
      <c r="L64" s="22">
        <f>IF(B64="","",IF(I64="CompteCourant",IF(IF(ISNA(VLOOKUP(B64,DATA!$A$1:$A$16,1,0)),"",VLOOKUP(B64,DATA!$A$1:$A$16,1,0))="",L63+E64,L63-E64),L63))</f>
        <v>4454.4599999999991</v>
      </c>
      <c r="M64" s="23">
        <f>IF(B64="","",IF(I64="Coffre",IF(IF(ISNA(VLOOKUP(B64,DATA!$A$1:$A$16,1,0)),"",VLOOKUP(B64,DATA!$A$1:$A$16,1,0))="",M63+E64,M63-E64),M63))</f>
        <v>2242.2000000000003</v>
      </c>
      <c r="N64" s="23">
        <f>IF(B64="","",IF(I64="CompteEpargne",IF(IF(ISNA(VLOOKUP(B64,DATA!$A$1:$A$16,1,0)),"",VLOOKUP(B64,DATA!$A$1:$A$16,1,0))="",N63+E64,N63-E64),N63))</f>
        <v>42.64</v>
      </c>
      <c r="O64" s="32">
        <f>IF(B64="","",IF(J64="CompteEpargne",IF(IF(ISNA(VLOOKUP(B64,DATA!$A$1:$A$16,1,0)),"",VLOOKUP(B64,DATA!$A$1:$A$16,1,0))="",O63+E64,O63-E64),O63))</f>
        <v>42.64</v>
      </c>
      <c r="P64" s="22">
        <f t="shared" si="0"/>
        <v>6781.9400000000005</v>
      </c>
      <c r="Q64" s="32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4.25" customHeight="1" x14ac:dyDescent="0.2">
      <c r="A65" s="1"/>
      <c r="B65" s="355" t="s">
        <v>124</v>
      </c>
      <c r="C65" s="17">
        <f t="shared" si="1"/>
        <v>61</v>
      </c>
      <c r="D65" s="34">
        <v>45965</v>
      </c>
      <c r="E65" s="389">
        <v>562</v>
      </c>
      <c r="F65" s="20" t="s">
        <v>148</v>
      </c>
      <c r="G65" s="20" t="s">
        <v>149</v>
      </c>
      <c r="H65" s="36" t="s">
        <v>19</v>
      </c>
      <c r="I65" s="36" t="s">
        <v>29</v>
      </c>
      <c r="J65" s="20"/>
      <c r="K65" s="36"/>
      <c r="L65" s="22">
        <f>IF(B65="","",IF(I65="CompteCourant",IF(IF(ISNA(VLOOKUP(B65,DATA!$A$1:$A$16,1,0)),"",VLOOKUP(B65,DATA!$A$1:$A$16,1,0))="",L64+E65,L64-E65),L64))</f>
        <v>3892.4599999999991</v>
      </c>
      <c r="M65" s="23">
        <f>IF(B65="","",IF(I65="Coffre",IF(IF(ISNA(VLOOKUP(B65,DATA!$A$1:$A$16,1,0)),"",VLOOKUP(B65,DATA!$A$1:$A$16,1,0))="",M64+E65,M64-E65),M64))</f>
        <v>2242.2000000000003</v>
      </c>
      <c r="N65" s="23">
        <f>IF(B65="","",IF(I65="CompteEpargne",IF(IF(ISNA(VLOOKUP(B65,DATA!$A$1:$A$16,1,0)),"",VLOOKUP(B65,DATA!$A$1:$A$16,1,0))="",N64+E65,N64-E65),N64))</f>
        <v>42.64</v>
      </c>
      <c r="O65" s="32">
        <f>IF(B65="","",IF(J65="CompteEpargne",IF(IF(ISNA(VLOOKUP(B65,DATA!$A$1:$A$16,1,0)),"",VLOOKUP(B65,DATA!$A$1:$A$16,1,0))="",O64+E65,O64-E65),O64))</f>
        <v>42.64</v>
      </c>
      <c r="P65" s="22">
        <f t="shared" si="0"/>
        <v>6219.9400000000005</v>
      </c>
      <c r="Q65" s="32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4.25" customHeight="1" x14ac:dyDescent="0.2">
      <c r="A66" s="1"/>
      <c r="B66" s="355" t="s">
        <v>116</v>
      </c>
      <c r="C66" s="17">
        <f t="shared" si="1"/>
        <v>62</v>
      </c>
      <c r="D66" s="34">
        <v>45965</v>
      </c>
      <c r="E66" s="389">
        <v>8</v>
      </c>
      <c r="F66" s="20" t="s">
        <v>22</v>
      </c>
      <c r="G66" s="20" t="s">
        <v>150</v>
      </c>
      <c r="H66" s="36" t="s">
        <v>19</v>
      </c>
      <c r="I66" s="36" t="s">
        <v>29</v>
      </c>
      <c r="J66" s="20"/>
      <c r="K66" s="36"/>
      <c r="L66" s="22">
        <f>IF(B66="","",IF(I66="CompteCourant",IF(IF(ISNA(VLOOKUP(B66,DATA!$A$1:$A$16,1,0)),"",VLOOKUP(B66,DATA!$A$1:$A$16,1,0))="",L65+E66,L65-E66),L65))</f>
        <v>3900.4599999999991</v>
      </c>
      <c r="M66" s="23">
        <f>IF(B66="","",IF(I66="Coffre",IF(IF(ISNA(VLOOKUP(B66,DATA!$A$1:$A$16,1,0)),"",VLOOKUP(B66,DATA!$A$1:$A$16,1,0))="",M65+E66,M65-E66),M65))</f>
        <v>2242.2000000000003</v>
      </c>
      <c r="N66" s="23">
        <f>IF(B66="","",IF(I66="CompteEpargne",IF(IF(ISNA(VLOOKUP(B66,DATA!$A$1:$A$16,1,0)),"",VLOOKUP(B66,DATA!$A$1:$A$16,1,0))="",N65+E66,N65-E66),N65))</f>
        <v>42.64</v>
      </c>
      <c r="O66" s="32">
        <f>IF(B66="","",IF(J66="CompteEpargne",IF(IF(ISNA(VLOOKUP(B66,DATA!$A$1:$A$16,1,0)),"",VLOOKUP(B66,DATA!$A$1:$A$16,1,0))="",O65+E66,O65-E66),O65))</f>
        <v>42.64</v>
      </c>
      <c r="P66" s="22">
        <f t="shared" si="0"/>
        <v>6227.9400000000005</v>
      </c>
      <c r="Q66" s="32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4.25" customHeight="1" x14ac:dyDescent="0.2">
      <c r="A67" s="1"/>
      <c r="B67" s="355" t="s">
        <v>21</v>
      </c>
      <c r="C67" s="17">
        <f t="shared" si="1"/>
        <v>63</v>
      </c>
      <c r="D67" s="34">
        <v>45965</v>
      </c>
      <c r="E67" s="389">
        <v>165.78</v>
      </c>
      <c r="F67" s="20" t="s">
        <v>22</v>
      </c>
      <c r="G67" s="20" t="s">
        <v>151</v>
      </c>
      <c r="H67" s="36" t="s">
        <v>19</v>
      </c>
      <c r="I67" s="36" t="s">
        <v>29</v>
      </c>
      <c r="J67" s="20"/>
      <c r="K67" s="36"/>
      <c r="L67" s="22">
        <f>IF(B67="","",IF(I67="CompteCourant",IF(IF(ISNA(VLOOKUP(B67,DATA!$A$1:$A$16,1,0)),"",VLOOKUP(B67,DATA!$A$1:$A$16,1,0))="",L66+E67,L66-E67),L66))</f>
        <v>4066.2399999999993</v>
      </c>
      <c r="M67" s="23">
        <f>IF(B67="","",IF(I67="Coffre",IF(IF(ISNA(VLOOKUP(B67,DATA!$A$1:$A$16,1,0)),"",VLOOKUP(B67,DATA!$A$1:$A$16,1,0))="",M66+E67,M66-E67),M66))</f>
        <v>2242.2000000000003</v>
      </c>
      <c r="N67" s="23">
        <f>IF(B67="","",IF(I67="CompteEpargne",IF(IF(ISNA(VLOOKUP(B67,DATA!$A$1:$A$16,1,0)),"",VLOOKUP(B67,DATA!$A$1:$A$16,1,0))="",N66+E67,N66-E67),N66))</f>
        <v>42.64</v>
      </c>
      <c r="O67" s="32">
        <f>IF(B67="","",IF(J67="CompteEpargne",IF(IF(ISNA(VLOOKUP(B67,DATA!$A$1:$A$16,1,0)),"",VLOOKUP(B67,DATA!$A$1:$A$16,1,0))="",O66+E67,O66-E67),O66))</f>
        <v>42.64</v>
      </c>
      <c r="P67" s="22">
        <f t="shared" si="0"/>
        <v>6393.72</v>
      </c>
      <c r="Q67" s="32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4.25" customHeight="1" x14ac:dyDescent="0.2">
      <c r="A68" s="1"/>
      <c r="B68" s="33" t="s">
        <v>107</v>
      </c>
      <c r="C68" s="17">
        <f t="shared" si="1"/>
        <v>64</v>
      </c>
      <c r="D68" s="34">
        <v>45972</v>
      </c>
      <c r="E68" s="389">
        <v>650</v>
      </c>
      <c r="F68" s="20" t="s">
        <v>152</v>
      </c>
      <c r="G68" s="20" t="s">
        <v>153</v>
      </c>
      <c r="H68" s="36" t="s">
        <v>19</v>
      </c>
      <c r="I68" s="36" t="s">
        <v>29</v>
      </c>
      <c r="J68" s="20"/>
      <c r="K68" s="36"/>
      <c r="L68" s="22">
        <f>IF(B68="","",IF(I68="CompteCourant",IF(IF(ISNA(VLOOKUP(B68,DATA!$A$1:$A$16,1,0)),"",VLOOKUP(B68,DATA!$A$1:$A$16,1,0))="",L67+E68,L67-E68),L67))</f>
        <v>3416.2399999999993</v>
      </c>
      <c r="M68" s="23">
        <f>IF(B68="","",IF(I68="Coffre",IF(IF(ISNA(VLOOKUP(B68,DATA!$A$1:$A$16,1,0)),"",VLOOKUP(B68,DATA!$A$1:$A$16,1,0))="",M67+E68,M67-E68),M67))</f>
        <v>2242.2000000000003</v>
      </c>
      <c r="N68" s="23">
        <f>IF(B68="","",IF(I68="CompteEpargne",IF(IF(ISNA(VLOOKUP(B68,DATA!$A$1:$A$16,1,0)),"",VLOOKUP(B68,DATA!$A$1:$A$16,1,0))="",N67+E68,N67-E68),N67))</f>
        <v>42.64</v>
      </c>
      <c r="O68" s="32">
        <f>IF(B68="","",IF(J68="CompteEpargne",IF(IF(ISNA(VLOOKUP(B68,DATA!$A$1:$A$16,1,0)),"",VLOOKUP(B68,DATA!$A$1:$A$16,1,0))="",O67+E68,O67-E68),O67))</f>
        <v>42.64</v>
      </c>
      <c r="P68" s="22">
        <f t="shared" si="0"/>
        <v>5743.72</v>
      </c>
      <c r="Q68" s="32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4.25" customHeight="1" x14ac:dyDescent="0.2">
      <c r="A69" s="1"/>
      <c r="B69" s="33" t="s">
        <v>21</v>
      </c>
      <c r="C69" s="17">
        <f t="shared" si="1"/>
        <v>65</v>
      </c>
      <c r="D69" s="34">
        <v>45973</v>
      </c>
      <c r="E69" s="389">
        <v>19.739999999999998</v>
      </c>
      <c r="F69" s="20" t="s">
        <v>22</v>
      </c>
      <c r="G69" s="20" t="s">
        <v>151</v>
      </c>
      <c r="H69" s="36" t="s">
        <v>19</v>
      </c>
      <c r="I69" s="36" t="s">
        <v>29</v>
      </c>
      <c r="J69" s="20"/>
      <c r="K69" s="36"/>
      <c r="L69" s="22">
        <f>IF(B69="","",IF(I69="CompteCourant",IF(IF(ISNA(VLOOKUP(B69,DATA!$A$1:$A$16,1,0)),"",VLOOKUP(B69,DATA!$A$1:$A$16,1,0))="",L68+E69,L68-E69),L68))</f>
        <v>3435.9799999999991</v>
      </c>
      <c r="M69" s="23">
        <f>IF(B69="","",IF(I69="Coffre",IF(IF(ISNA(VLOOKUP(B69,DATA!$A$1:$A$16,1,0)),"",VLOOKUP(B69,DATA!$A$1:$A$16,1,0))="",M68+E69,M68-E69),M68))</f>
        <v>2242.2000000000003</v>
      </c>
      <c r="N69" s="23">
        <f>IF(B69="","",IF(I69="CompteEpargne",IF(IF(ISNA(VLOOKUP(B69,DATA!$A$1:$A$16,1,0)),"",VLOOKUP(B69,DATA!$A$1:$A$16,1,0))="",N68+E69,N68-E69),N68))</f>
        <v>42.64</v>
      </c>
      <c r="O69" s="32">
        <f>IF(B69="","",IF(J69="CompteEpargne",IF(IF(ISNA(VLOOKUP(B69,DATA!$A$1:$A$16,1,0)),"",VLOOKUP(B69,DATA!$A$1:$A$16,1,0))="",O68+E69,O68-E69),O68))</f>
        <v>42.64</v>
      </c>
      <c r="P69" s="22">
        <f t="shared" si="0"/>
        <v>5763.46</v>
      </c>
      <c r="Q69" s="32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4.25" customHeight="1" x14ac:dyDescent="0.2">
      <c r="A70" s="1"/>
      <c r="B70" s="33" t="s">
        <v>124</v>
      </c>
      <c r="C70" s="17">
        <f t="shared" si="1"/>
        <v>66</v>
      </c>
      <c r="D70" s="34">
        <v>45974</v>
      </c>
      <c r="E70" s="389">
        <v>74.099999999999994</v>
      </c>
      <c r="F70" s="20" t="s">
        <v>154</v>
      </c>
      <c r="G70" s="20" t="s">
        <v>155</v>
      </c>
      <c r="H70" s="36" t="s">
        <v>19</v>
      </c>
      <c r="I70" s="36" t="s">
        <v>29</v>
      </c>
      <c r="J70" s="20"/>
      <c r="K70" s="36"/>
      <c r="L70" s="22">
        <f>IF(B70="","",IF(I70="CompteCourant",IF(IF(ISNA(VLOOKUP(B70,DATA!$A$1:$A$16,1,0)),"",VLOOKUP(B70,DATA!$A$1:$A$16,1,0))="",L69+E70,L69-E70),L69))</f>
        <v>3361.8799999999992</v>
      </c>
      <c r="M70" s="23">
        <f>IF(B70="","",IF(I70="Coffre",IF(IF(ISNA(VLOOKUP(B70,DATA!$A$1:$A$16,1,0)),"",VLOOKUP(B70,DATA!$A$1:$A$16,1,0))="",M69+E70,M69-E70),M69))</f>
        <v>2242.2000000000003</v>
      </c>
      <c r="N70" s="23">
        <f>IF(B70="","",IF(I70="CompteEpargne",IF(IF(ISNA(VLOOKUP(B70,DATA!$A$1:$A$16,1,0)),"",VLOOKUP(B70,DATA!$A$1:$A$16,1,0))="",N69+E70,N69-E70),N69))</f>
        <v>42.64</v>
      </c>
      <c r="O70" s="32">
        <f>IF(B70="","",IF(J70="CompteEpargne",IF(IF(ISNA(VLOOKUP(B70,DATA!$A$1:$A$16,1,0)),"",VLOOKUP(B70,DATA!$A$1:$A$16,1,0))="",O69+E70,O69-E70),O69))</f>
        <v>42.64</v>
      </c>
      <c r="P70" s="22">
        <f t="shared" si="0"/>
        <v>5689.3600000000006</v>
      </c>
      <c r="Q70" s="32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4.25" customHeight="1" x14ac:dyDescent="0.2">
      <c r="A71" s="1"/>
      <c r="B71" s="33" t="s">
        <v>26</v>
      </c>
      <c r="C71" s="17">
        <f t="shared" si="1"/>
        <v>67</v>
      </c>
      <c r="D71" s="34">
        <v>45976</v>
      </c>
      <c r="E71" s="389">
        <v>18</v>
      </c>
      <c r="F71" s="20" t="s">
        <v>156</v>
      </c>
      <c r="G71" s="20" t="s">
        <v>157</v>
      </c>
      <c r="H71" s="36" t="s">
        <v>19</v>
      </c>
      <c r="I71" s="36" t="s">
        <v>29</v>
      </c>
      <c r="J71" s="20" t="s">
        <v>158</v>
      </c>
      <c r="K71" s="36"/>
      <c r="L71" s="22">
        <f>IF(B71="","",IF(I71="CompteCourant",IF(IF(ISNA(VLOOKUP(B71,DATA!$A$1:$A$16,1,0)),"",VLOOKUP(B71,DATA!$A$1:$A$16,1,0))="",L70+E71,L70-E71),L70))</f>
        <v>3343.8799999999992</v>
      </c>
      <c r="M71" s="23">
        <f>IF(B71="","",IF(I71="Coffre",IF(IF(ISNA(VLOOKUP(B71,DATA!$A$1:$A$16,1,0)),"",VLOOKUP(B71,DATA!$A$1:$A$16,1,0))="",M70+E71,M70-E71),M70))</f>
        <v>2242.2000000000003</v>
      </c>
      <c r="N71" s="23">
        <f>IF(B71="","",IF(I71="CompteEpargne",IF(IF(ISNA(VLOOKUP(B71,DATA!$A$1:$A$16,1,0)),"",VLOOKUP(B71,DATA!$A$1:$A$16,1,0))="",N70+E71,N70-E71),N70))</f>
        <v>42.64</v>
      </c>
      <c r="O71" s="32">
        <f>IF(B71="","",IF(J71="CompteEpargne",IF(IF(ISNA(VLOOKUP(B71,DATA!$A$1:$A$16,1,0)),"",VLOOKUP(B71,DATA!$A$1:$A$16,1,0))="",O70+E71,O70-E71),O70))</f>
        <v>42.64</v>
      </c>
      <c r="P71" s="22">
        <f t="shared" si="0"/>
        <v>5671.3600000000006</v>
      </c>
      <c r="Q71" s="32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4.25" customHeight="1" x14ac:dyDescent="0.2">
      <c r="A72" s="1"/>
      <c r="B72" s="33" t="s">
        <v>26</v>
      </c>
      <c r="C72" s="17">
        <f t="shared" si="1"/>
        <v>68</v>
      </c>
      <c r="D72" s="34">
        <v>45976</v>
      </c>
      <c r="E72" s="389">
        <v>740</v>
      </c>
      <c r="F72" s="20" t="s">
        <v>159</v>
      </c>
      <c r="G72" s="20" t="s">
        <v>157</v>
      </c>
      <c r="H72" s="36" t="s">
        <v>19</v>
      </c>
      <c r="I72" s="36" t="s">
        <v>29</v>
      </c>
      <c r="J72" s="20"/>
      <c r="K72" s="36"/>
      <c r="L72" s="22">
        <f>IF(B72="","",IF(I72="CompteCourant",IF(IF(ISNA(VLOOKUP(B72,DATA!$A$1:$A$16,1,0)),"",VLOOKUP(B72,DATA!$A$1:$A$16,1,0))="",L71+E72,L71-E72),L71))</f>
        <v>2603.8799999999992</v>
      </c>
      <c r="M72" s="23">
        <f>IF(B72="","",IF(I72="Coffre",IF(IF(ISNA(VLOOKUP(B72,DATA!$A$1:$A$16,1,0)),"",VLOOKUP(B72,DATA!$A$1:$A$16,1,0))="",M71+E72,M71-E72),M71))</f>
        <v>2242.2000000000003</v>
      </c>
      <c r="N72" s="23">
        <f>IF(B72="","",IF(I72="CompteEpargne",IF(IF(ISNA(VLOOKUP(B72,DATA!$A$1:$A$16,1,0)),"",VLOOKUP(B72,DATA!$A$1:$A$16,1,0))="",N71+E72,N71-E72),N71))</f>
        <v>42.64</v>
      </c>
      <c r="O72" s="32">
        <f>IF(B72="","",IF(J72="CompteEpargne",IF(IF(ISNA(VLOOKUP(B72,DATA!$A$1:$A$16,1,0)),"",VLOOKUP(B72,DATA!$A$1:$A$16,1,0))="",O71+E72,O71-E72),O71))</f>
        <v>42.64</v>
      </c>
      <c r="P72" s="22">
        <f t="shared" si="0"/>
        <v>4931.3600000000006</v>
      </c>
      <c r="Q72" s="32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4.25" customHeight="1" x14ac:dyDescent="0.2">
      <c r="A73" s="1"/>
      <c r="B73" s="33" t="s">
        <v>124</v>
      </c>
      <c r="C73" s="17">
        <f t="shared" si="1"/>
        <v>69</v>
      </c>
      <c r="D73" s="34">
        <v>45978</v>
      </c>
      <c r="E73" s="389">
        <v>305.8</v>
      </c>
      <c r="F73" s="20" t="s">
        <v>396</v>
      </c>
      <c r="G73" s="20" t="s">
        <v>160</v>
      </c>
      <c r="H73" s="36" t="s">
        <v>19</v>
      </c>
      <c r="I73" s="36" t="s">
        <v>29</v>
      </c>
      <c r="J73" s="20"/>
      <c r="K73" s="36"/>
      <c r="L73" s="22">
        <f>IF(B73="","",IF(I73="CompteCourant",IF(IF(ISNA(VLOOKUP(B73,DATA!$A$1:$A$16,1,0)),"",VLOOKUP(B73,DATA!$A$1:$A$16,1,0))="",L72+E73,L72-E73),L72))</f>
        <v>2298.079999999999</v>
      </c>
      <c r="M73" s="23">
        <f>IF(B73="","",IF(I73="Coffre",IF(IF(ISNA(VLOOKUP(B73,DATA!$A$1:$A$16,1,0)),"",VLOOKUP(B73,DATA!$A$1:$A$16,1,0))="",M72+E73,M72-E73),M72))</f>
        <v>2242.2000000000003</v>
      </c>
      <c r="N73" s="23">
        <f>IF(B73="","",IF(I73="CompteEpargne",IF(IF(ISNA(VLOOKUP(B73,DATA!$A$1:$A$16,1,0)),"",VLOOKUP(B73,DATA!$A$1:$A$16,1,0))="",N72+E73,N72-E73),N72))</f>
        <v>42.64</v>
      </c>
      <c r="O73" s="32">
        <f>IF(B73="","",IF(J73="CompteEpargne",IF(IF(ISNA(VLOOKUP(B73,DATA!$A$1:$A$16,1,0)),"",VLOOKUP(B73,DATA!$A$1:$A$16,1,0))="",O72+E73,O72-E73),O72))</f>
        <v>42.64</v>
      </c>
      <c r="P73" s="22">
        <f t="shared" si="0"/>
        <v>4625.5599999999995</v>
      </c>
      <c r="Q73" s="32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4.25" customHeight="1" x14ac:dyDescent="0.2">
      <c r="A74" s="1"/>
      <c r="B74" s="33" t="s">
        <v>161</v>
      </c>
      <c r="C74" s="17">
        <f t="shared" si="1"/>
        <v>70</v>
      </c>
      <c r="D74" s="34">
        <v>45978</v>
      </c>
      <c r="E74" s="35">
        <v>114.8</v>
      </c>
      <c r="F74" s="20" t="s">
        <v>162</v>
      </c>
      <c r="G74" s="20" t="s">
        <v>163</v>
      </c>
      <c r="H74" s="36" t="s">
        <v>19</v>
      </c>
      <c r="I74" s="36" t="s">
        <v>29</v>
      </c>
      <c r="J74" s="20"/>
      <c r="K74" s="36"/>
      <c r="L74" s="22">
        <f>IF(B74="","",IF(I74="CompteCourant",IF(IF(ISNA(VLOOKUP(B74,DATA!$A$1:$A$16,1,0)),"",VLOOKUP(B74,DATA!$A$1:$A$16,1,0))="",L73+E74,L73-E74),L73))</f>
        <v>2183.2799999999988</v>
      </c>
      <c r="M74" s="23">
        <f>IF(B74="","",IF(I74="Coffre",IF(IF(ISNA(VLOOKUP(B74,DATA!$A$1:$A$16,1,0)),"",VLOOKUP(B74,DATA!$A$1:$A$16,1,0))="",M73+E74,M73-E74),M73))</f>
        <v>2242.2000000000003</v>
      </c>
      <c r="N74" s="23">
        <f>IF(B74="","",IF(I74="CompteEpargne",IF(IF(ISNA(VLOOKUP(B74,DATA!$A$1:$A$16,1,0)),"",VLOOKUP(B74,DATA!$A$1:$A$16,1,0))="",N73+E74,N73-E74),N73))</f>
        <v>42.64</v>
      </c>
      <c r="O74" s="32">
        <f>IF(B74="","",IF(J74="CompteEpargne",IF(IF(ISNA(VLOOKUP(B74,DATA!$A$1:$A$16,1,0)),"",VLOOKUP(B74,DATA!$A$1:$A$16,1,0))="",O73+E74,O73-E74),O73))</f>
        <v>42.64</v>
      </c>
      <c r="P74" s="22">
        <f t="shared" si="0"/>
        <v>4510.76</v>
      </c>
      <c r="Q74" s="32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4.25" customHeight="1" x14ac:dyDescent="0.2">
      <c r="A75" s="1"/>
      <c r="B75" s="357" t="s">
        <v>107</v>
      </c>
      <c r="C75" s="17">
        <f t="shared" si="1"/>
        <v>71</v>
      </c>
      <c r="D75" s="34">
        <v>45978</v>
      </c>
      <c r="E75" s="35">
        <v>51.5</v>
      </c>
      <c r="F75" s="20" t="s">
        <v>164</v>
      </c>
      <c r="G75" s="356" t="s">
        <v>144</v>
      </c>
      <c r="H75" s="36" t="s">
        <v>19</v>
      </c>
      <c r="I75" s="36" t="s">
        <v>29</v>
      </c>
      <c r="J75" s="20"/>
      <c r="K75" s="36"/>
      <c r="L75" s="22">
        <f>IF(B75="","",IF(I75="CompteCourant",IF(IF(ISNA(VLOOKUP(B75,DATA!$A$1:$A$16,1,0)),"",VLOOKUP(B75,DATA!$A$1:$A$16,1,0))="",L74+E75,L74-E75),L74))</f>
        <v>2131.7799999999988</v>
      </c>
      <c r="M75" s="23">
        <f>IF(B75="","",IF(I75="Coffre",IF(IF(ISNA(VLOOKUP(B75,DATA!$A$1:$A$16,1,0)),"",VLOOKUP(B75,DATA!$A$1:$A$16,1,0))="",M74+E75,M74-E75),M74))</f>
        <v>2242.2000000000003</v>
      </c>
      <c r="N75" s="23">
        <f>IF(B75="","",IF(I75="CompteEpargne",IF(IF(ISNA(VLOOKUP(B75,DATA!$A$1:$A$16,1,0)),"",VLOOKUP(B75,DATA!$A$1:$A$16,1,0))="",N74+E75,N74-E75),N74))</f>
        <v>42.64</v>
      </c>
      <c r="O75" s="32">
        <f>IF(B75="","",IF(J75="CompteEpargne",IF(IF(ISNA(VLOOKUP(B75,DATA!$A$1:$A$16,1,0)),"",VLOOKUP(B75,DATA!$A$1:$A$16,1,0))="",O74+E75,O74-E75),O74))</f>
        <v>42.64</v>
      </c>
      <c r="P75" s="22">
        <f t="shared" si="0"/>
        <v>4459.26</v>
      </c>
      <c r="Q75" s="32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4.25" customHeight="1" x14ac:dyDescent="0.2">
      <c r="A76" s="1"/>
      <c r="B76" s="357" t="s">
        <v>107</v>
      </c>
      <c r="C76" s="17">
        <f t="shared" si="1"/>
        <v>72</v>
      </c>
      <c r="D76" s="34">
        <v>45978</v>
      </c>
      <c r="E76" s="35">
        <v>45</v>
      </c>
      <c r="F76" s="20" t="s">
        <v>165</v>
      </c>
      <c r="G76" s="356" t="s">
        <v>144</v>
      </c>
      <c r="H76" s="36" t="s">
        <v>19</v>
      </c>
      <c r="I76" s="36" t="s">
        <v>29</v>
      </c>
      <c r="J76" s="20"/>
      <c r="K76" s="36"/>
      <c r="L76" s="22">
        <f>IF(B76="","",IF(I76="CompteCourant",IF(IF(ISNA(VLOOKUP(B76,DATA!$A$1:$A$16,1,0)),"",VLOOKUP(B76,DATA!$A$1:$A$16,1,0))="",L75+E76,L75-E76),L75))</f>
        <v>2086.7799999999988</v>
      </c>
      <c r="M76" s="23">
        <f>IF(B76="","",IF(I76="Coffre",IF(IF(ISNA(VLOOKUP(B76,DATA!$A$1:$A$16,1,0)),"",VLOOKUP(B76,DATA!$A$1:$A$16,1,0))="",M75+E76,M75-E76),M75))</f>
        <v>2242.2000000000003</v>
      </c>
      <c r="N76" s="23">
        <f>IF(B76="","",IF(I76="CompteEpargne",IF(IF(ISNA(VLOOKUP(B76,DATA!$A$1:$A$16,1,0)),"",VLOOKUP(B76,DATA!$A$1:$A$16,1,0))="",N75+E76,N75-E76),N75))</f>
        <v>42.64</v>
      </c>
      <c r="O76" s="32">
        <f>IF(B76="","",IF(J76="CompteEpargne",IF(IF(ISNA(VLOOKUP(B76,DATA!$A$1:$A$16,1,0)),"",VLOOKUP(B76,DATA!$A$1:$A$16,1,0))="",O75+E76,O75-E76),O75))</f>
        <v>42.64</v>
      </c>
      <c r="P76" s="22">
        <f t="shared" si="0"/>
        <v>4414.26</v>
      </c>
      <c r="Q76" s="32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4.25" customHeight="1" x14ac:dyDescent="0.2">
      <c r="A77" s="1"/>
      <c r="B77" s="33" t="s">
        <v>21</v>
      </c>
      <c r="C77" s="17">
        <f t="shared" si="1"/>
        <v>73</v>
      </c>
      <c r="D77" s="34">
        <v>45978</v>
      </c>
      <c r="E77" s="35">
        <v>19.73</v>
      </c>
      <c r="F77" s="20" t="s">
        <v>22</v>
      </c>
      <c r="G77" s="356" t="s">
        <v>397</v>
      </c>
      <c r="H77" s="36" t="s">
        <v>19</v>
      </c>
      <c r="I77" s="36" t="s">
        <v>29</v>
      </c>
      <c r="J77" s="20"/>
      <c r="K77" s="36"/>
      <c r="L77" s="22">
        <f>IF(B77="","",IF(I77="CompteCourant",IF(IF(ISNA(VLOOKUP(B77,DATA!$A$1:$A$16,1,0)),"",VLOOKUP(B77,DATA!$A$1:$A$16,1,0))="",L76+E77,L76-E77),L76))</f>
        <v>2106.5099999999989</v>
      </c>
      <c r="M77" s="23">
        <f>IF(B77="","",IF(I77="Coffre",IF(IF(ISNA(VLOOKUP(B77,DATA!$A$1:$A$16,1,0)),"",VLOOKUP(B77,DATA!$A$1:$A$16,1,0))="",M76+E77,M76-E77),M76))</f>
        <v>2242.2000000000003</v>
      </c>
      <c r="N77" s="23">
        <f>IF(B77="","",IF(I77="CompteEpargne",IF(IF(ISNA(VLOOKUP(B77,DATA!$A$1:$A$16,1,0)),"",VLOOKUP(B77,DATA!$A$1:$A$16,1,0))="",N76+E77,N76-E77),N76))</f>
        <v>42.64</v>
      </c>
      <c r="O77" s="32">
        <f>IF(B77="","",IF(J77="CompteEpargne",IF(IF(ISNA(VLOOKUP(B77,DATA!$A$1:$A$16,1,0)),"",VLOOKUP(B77,DATA!$A$1:$A$16,1,0))="",O76+E77,O76-E77),O76))</f>
        <v>42.64</v>
      </c>
      <c r="P77" s="22">
        <f t="shared" si="0"/>
        <v>4433.99</v>
      </c>
      <c r="Q77" s="32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4.25" customHeight="1" x14ac:dyDescent="0.2">
      <c r="A78" s="1"/>
      <c r="B78" s="33" t="s">
        <v>21</v>
      </c>
      <c r="C78" s="17">
        <f t="shared" si="1"/>
        <v>74</v>
      </c>
      <c r="D78" s="34">
        <v>45979</v>
      </c>
      <c r="E78" s="35">
        <v>3.95</v>
      </c>
      <c r="F78" s="20" t="s">
        <v>22</v>
      </c>
      <c r="G78" s="356" t="s">
        <v>397</v>
      </c>
      <c r="H78" s="36" t="s">
        <v>19</v>
      </c>
      <c r="I78" s="36" t="s">
        <v>29</v>
      </c>
      <c r="J78" s="20"/>
      <c r="K78" s="36"/>
      <c r="L78" s="22">
        <f>IF(B78="","",IF(I78="CompteCourant",IF(IF(ISNA(VLOOKUP(B78,DATA!$A$1:$A$16,1,0)),"",VLOOKUP(B78,DATA!$A$1:$A$16,1,0))="",L77+E78,L77-E78),L77))</f>
        <v>2110.4599999999987</v>
      </c>
      <c r="M78" s="23">
        <f>IF(B78="","",IF(I78="Coffre",IF(IF(ISNA(VLOOKUP(B78,DATA!$A$1:$A$16,1,0)),"",VLOOKUP(B78,DATA!$A$1:$A$16,1,0))="",M77+E78,M77-E78),M77))</f>
        <v>2242.2000000000003</v>
      </c>
      <c r="N78" s="23">
        <f>IF(B78="","",IF(I78="CompteEpargne",IF(IF(ISNA(VLOOKUP(B78,DATA!$A$1:$A$16,1,0)),"",VLOOKUP(B78,DATA!$A$1:$A$16,1,0))="",N77+E78,N77-E78),N77))</f>
        <v>42.64</v>
      </c>
      <c r="O78" s="32">
        <f>IF(B78="","",IF(J78="CompteEpargne",IF(IF(ISNA(VLOOKUP(B78,DATA!$A$1:$A$16,1,0)),"",VLOOKUP(B78,DATA!$A$1:$A$16,1,0))="",O77+E78,O77-E78),O77))</f>
        <v>42.64</v>
      </c>
      <c r="P78" s="22">
        <f t="shared" si="0"/>
        <v>4437.9399999999996</v>
      </c>
      <c r="Q78" s="32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4.25" customHeight="1" x14ac:dyDescent="0.2">
      <c r="A79" s="1"/>
      <c r="B79" s="33" t="s">
        <v>21</v>
      </c>
      <c r="C79" s="17">
        <f t="shared" si="1"/>
        <v>75</v>
      </c>
      <c r="D79" s="34">
        <v>45979</v>
      </c>
      <c r="E79" s="35">
        <v>14.8</v>
      </c>
      <c r="F79" s="20" t="s">
        <v>22</v>
      </c>
      <c r="G79" s="356" t="s">
        <v>397</v>
      </c>
      <c r="H79" s="36" t="s">
        <v>19</v>
      </c>
      <c r="I79" s="36" t="s">
        <v>29</v>
      </c>
      <c r="J79" s="20"/>
      <c r="K79" s="36"/>
      <c r="L79" s="22">
        <f>IF(B79="","",IF(I79="CompteCourant",IF(IF(ISNA(VLOOKUP(B79,DATA!$A$1:$A$16,1,0)),"",VLOOKUP(B79,DATA!$A$1:$A$16,1,0))="",L78+E79,L78-E79),L78))</f>
        <v>2125.2599999999989</v>
      </c>
      <c r="M79" s="23">
        <f>IF(B79="","",IF(I79="Coffre",IF(IF(ISNA(VLOOKUP(B79,DATA!$A$1:$A$16,1,0)),"",VLOOKUP(B79,DATA!$A$1:$A$16,1,0))="",M78+E79,M78-E79),M78))</f>
        <v>2242.2000000000003</v>
      </c>
      <c r="N79" s="23">
        <f>IF(B79="","",IF(I79="CompteEpargne",IF(IF(ISNA(VLOOKUP(B79,DATA!$A$1:$A$16,1,0)),"",VLOOKUP(B79,DATA!$A$1:$A$16,1,0))="",N78+E79,N78-E79),N78))</f>
        <v>42.64</v>
      </c>
      <c r="O79" s="32">
        <f>IF(B79="","",IF(J79="CompteEpargne",IF(IF(ISNA(VLOOKUP(B79,DATA!$A$1:$A$16,1,0)),"",VLOOKUP(B79,DATA!$A$1:$A$16,1,0))="",O78+E79,O78-E79),O78))</f>
        <v>42.64</v>
      </c>
      <c r="P79" s="22">
        <f t="shared" si="0"/>
        <v>4452.74</v>
      </c>
      <c r="Q79" s="32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4.25" customHeight="1" x14ac:dyDescent="0.2">
      <c r="A80" s="1"/>
      <c r="B80" s="357" t="s">
        <v>107</v>
      </c>
      <c r="C80" s="17">
        <f t="shared" si="1"/>
        <v>76</v>
      </c>
      <c r="D80" s="34">
        <v>45982</v>
      </c>
      <c r="E80" s="35">
        <v>33.5</v>
      </c>
      <c r="F80" s="20" t="s">
        <v>166</v>
      </c>
      <c r="G80" s="356"/>
      <c r="H80" s="36" t="s">
        <v>19</v>
      </c>
      <c r="I80" s="36" t="s">
        <v>29</v>
      </c>
      <c r="J80" s="20"/>
      <c r="K80" s="36"/>
      <c r="L80" s="22">
        <f>IF(B80="","",IF(I80="CompteCourant",IF(IF(ISNA(VLOOKUP(B80,DATA!$A$1:$A$16,1,0)),"",VLOOKUP(B80,DATA!$A$1:$A$16,1,0))="",L79+E80,L79-E80),L79))</f>
        <v>2091.7599999999989</v>
      </c>
      <c r="M80" s="23">
        <f>IF(B80="","",IF(I80="Coffre",IF(IF(ISNA(VLOOKUP(B80,DATA!$A$1:$A$16,1,0)),"",VLOOKUP(B80,DATA!$A$1:$A$16,1,0))="",M79+E80,M79-E80),M79))</f>
        <v>2242.2000000000003</v>
      </c>
      <c r="N80" s="23">
        <f>IF(B80="","",IF(I80="CompteEpargne",IF(IF(ISNA(VLOOKUP(B80,DATA!$A$1:$A$16,1,0)),"",VLOOKUP(B80,DATA!$A$1:$A$16,1,0))="",N79+E80,N79-E80),N79))</f>
        <v>42.64</v>
      </c>
      <c r="O80" s="32">
        <f>IF(B80="","",IF(J80="CompteEpargne",IF(IF(ISNA(VLOOKUP(B80,DATA!$A$1:$A$16,1,0)),"",VLOOKUP(B80,DATA!$A$1:$A$16,1,0))="",O79+E80,O79-E80),O79))</f>
        <v>42.64</v>
      </c>
      <c r="P80" s="22">
        <f t="shared" si="0"/>
        <v>4419.24</v>
      </c>
      <c r="Q80" s="32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4.25" customHeight="1" x14ac:dyDescent="0.2">
      <c r="A81" s="1"/>
      <c r="B81" s="33" t="s">
        <v>21</v>
      </c>
      <c r="C81" s="17">
        <f t="shared" si="1"/>
        <v>77</v>
      </c>
      <c r="D81" s="34">
        <v>45982</v>
      </c>
      <c r="E81" s="35">
        <v>2.96</v>
      </c>
      <c r="F81" s="20" t="s">
        <v>22</v>
      </c>
      <c r="G81" s="20" t="s">
        <v>440</v>
      </c>
      <c r="H81" s="36" t="s">
        <v>19</v>
      </c>
      <c r="I81" s="36" t="s">
        <v>29</v>
      </c>
      <c r="J81" s="20"/>
      <c r="K81" s="36"/>
      <c r="L81" s="22">
        <f>IF(B81="","",IF(I81="CompteCourant",IF(IF(ISNA(VLOOKUP(B81,DATA!$A$1:$A$16,1,0)),"",VLOOKUP(B81,DATA!$A$1:$A$16,1,0))="",L80+E81,L80-E81),L80))</f>
        <v>2094.7199999999989</v>
      </c>
      <c r="M81" s="23">
        <f>IF(B81="","",IF(I81="Coffre",IF(IF(ISNA(VLOOKUP(B81,DATA!$A$1:$A$16,1,0)),"",VLOOKUP(B81,DATA!$A$1:$A$16,1,0))="",M80+E81,M80-E81),M80))</f>
        <v>2242.2000000000003</v>
      </c>
      <c r="N81" s="23">
        <f>IF(B81="","",IF(I81="CompteEpargne",IF(IF(ISNA(VLOOKUP(B81,DATA!$A$1:$A$16,1,0)),"",VLOOKUP(B81,DATA!$A$1:$A$16,1,0))="",N80+E81,N80-E81),N80))</f>
        <v>42.64</v>
      </c>
      <c r="O81" s="32">
        <f>IF(B81="","",IF(J81="CompteEpargne",IF(IF(ISNA(VLOOKUP(B81,DATA!$A$1:$A$16,1,0)),"",VLOOKUP(B81,DATA!$A$1:$A$16,1,0))="",O80+E81,O80-E81),O80))</f>
        <v>42.64</v>
      </c>
      <c r="P81" s="22">
        <f t="shared" si="0"/>
        <v>4422.2</v>
      </c>
      <c r="Q81" s="32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4.25" customHeight="1" x14ac:dyDescent="0.2">
      <c r="A82" s="1"/>
      <c r="B82" s="33" t="s">
        <v>107</v>
      </c>
      <c r="C82" s="17">
        <f t="shared" si="1"/>
        <v>78</v>
      </c>
      <c r="D82" s="34">
        <v>45983</v>
      </c>
      <c r="E82" s="35">
        <v>46.1</v>
      </c>
      <c r="F82" s="20" t="s">
        <v>167</v>
      </c>
      <c r="G82" s="356"/>
      <c r="H82" s="36" t="s">
        <v>19</v>
      </c>
      <c r="I82" s="36" t="s">
        <v>29</v>
      </c>
      <c r="J82" s="20"/>
      <c r="K82" s="36"/>
      <c r="L82" s="22">
        <f>IF(B82="","",IF(I82="CompteCourant",IF(IF(ISNA(VLOOKUP(B82,DATA!$A$1:$A$16,1,0)),"",VLOOKUP(B82,DATA!$A$1:$A$16,1,0))="",L81+E82,L81-E82),L81))</f>
        <v>2048.619999999999</v>
      </c>
      <c r="M82" s="23">
        <f>IF(B82="","",IF(I82="Coffre",IF(IF(ISNA(VLOOKUP(B82,DATA!$A$1:$A$16,1,0)),"",VLOOKUP(B82,DATA!$A$1:$A$16,1,0))="",M81+E82,M81-E82),M81))</f>
        <v>2242.2000000000003</v>
      </c>
      <c r="N82" s="23">
        <f>IF(B82="","",IF(I82="CompteEpargne",IF(IF(ISNA(VLOOKUP(B82,DATA!$A$1:$A$16,1,0)),"",VLOOKUP(B82,DATA!$A$1:$A$16,1,0))="",N81+E82,N81-E82),N81))</f>
        <v>42.64</v>
      </c>
      <c r="O82" s="32">
        <f>IF(B82="","",IF(J82="CompteEpargne",IF(IF(ISNA(VLOOKUP(B82,DATA!$A$1:$A$16,1,0)),"",VLOOKUP(B82,DATA!$A$1:$A$16,1,0))="",O81+E82,O81-E82),O81))</f>
        <v>42.64</v>
      </c>
      <c r="P82" s="22">
        <f t="shared" si="0"/>
        <v>4376.1000000000004</v>
      </c>
      <c r="Q82" s="32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4.25" customHeight="1" x14ac:dyDescent="0.2">
      <c r="A83" s="1"/>
      <c r="B83" s="33" t="s">
        <v>21</v>
      </c>
      <c r="C83" s="17">
        <f t="shared" si="1"/>
        <v>79</v>
      </c>
      <c r="D83" s="34">
        <v>45985</v>
      </c>
      <c r="E83" s="35">
        <v>136.18</v>
      </c>
      <c r="F83" s="20" t="s">
        <v>22</v>
      </c>
      <c r="G83" s="20" t="s">
        <v>440</v>
      </c>
      <c r="H83" s="36" t="s">
        <v>19</v>
      </c>
      <c r="I83" s="36" t="s">
        <v>29</v>
      </c>
      <c r="J83" s="20"/>
      <c r="K83" s="36"/>
      <c r="L83" s="22">
        <f>IF(B83="","",IF(I83="CompteCourant",IF(IF(ISNA(VLOOKUP(B83,DATA!$A$1:$A$16,1,0)),"",VLOOKUP(B83,DATA!$A$1:$A$16,1,0))="",L82+E83,L82-E83),L82))</f>
        <v>2184.7999999999988</v>
      </c>
      <c r="M83" s="23">
        <f>IF(B83="","",IF(I83="Coffre",IF(IF(ISNA(VLOOKUP(B83,DATA!$A$1:$A$16,1,0)),"",VLOOKUP(B83,DATA!$A$1:$A$16,1,0))="",M82+E83,M82-E83),M82))</f>
        <v>2242.2000000000003</v>
      </c>
      <c r="N83" s="23">
        <f>IF(B83="","",IF(I83="CompteEpargne",IF(IF(ISNA(VLOOKUP(B83,DATA!$A$1:$A$16,1,0)),"",VLOOKUP(B83,DATA!$A$1:$A$16,1,0))="",N82+E83,N82-E83),N82))</f>
        <v>42.64</v>
      </c>
      <c r="O83" s="32">
        <f>IF(B83="","",IF(J83="CompteEpargne",IF(IF(ISNA(VLOOKUP(B83,DATA!$A$1:$A$16,1,0)),"",VLOOKUP(B83,DATA!$A$1:$A$16,1,0))="",O82+E83,O82-E83),O82))</f>
        <v>42.64</v>
      </c>
      <c r="P83" s="22">
        <f t="shared" si="0"/>
        <v>4512.28</v>
      </c>
      <c r="Q83" s="32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4.25" customHeight="1" x14ac:dyDescent="0.2">
      <c r="A84" s="1"/>
      <c r="B84" s="33" t="s">
        <v>21</v>
      </c>
      <c r="C84" s="17">
        <f t="shared" si="1"/>
        <v>80</v>
      </c>
      <c r="D84" s="34">
        <v>45985</v>
      </c>
      <c r="E84" s="35">
        <v>196.87</v>
      </c>
      <c r="F84" s="20" t="s">
        <v>22</v>
      </c>
      <c r="G84" s="20" t="s">
        <v>440</v>
      </c>
      <c r="H84" s="36" t="s">
        <v>19</v>
      </c>
      <c r="I84" s="36" t="s">
        <v>29</v>
      </c>
      <c r="J84" s="20"/>
      <c r="K84" s="36"/>
      <c r="L84" s="22">
        <f>IF(B84="","",IF(I84="CompteCourant",IF(IF(ISNA(VLOOKUP(B84,DATA!$A$1:$A$16,1,0)),"",VLOOKUP(B84,DATA!$A$1:$A$16,1,0))="",L83+E84,L83-E84),L83))</f>
        <v>2381.6699999999987</v>
      </c>
      <c r="M84" s="23">
        <f>IF(B84="","",IF(I84="Coffre",IF(IF(ISNA(VLOOKUP(B84,DATA!$A$1:$A$16,1,0)),"",VLOOKUP(B84,DATA!$A$1:$A$16,1,0))="",M83+E84,M83-E84),M83))</f>
        <v>2242.2000000000003</v>
      </c>
      <c r="N84" s="23">
        <f>IF(B84="","",IF(I84="CompteEpargne",IF(IF(ISNA(VLOOKUP(B84,DATA!$A$1:$A$16,1,0)),"",VLOOKUP(B84,DATA!$A$1:$A$16,1,0))="",N83+E84,N83-E84),N83))</f>
        <v>42.64</v>
      </c>
      <c r="O84" s="32">
        <f>IF(B84="","",IF(J84="CompteEpargne",IF(IF(ISNA(VLOOKUP(B84,DATA!$A$1:$A$16,1,0)),"",VLOOKUP(B84,DATA!$A$1:$A$16,1,0))="",O83+E84,O83-E84),O83))</f>
        <v>42.64</v>
      </c>
      <c r="P84" s="22">
        <f t="shared" si="0"/>
        <v>4709.1499999999996</v>
      </c>
      <c r="Q84" s="32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4.25" customHeight="1" x14ac:dyDescent="0.2">
      <c r="A85" s="1"/>
      <c r="B85" s="33" t="s">
        <v>88</v>
      </c>
      <c r="C85" s="17">
        <f t="shared" si="1"/>
        <v>81</v>
      </c>
      <c r="D85" s="34">
        <v>45986</v>
      </c>
      <c r="E85" s="35">
        <v>3919.55</v>
      </c>
      <c r="F85" s="20" t="s">
        <v>22</v>
      </c>
      <c r="G85" s="356" t="s">
        <v>442</v>
      </c>
      <c r="H85" s="36" t="s">
        <v>19</v>
      </c>
      <c r="I85" s="36" t="s">
        <v>29</v>
      </c>
      <c r="J85" s="20"/>
      <c r="K85" s="36"/>
      <c r="L85" s="22">
        <f>IF(B85="","",IF(I85="CompteCourant",IF(IF(ISNA(VLOOKUP(B85,DATA!$A$1:$A$16,1,0)),"",VLOOKUP(B85,DATA!$A$1:$A$16,1,0))="",L84+E85,L84-E85),L84))</f>
        <v>6301.2199999999993</v>
      </c>
      <c r="M85" s="23">
        <f>IF(B85="","",IF(I85="Coffre",IF(IF(ISNA(VLOOKUP(B85,DATA!$A$1:$A$16,1,0)),"",VLOOKUP(B85,DATA!$A$1:$A$16,1,0))="",M84+E85,M84-E85),M84))</f>
        <v>2242.2000000000003</v>
      </c>
      <c r="N85" s="23">
        <f>IF(B85="","",IF(I85="CompteEpargne",IF(IF(ISNA(VLOOKUP(B85,DATA!$A$1:$A$16,1,0)),"",VLOOKUP(B85,DATA!$A$1:$A$16,1,0))="",N84+E85,N84-E85),N84))</f>
        <v>42.64</v>
      </c>
      <c r="O85" s="32">
        <f>IF(B85="","",IF(J85="CompteEpargne",IF(IF(ISNA(VLOOKUP(B85,DATA!$A$1:$A$16,1,0)),"",VLOOKUP(B85,DATA!$A$1:$A$16,1,0))="",O84+E85,O84-E85),O84))</f>
        <v>42.64</v>
      </c>
      <c r="P85" s="22">
        <f t="shared" si="0"/>
        <v>8628.6999999999989</v>
      </c>
      <c r="Q85" s="32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4.25" customHeight="1" x14ac:dyDescent="0.2">
      <c r="A86" s="1"/>
      <c r="B86" s="33" t="s">
        <v>21</v>
      </c>
      <c r="C86" s="17">
        <f t="shared" si="1"/>
        <v>82</v>
      </c>
      <c r="D86" s="34">
        <v>45986</v>
      </c>
      <c r="E86" s="35">
        <v>20.73</v>
      </c>
      <c r="F86" s="20" t="s">
        <v>22</v>
      </c>
      <c r="G86" s="20" t="s">
        <v>440</v>
      </c>
      <c r="H86" s="36" t="s">
        <v>19</v>
      </c>
      <c r="I86" s="36" t="s">
        <v>29</v>
      </c>
      <c r="J86" s="20"/>
      <c r="K86" s="36"/>
      <c r="L86" s="22">
        <f>IF(B86="","",IF(I86="CompteCourant",IF(IF(ISNA(VLOOKUP(B86,DATA!$A$1:$A$16,1,0)),"",VLOOKUP(B86,DATA!$A$1:$A$16,1,0))="",L85+E86,L85-E86),L85))</f>
        <v>6321.9499999999989</v>
      </c>
      <c r="M86" s="23">
        <f>IF(B86="","",IF(I86="Coffre",IF(IF(ISNA(VLOOKUP(B86,DATA!$A$1:$A$16,1,0)),"",VLOOKUP(B86,DATA!$A$1:$A$16,1,0))="",M85+E86,M85-E86),M85))</f>
        <v>2242.2000000000003</v>
      </c>
      <c r="N86" s="23">
        <f>IF(B86="","",IF(I86="CompteEpargne",IF(IF(ISNA(VLOOKUP(B86,DATA!$A$1:$A$16,1,0)),"",VLOOKUP(B86,DATA!$A$1:$A$16,1,0))="",N85+E86,N85-E86),N85))</f>
        <v>42.64</v>
      </c>
      <c r="O86" s="32">
        <f>IF(B86="","",IF(J86="CompteEpargne",IF(IF(ISNA(VLOOKUP(B86,DATA!$A$1:$A$16,1,0)),"",VLOOKUP(B86,DATA!$A$1:$A$16,1,0))="",O85+E86,O85-E86),O85))</f>
        <v>42.64</v>
      </c>
      <c r="P86" s="22">
        <f t="shared" si="0"/>
        <v>8649.4299999999985</v>
      </c>
      <c r="Q86" s="32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4.25" customHeight="1" x14ac:dyDescent="0.2">
      <c r="A87" s="1"/>
      <c r="B87" s="33" t="s">
        <v>21</v>
      </c>
      <c r="C87" s="17">
        <f t="shared" si="1"/>
        <v>83</v>
      </c>
      <c r="D87" s="34">
        <v>45986</v>
      </c>
      <c r="E87" s="35">
        <v>19.739999999999998</v>
      </c>
      <c r="F87" s="20" t="s">
        <v>22</v>
      </c>
      <c r="G87" s="20" t="s">
        <v>440</v>
      </c>
      <c r="H87" s="36" t="s">
        <v>19</v>
      </c>
      <c r="I87" s="36" t="s">
        <v>29</v>
      </c>
      <c r="J87" s="20"/>
      <c r="K87" s="36"/>
      <c r="L87" s="22">
        <f>IF(B87="","",IF(I87="CompteCourant",IF(IF(ISNA(VLOOKUP(B87,DATA!$A$1:$A$16,1,0)),"",VLOOKUP(B87,DATA!$A$1:$A$16,1,0))="",L86+E87,L86-E87),L86))</f>
        <v>6341.6899999999987</v>
      </c>
      <c r="M87" s="23">
        <f>IF(B87="","",IF(I87="Coffre",IF(IF(ISNA(VLOOKUP(B87,DATA!$A$1:$A$16,1,0)),"",VLOOKUP(B87,DATA!$A$1:$A$16,1,0))="",M86+E87,M86-E87),M86))</f>
        <v>2242.2000000000003</v>
      </c>
      <c r="N87" s="23">
        <f>IF(B87="","",IF(I87="CompteEpargne",IF(IF(ISNA(VLOOKUP(B87,DATA!$A$1:$A$16,1,0)),"",VLOOKUP(B87,DATA!$A$1:$A$16,1,0))="",N86+E87,N86-E87),N86))</f>
        <v>42.64</v>
      </c>
      <c r="O87" s="32">
        <f>IF(B87="","",IF(J87="CompteEpargne",IF(IF(ISNA(VLOOKUP(B87,DATA!$A$1:$A$16,1,0)),"",VLOOKUP(B87,DATA!$A$1:$A$16,1,0))="",O86+E87,O86-E87),O86))</f>
        <v>42.64</v>
      </c>
      <c r="P87" s="22">
        <f t="shared" si="0"/>
        <v>8669.1699999999983</v>
      </c>
      <c r="Q87" s="32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4.25" customHeight="1" x14ac:dyDescent="0.2">
      <c r="A88" s="1"/>
      <c r="B88" s="33" t="s">
        <v>124</v>
      </c>
      <c r="C88" s="17">
        <f t="shared" si="1"/>
        <v>84</v>
      </c>
      <c r="D88" s="34">
        <v>45986</v>
      </c>
      <c r="E88" s="35">
        <v>400</v>
      </c>
      <c r="F88" s="20" t="s">
        <v>169</v>
      </c>
      <c r="G88" s="20" t="s">
        <v>402</v>
      </c>
      <c r="H88" s="36" t="s">
        <v>19</v>
      </c>
      <c r="I88" s="36" t="s">
        <v>29</v>
      </c>
      <c r="J88" s="20"/>
      <c r="K88" s="36"/>
      <c r="L88" s="22">
        <f>IF(B88="","",IF(I88="CompteCourant",IF(IF(ISNA(VLOOKUP(B88,DATA!$A$1:$A$16,1,0)),"",VLOOKUP(B88,DATA!$A$1:$A$16,1,0))="",L87+E88,L87-E88),L87))</f>
        <v>5941.6899999999987</v>
      </c>
      <c r="M88" s="23">
        <f>IF(B88="","",IF(I88="Coffre",IF(IF(ISNA(VLOOKUP(B88,DATA!$A$1:$A$16,1,0)),"",VLOOKUP(B88,DATA!$A$1:$A$16,1,0))="",M87+E88,M87-E88),M87))</f>
        <v>2242.2000000000003</v>
      </c>
      <c r="N88" s="23">
        <f>IF(B88="","",IF(I88="CompteEpargne",IF(IF(ISNA(VLOOKUP(B88,DATA!$A$1:$A$16,1,0)),"",VLOOKUP(B88,DATA!$A$1:$A$16,1,0))="",N87+E88,N87-E88),N87))</f>
        <v>42.64</v>
      </c>
      <c r="O88" s="32">
        <f>IF(B88="","",IF(J88="CompteEpargne",IF(IF(ISNA(VLOOKUP(B88,DATA!$A$1:$A$16,1,0)),"",VLOOKUP(B88,DATA!$A$1:$A$16,1,0))="",O87+E88,O87-E88),O87))</f>
        <v>42.64</v>
      </c>
      <c r="P88" s="22">
        <f t="shared" si="0"/>
        <v>8269.1699999999983</v>
      </c>
      <c r="Q88" s="32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4.25" customHeight="1" x14ac:dyDescent="0.2">
      <c r="A89" s="1"/>
      <c r="B89" s="357" t="s">
        <v>107</v>
      </c>
      <c r="C89" s="17">
        <f t="shared" si="1"/>
        <v>85</v>
      </c>
      <c r="D89" s="34">
        <v>45987</v>
      </c>
      <c r="E89" s="35">
        <v>168</v>
      </c>
      <c r="F89" s="20" t="s">
        <v>170</v>
      </c>
      <c r="G89" s="356"/>
      <c r="H89" s="36" t="s">
        <v>19</v>
      </c>
      <c r="I89" s="36" t="s">
        <v>29</v>
      </c>
      <c r="J89" s="20"/>
      <c r="K89" s="36"/>
      <c r="L89" s="22">
        <f>IF(B89="","",IF(I89="CompteCourant",IF(IF(ISNA(VLOOKUP(B89,DATA!$A$1:$A$16,1,0)),"",VLOOKUP(B89,DATA!$A$1:$A$16,1,0))="",L88+E89,L88-E89),L88))</f>
        <v>5773.6899999999987</v>
      </c>
      <c r="M89" s="23">
        <f>IF(B89="","",IF(I89="Coffre",IF(IF(ISNA(VLOOKUP(B89,DATA!$A$1:$A$16,1,0)),"",VLOOKUP(B89,DATA!$A$1:$A$16,1,0))="",M88+E89,M88-E89),M88))</f>
        <v>2242.2000000000003</v>
      </c>
      <c r="N89" s="23">
        <f>IF(B89="","",IF(I89="CompteEpargne",IF(IF(ISNA(VLOOKUP(B89,DATA!$A$1:$A$16,1,0)),"",VLOOKUP(B89,DATA!$A$1:$A$16,1,0))="",N88+E89,N88-E89),N88))</f>
        <v>42.64</v>
      </c>
      <c r="O89" s="32">
        <f>IF(B89="","",IF(J89="CompteEpargne",IF(IF(ISNA(VLOOKUP(B89,DATA!$A$1:$A$16,1,0)),"",VLOOKUP(B89,DATA!$A$1:$A$16,1,0))="",O88+E89,O88-E89),O88))</f>
        <v>42.64</v>
      </c>
      <c r="P89" s="22">
        <f t="shared" si="0"/>
        <v>8101.17</v>
      </c>
      <c r="Q89" s="32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4.25" customHeight="1" x14ac:dyDescent="0.2">
      <c r="A90" s="1"/>
      <c r="B90" s="33" t="s">
        <v>107</v>
      </c>
      <c r="C90" s="17">
        <f t="shared" si="1"/>
        <v>86</v>
      </c>
      <c r="D90" s="34">
        <v>45987</v>
      </c>
      <c r="E90" s="35">
        <v>40.200000000000003</v>
      </c>
      <c r="F90" s="20" t="s">
        <v>171</v>
      </c>
      <c r="G90" s="20" t="s">
        <v>399</v>
      </c>
      <c r="H90" s="36" t="s">
        <v>19</v>
      </c>
      <c r="I90" s="36" t="s">
        <v>29</v>
      </c>
      <c r="J90" s="20"/>
      <c r="K90" s="36"/>
      <c r="L90" s="22">
        <f>IF(B90="","",IF(I90="CompteCourant",IF(IF(ISNA(VLOOKUP(B90,DATA!$A$1:$A$16,1,0)),"",VLOOKUP(B90,DATA!$A$1:$A$16,1,0))="",L89+E90,L89-E90),L89))</f>
        <v>5733.4899999999989</v>
      </c>
      <c r="M90" s="23">
        <f>IF(B90="","",IF(I90="Coffre",IF(IF(ISNA(VLOOKUP(B90,DATA!$A$1:$A$16,1,0)),"",VLOOKUP(B90,DATA!$A$1:$A$16,1,0))="",M89+E90,M89-E90),M89))</f>
        <v>2242.2000000000003</v>
      </c>
      <c r="N90" s="23">
        <f>IF(B90="","",IF(I90="CompteEpargne",IF(IF(ISNA(VLOOKUP(B90,DATA!$A$1:$A$16,1,0)),"",VLOOKUP(B90,DATA!$A$1:$A$16,1,0))="",N89+E90,N89-E90),N89))</f>
        <v>42.64</v>
      </c>
      <c r="O90" s="32">
        <f>IF(B90="","",IF(J90="CompteEpargne",IF(IF(ISNA(VLOOKUP(B90,DATA!$A$1:$A$16,1,0)),"",VLOOKUP(B90,DATA!$A$1:$A$16,1,0))="",O89+E90,O89-E90),O89))</f>
        <v>42.64</v>
      </c>
      <c r="P90" s="22">
        <f t="shared" si="0"/>
        <v>8060.9699999999993</v>
      </c>
      <c r="Q90" s="32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4.25" customHeight="1" x14ac:dyDescent="0.2">
      <c r="A91" s="1"/>
      <c r="B91" s="33" t="s">
        <v>400</v>
      </c>
      <c r="C91" s="17">
        <f t="shared" si="1"/>
        <v>87</v>
      </c>
      <c r="D91" s="34">
        <v>45988</v>
      </c>
      <c r="E91" s="35">
        <v>54</v>
      </c>
      <c r="F91" s="20" t="s">
        <v>22</v>
      </c>
      <c r="G91" s="20" t="s">
        <v>443</v>
      </c>
      <c r="H91" s="36" t="s">
        <v>19</v>
      </c>
      <c r="I91" s="36" t="s">
        <v>29</v>
      </c>
      <c r="J91" s="20"/>
      <c r="K91" s="36"/>
      <c r="L91" s="22">
        <f>IF(B91="","",IF(I91="CompteCourant",IF(IF(ISNA(VLOOKUP(B91,DATA!$A$1:$A$16,1,0)),"",VLOOKUP(B91,DATA!$A$1:$A$16,1,0))="",L90+E91,L90-E91),L90))</f>
        <v>5787.4899999999989</v>
      </c>
      <c r="M91" s="23">
        <f>IF(B91="","",IF(I91="Coffre",IF(IF(ISNA(VLOOKUP(B91,DATA!$A$1:$A$16,1,0)),"",VLOOKUP(B91,DATA!$A$1:$A$16,1,0))="",M90+E91,M90-E91),M90))</f>
        <v>2242.2000000000003</v>
      </c>
      <c r="N91" s="23">
        <f>IF(B91="","",IF(I91="CompteEpargne",IF(IF(ISNA(VLOOKUP(B91,DATA!$A$1:$A$16,1,0)),"",VLOOKUP(B91,DATA!$A$1:$A$16,1,0))="",N90+E91,N90-E91),N90))</f>
        <v>42.64</v>
      </c>
      <c r="O91" s="32">
        <f>IF(B91="","",IF(J91="CompteEpargne",IF(IF(ISNA(VLOOKUP(B91,DATA!$A$1:$A$16,1,0)),"",VLOOKUP(B91,DATA!$A$1:$A$16,1,0))="",O90+E91,O90-E91),O90))</f>
        <v>42.64</v>
      </c>
      <c r="P91" s="22">
        <f t="shared" si="0"/>
        <v>8114.9699999999993</v>
      </c>
      <c r="Q91" s="32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4.25" customHeight="1" x14ac:dyDescent="0.2">
      <c r="A92" s="1"/>
      <c r="B92" s="33" t="s">
        <v>21</v>
      </c>
      <c r="C92" s="17">
        <f t="shared" si="1"/>
        <v>88</v>
      </c>
      <c r="D92" s="34">
        <v>45988</v>
      </c>
      <c r="E92" s="35">
        <v>81.91</v>
      </c>
      <c r="F92" s="387" t="s">
        <v>22</v>
      </c>
      <c r="G92" s="356"/>
      <c r="H92" s="36" t="s">
        <v>19</v>
      </c>
      <c r="I92" s="36" t="s">
        <v>29</v>
      </c>
      <c r="J92" s="20"/>
      <c r="K92" s="36"/>
      <c r="L92" s="22">
        <f>IF(B92="","",IF(I92="CompteCourant",IF(IF(ISNA(VLOOKUP(B92,DATA!$A$1:$A$16,1,0)),"",VLOOKUP(B92,DATA!$A$1:$A$16,1,0))="",L91+E92,L91-E92),L91))</f>
        <v>5869.3999999999987</v>
      </c>
      <c r="M92" s="23">
        <f>IF(B92="","",IF(I92="Coffre",IF(IF(ISNA(VLOOKUP(B92,DATA!$A$1:$A$16,1,0)),"",VLOOKUP(B92,DATA!$A$1:$A$16,1,0))="",M91+E92,M91-E92),M91))</f>
        <v>2242.2000000000003</v>
      </c>
      <c r="N92" s="23">
        <f>IF(B92="","",IF(I92="CompteEpargne",IF(IF(ISNA(VLOOKUP(B92,DATA!$A$1:$A$16,1,0)),"",VLOOKUP(B92,DATA!$A$1:$A$16,1,0))="",N91+E92,N91-E92),N91))</f>
        <v>42.64</v>
      </c>
      <c r="O92" s="32">
        <f>IF(B92="","",IF(J92="CompteEpargne",IF(IF(ISNA(VLOOKUP(B92,DATA!$A$1:$A$16,1,0)),"",VLOOKUP(B92,DATA!$A$1:$A$16,1,0))="",O91+E92,O91-E92),O91))</f>
        <v>42.64</v>
      </c>
      <c r="P92" s="22">
        <f t="shared" si="0"/>
        <v>8196.8799999999992</v>
      </c>
      <c r="Q92" s="32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4.25" customHeight="1" x14ac:dyDescent="0.2">
      <c r="A93" s="1"/>
      <c r="B93" s="33" t="s">
        <v>88</v>
      </c>
      <c r="C93" s="17">
        <f t="shared" si="1"/>
        <v>89</v>
      </c>
      <c r="D93" s="34">
        <v>45988</v>
      </c>
      <c r="E93" s="35">
        <v>263.89999999999998</v>
      </c>
      <c r="F93" s="20" t="s">
        <v>22</v>
      </c>
      <c r="G93" s="20" t="s">
        <v>446</v>
      </c>
      <c r="H93" s="36" t="s">
        <v>19</v>
      </c>
      <c r="I93" s="36" t="s">
        <v>29</v>
      </c>
      <c r="J93" s="20"/>
      <c r="K93" s="36"/>
      <c r="L93" s="22">
        <f>IF(B93="","",IF(I93="CompteCourant",IF(IF(ISNA(VLOOKUP(B93,DATA!$A$1:$A$16,1,0)),"",VLOOKUP(B93,DATA!$A$1:$A$16,1,0))="",L92+E93,L92-E93),L92))</f>
        <v>6133.2999999999984</v>
      </c>
      <c r="M93" s="23">
        <f>IF(B93="","",IF(I93="Coffre",IF(IF(ISNA(VLOOKUP(B93,DATA!$A$1:$A$16,1,0)),"",VLOOKUP(B93,DATA!$A$1:$A$16,1,0))="",M92+E93,M92-E93),M92))</f>
        <v>2242.2000000000003</v>
      </c>
      <c r="N93" s="23">
        <f>IF(B93="","",IF(I93="CompteEpargne",IF(IF(ISNA(VLOOKUP(B93,DATA!$A$1:$A$16,1,0)),"",VLOOKUP(B93,DATA!$A$1:$A$16,1,0))="",N92+E93,N92-E93),N92))</f>
        <v>42.64</v>
      </c>
      <c r="O93" s="32">
        <f>IF(B93="","",IF(J93="CompteEpargne",IF(IF(ISNA(VLOOKUP(B93,DATA!$A$1:$A$16,1,0)),"",VLOOKUP(B93,DATA!$A$1:$A$16,1,0))="",O92+E93,O92-E93),O92))</f>
        <v>42.64</v>
      </c>
      <c r="P93" s="22">
        <f t="shared" si="0"/>
        <v>8460.779999999997</v>
      </c>
      <c r="Q93" s="32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4.25" customHeight="1" x14ac:dyDescent="0.2">
      <c r="A94" s="1"/>
      <c r="B94" s="33" t="s">
        <v>88</v>
      </c>
      <c r="C94" s="17">
        <f t="shared" si="1"/>
        <v>90</v>
      </c>
      <c r="D94" s="34">
        <v>45988</v>
      </c>
      <c r="E94" s="35">
        <v>300</v>
      </c>
      <c r="F94" s="20" t="s">
        <v>22</v>
      </c>
      <c r="G94" s="20" t="s">
        <v>446</v>
      </c>
      <c r="H94" s="36" t="s">
        <v>19</v>
      </c>
      <c r="I94" s="36" t="s">
        <v>29</v>
      </c>
      <c r="J94" s="20"/>
      <c r="K94" s="36"/>
      <c r="L94" s="22">
        <f>IF(B94="","",IF(I94="CompteCourant",IF(IF(ISNA(VLOOKUP(B94,DATA!$A$1:$A$16,1,0)),"",VLOOKUP(B94,DATA!$A$1:$A$16,1,0))="",L93+E94,L93-E94),L93))</f>
        <v>6433.2999999999984</v>
      </c>
      <c r="M94" s="23">
        <f>IF(B94="","",IF(I94="Coffre",IF(IF(ISNA(VLOOKUP(B94,DATA!$A$1:$A$16,1,0)),"",VLOOKUP(B94,DATA!$A$1:$A$16,1,0))="",M93+E94,M93-E94),M93))</f>
        <v>2242.2000000000003</v>
      </c>
      <c r="N94" s="23">
        <f>IF(B94="","",IF(I94="CompteEpargne",IF(IF(ISNA(VLOOKUP(B94,DATA!$A$1:$A$16,1,0)),"",VLOOKUP(B94,DATA!$A$1:$A$16,1,0))="",N93+E94,N93-E94),N93))</f>
        <v>42.64</v>
      </c>
      <c r="O94" s="32">
        <f>IF(B94="","",IF(J94="CompteEpargne",IF(IF(ISNA(VLOOKUP(B94,DATA!$A$1:$A$16,1,0)),"",VLOOKUP(B94,DATA!$A$1:$A$16,1,0))="",O93+E94,O93-E94),O93))</f>
        <v>42.64</v>
      </c>
      <c r="P94" s="22">
        <f t="shared" si="0"/>
        <v>8760.779999999997</v>
      </c>
      <c r="Q94" s="32"/>
      <c r="R94" s="4"/>
      <c r="S94" s="37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4.25" customHeight="1" x14ac:dyDescent="0.2">
      <c r="A95" s="1"/>
      <c r="B95" s="33" t="s">
        <v>124</v>
      </c>
      <c r="C95" s="17">
        <f t="shared" si="1"/>
        <v>91</v>
      </c>
      <c r="D95" s="34">
        <v>45988</v>
      </c>
      <c r="E95" s="35">
        <v>700</v>
      </c>
      <c r="F95" s="20" t="s">
        <v>169</v>
      </c>
      <c r="G95" s="20" t="s">
        <v>447</v>
      </c>
      <c r="H95" s="36" t="s">
        <v>19</v>
      </c>
      <c r="I95" s="36" t="s">
        <v>29</v>
      </c>
      <c r="J95" s="20"/>
      <c r="K95" s="36"/>
      <c r="L95" s="22">
        <f>IF(B95="","",IF(I95="CompteCourant",IF(IF(ISNA(VLOOKUP(B95,DATA!$A$1:$A$16,1,0)),"",VLOOKUP(B95,DATA!$A$1:$A$16,1,0))="",L94+E95,L94-E95),L94))</f>
        <v>5733.2999999999984</v>
      </c>
      <c r="M95" s="23">
        <f>IF(B95="","",IF(I95="Coffre",IF(IF(ISNA(VLOOKUP(B95,DATA!$A$1:$A$16,1,0)),"",VLOOKUP(B95,DATA!$A$1:$A$16,1,0))="",M94+E95,M94-E95),M94))</f>
        <v>2242.2000000000003</v>
      </c>
      <c r="N95" s="23">
        <f>IF(B95="","",IF(I95="CompteEpargne",IF(IF(ISNA(VLOOKUP(B95,DATA!$A$1:$A$16,1,0)),"",VLOOKUP(B95,DATA!$A$1:$A$16,1,0))="",N94+E95,N94-E95),N94))</f>
        <v>42.64</v>
      </c>
      <c r="O95" s="32">
        <f>IF(B95="","",IF(J95="CompteEpargne",IF(IF(ISNA(VLOOKUP(B95,DATA!$A$1:$A$16,1,0)),"",VLOOKUP(B95,DATA!$A$1:$A$16,1,0))="",O94+E95,O94-E95),O94))</f>
        <v>42.64</v>
      </c>
      <c r="P95" s="22">
        <f t="shared" si="0"/>
        <v>8060.7799999999988</v>
      </c>
      <c r="Q95" s="32"/>
      <c r="R95" s="4"/>
      <c r="S95" s="37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4.25" customHeight="1" x14ac:dyDescent="0.2">
      <c r="A96" s="1"/>
      <c r="B96" s="33" t="s">
        <v>107</v>
      </c>
      <c r="C96" s="17">
        <f t="shared" si="1"/>
        <v>92</v>
      </c>
      <c r="D96" s="34">
        <v>45989</v>
      </c>
      <c r="E96" s="35">
        <v>14.05</v>
      </c>
      <c r="F96" s="20" t="s">
        <v>166</v>
      </c>
      <c r="G96" s="20"/>
      <c r="H96" s="36" t="s">
        <v>19</v>
      </c>
      <c r="I96" s="36" t="s">
        <v>29</v>
      </c>
      <c r="J96" s="20"/>
      <c r="K96" s="36"/>
      <c r="L96" s="22">
        <f>IF(B96="","",IF(I96="CompteCourant",IF(IF(ISNA(VLOOKUP(B96,DATA!$A$1:$A$16,1,0)),"",VLOOKUP(B96,DATA!$A$1:$A$16,1,0))="",L95+E96,L95-E96),L95))</f>
        <v>5719.2499999999982</v>
      </c>
      <c r="M96" s="23">
        <f>IF(B96="","",IF(I96="Coffre",IF(IF(ISNA(VLOOKUP(B96,DATA!$A$1:$A$16,1,0)),"",VLOOKUP(B96,DATA!$A$1:$A$16,1,0))="",M95+E96,M95-E96),M95))</f>
        <v>2242.2000000000003</v>
      </c>
      <c r="N96" s="23">
        <f>IF(B96="","",IF(I96="CompteEpargne",IF(IF(ISNA(VLOOKUP(B96,DATA!$A$1:$A$16,1,0)),"",VLOOKUP(B96,DATA!$A$1:$A$16,1,0))="",N95+E96,N95-E96),N95))</f>
        <v>42.64</v>
      </c>
      <c r="O96" s="32">
        <f>IF(B96="","",IF(J96="CompteEpargne",IF(IF(ISNA(VLOOKUP(B96,DATA!$A$1:$A$16,1,0)),"",VLOOKUP(B96,DATA!$A$1:$A$16,1,0))="",O95+E96,O95-E96),O95))</f>
        <v>42.64</v>
      </c>
      <c r="P96" s="22">
        <f t="shared" si="0"/>
        <v>8046.73</v>
      </c>
      <c r="Q96" s="32"/>
      <c r="R96" s="4"/>
      <c r="S96" s="37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4.25" customHeight="1" x14ac:dyDescent="0.2">
      <c r="A97" s="1"/>
      <c r="B97" s="33" t="s">
        <v>21</v>
      </c>
      <c r="C97" s="17">
        <f t="shared" si="1"/>
        <v>93</v>
      </c>
      <c r="D97" s="34">
        <v>45989</v>
      </c>
      <c r="E97" s="35">
        <v>2.96</v>
      </c>
      <c r="F97" s="387" t="s">
        <v>22</v>
      </c>
      <c r="G97" s="20" t="s">
        <v>440</v>
      </c>
      <c r="H97" s="36" t="s">
        <v>19</v>
      </c>
      <c r="I97" s="36" t="s">
        <v>29</v>
      </c>
      <c r="J97" s="20"/>
      <c r="K97" s="36"/>
      <c r="L97" s="22">
        <f>IF(B97="","",IF(I97="CompteCourant",IF(IF(ISNA(VLOOKUP(B97,DATA!$A$1:$A$16,1,0)),"",VLOOKUP(B97,DATA!$A$1:$A$16,1,0))="",L96+E97,L96-E97),L96))</f>
        <v>5722.2099999999982</v>
      </c>
      <c r="M97" s="23">
        <f>IF(B97="","",IF(I97="Coffre",IF(IF(ISNA(VLOOKUP(B97,DATA!$A$1:$A$16,1,0)),"",VLOOKUP(B97,DATA!$A$1:$A$16,1,0))="",M96+E97,M96-E97),M96))</f>
        <v>2242.2000000000003</v>
      </c>
      <c r="N97" s="23">
        <f>IF(B97="","",IF(I97="CompteEpargne",IF(IF(ISNA(VLOOKUP(B97,DATA!$A$1:$A$16,1,0)),"",VLOOKUP(B97,DATA!$A$1:$A$16,1,0))="",N96+E97,N96-E97),N96))</f>
        <v>42.64</v>
      </c>
      <c r="O97" s="32">
        <f>IF(B97="","",IF(J97="CompteEpargne",IF(IF(ISNA(VLOOKUP(B97,DATA!$A$1:$A$16,1,0)),"",VLOOKUP(B97,DATA!$A$1:$A$16,1,0))="",O96+E97,O96-E97),O96))</f>
        <v>42.64</v>
      </c>
      <c r="P97" s="22">
        <f t="shared" si="0"/>
        <v>8049.6899999999987</v>
      </c>
      <c r="Q97" s="32"/>
      <c r="R97" s="4"/>
      <c r="S97" s="37"/>
      <c r="T97" s="38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4.25" customHeight="1" x14ac:dyDescent="0.2">
      <c r="A98" s="1"/>
      <c r="B98" s="33" t="s">
        <v>21</v>
      </c>
      <c r="C98" s="17">
        <f t="shared" si="1"/>
        <v>94</v>
      </c>
      <c r="D98" s="34">
        <v>45989</v>
      </c>
      <c r="E98" s="35">
        <v>1.97</v>
      </c>
      <c r="F98" s="387" t="s">
        <v>22</v>
      </c>
      <c r="G98" s="20" t="s">
        <v>441</v>
      </c>
      <c r="H98" s="36" t="s">
        <v>19</v>
      </c>
      <c r="I98" s="36" t="s">
        <v>29</v>
      </c>
      <c r="J98" s="20" t="s">
        <v>158</v>
      </c>
      <c r="K98" s="36"/>
      <c r="L98" s="22">
        <f>IF(B98="","",IF(I98="CompteCourant",IF(IF(ISNA(VLOOKUP(B98,DATA!$A$1:$A$16,1,0)),"",VLOOKUP(B98,DATA!$A$1:$A$16,1,0))="",L97+E98,L97-E98),L97))</f>
        <v>5724.1799999999985</v>
      </c>
      <c r="M98" s="23">
        <f>IF(B98="","",IF(I98="Coffre",IF(IF(ISNA(VLOOKUP(B98,DATA!$A$1:$A$16,1,0)),"",VLOOKUP(B98,DATA!$A$1:$A$16,1,0))="",M97+E98,M97-E98),M97))</f>
        <v>2242.2000000000003</v>
      </c>
      <c r="N98" s="23">
        <f>IF(B98="","",IF(I98="CompteEpargne",IF(IF(ISNA(VLOOKUP(B98,DATA!$A$1:$A$16,1,0)),"",VLOOKUP(B98,DATA!$A$1:$A$16,1,0))="",N97+E98,N97-E98),N97))</f>
        <v>42.64</v>
      </c>
      <c r="O98" s="32">
        <f>IF(B98="","",IF(J98="CompteEpargne",IF(IF(ISNA(VLOOKUP(B98,DATA!$A$1:$A$16,1,0)),"",VLOOKUP(B98,DATA!$A$1:$A$16,1,0))="",O97+E98,O97-E98),O97))</f>
        <v>42.64</v>
      </c>
      <c r="P98" s="22">
        <f t="shared" si="0"/>
        <v>8051.66</v>
      </c>
      <c r="Q98" s="32"/>
      <c r="R98" s="4"/>
      <c r="S98" s="39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4.25" customHeight="1" x14ac:dyDescent="0.2">
      <c r="A99" s="1"/>
      <c r="B99" s="357" t="s">
        <v>107</v>
      </c>
      <c r="C99" s="17">
        <f t="shared" si="1"/>
        <v>95</v>
      </c>
      <c r="D99" s="34">
        <v>45992</v>
      </c>
      <c r="E99" s="35">
        <v>370</v>
      </c>
      <c r="F99" s="20" t="s">
        <v>120</v>
      </c>
      <c r="G99" s="356" t="s">
        <v>144</v>
      </c>
      <c r="H99" s="36" t="s">
        <v>19</v>
      </c>
      <c r="I99" s="36" t="s">
        <v>29</v>
      </c>
      <c r="J99" s="20"/>
      <c r="K99" s="36"/>
      <c r="L99" s="22">
        <f>IF(B99="","",IF(I99="CompteCourant",IF(IF(ISNA(VLOOKUP(B99,DATA!$A$1:$A$16,1,0)),"",VLOOKUP(B99,DATA!$A$1:$A$16,1,0))="",L98+E99,L98-E99),L98))</f>
        <v>5354.1799999999985</v>
      </c>
      <c r="M99" s="23">
        <f>IF(B99="","",IF(I99="Coffre",IF(IF(ISNA(VLOOKUP(B99,DATA!$A$1:$A$16,1,0)),"",VLOOKUP(B99,DATA!$A$1:$A$16,1,0))="",M98+E99,M98-E99),M98))</f>
        <v>2242.2000000000003</v>
      </c>
      <c r="N99" s="23">
        <f>IF(B99="","",IF(I99="CompteEpargne",IF(IF(ISNA(VLOOKUP(B99,DATA!$A$1:$A$16,1,0)),"",VLOOKUP(B99,DATA!$A$1:$A$16,1,0))="",N98+E99,N98-E99),N98))</f>
        <v>42.64</v>
      </c>
      <c r="O99" s="32">
        <f>IF(B99="","",IF(J99="CompteEpargne",IF(IF(ISNA(VLOOKUP(B99,DATA!$A$1:$A$16,1,0)),"",VLOOKUP(B99,DATA!$A$1:$A$16,1,0))="",O98+E99,O98-E99),O98))</f>
        <v>42.64</v>
      </c>
      <c r="P99" s="22">
        <f t="shared" si="0"/>
        <v>7681.66</v>
      </c>
      <c r="Q99" s="32"/>
      <c r="R99" s="4"/>
      <c r="S99" s="39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4.25" customHeight="1" x14ac:dyDescent="0.2">
      <c r="A100" s="1"/>
      <c r="B100" s="33" t="s">
        <v>21</v>
      </c>
      <c r="C100" s="17">
        <f t="shared" si="1"/>
        <v>96</v>
      </c>
      <c r="D100" s="34">
        <v>45992</v>
      </c>
      <c r="E100" s="35">
        <v>1.98</v>
      </c>
      <c r="F100" s="387" t="s">
        <v>22</v>
      </c>
      <c r="G100" s="20" t="s">
        <v>405</v>
      </c>
      <c r="H100" s="36" t="s">
        <v>19</v>
      </c>
      <c r="I100" s="36" t="s">
        <v>29</v>
      </c>
      <c r="J100" s="20"/>
      <c r="K100" s="36"/>
      <c r="L100" s="22">
        <f>IF(B100="","",IF(I100="CompteCourant",IF(IF(ISNA(VLOOKUP(B100,DATA!$A$1:$A$16,1,0)),"",VLOOKUP(B100,DATA!$A$1:$A$16,1,0))="",L99+E100,L99-E100),L99))</f>
        <v>5356.159999999998</v>
      </c>
      <c r="M100" s="23">
        <f>IF(B100="","",IF(I100="Coffre",IF(IF(ISNA(VLOOKUP(B100,DATA!$A$1:$A$16,1,0)),"",VLOOKUP(B100,DATA!$A$1:$A$16,1,0))="",M99+E100,M99-E100),M99))</f>
        <v>2242.2000000000003</v>
      </c>
      <c r="N100" s="23">
        <f>IF(B100="","",IF(I100="CompteEpargne",IF(IF(ISNA(VLOOKUP(B100,DATA!$A$1:$A$16,1,0)),"",VLOOKUP(B100,DATA!$A$1:$A$16,1,0))="",N99+E100,N99-E100),N99))</f>
        <v>42.64</v>
      </c>
      <c r="O100" s="32">
        <f>IF(B100="","",IF(J100="CompteEpargne",IF(IF(ISNA(VLOOKUP(B100,DATA!$A$1:$A$16,1,0)),"",VLOOKUP(B100,DATA!$A$1:$A$16,1,0))="",O99+E100,O99-E100),O99))</f>
        <v>42.64</v>
      </c>
      <c r="P100" s="22">
        <f t="shared" si="0"/>
        <v>7683.6399999999994</v>
      </c>
      <c r="Q100" s="32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4.25" customHeight="1" x14ac:dyDescent="0.2">
      <c r="A101" s="1"/>
      <c r="B101" s="33" t="s">
        <v>21</v>
      </c>
      <c r="C101" s="17">
        <f t="shared" si="1"/>
        <v>97</v>
      </c>
      <c r="D101" s="34">
        <v>45992</v>
      </c>
      <c r="E101" s="35">
        <v>0.99</v>
      </c>
      <c r="F101" s="387" t="s">
        <v>22</v>
      </c>
      <c r="G101" s="20" t="s">
        <v>405</v>
      </c>
      <c r="H101" s="36" t="s">
        <v>19</v>
      </c>
      <c r="I101" s="36" t="s">
        <v>29</v>
      </c>
      <c r="J101" s="20"/>
      <c r="K101" s="36"/>
      <c r="L101" s="22">
        <f>IF(B101="","",IF(I101="CompteCourant",IF(IF(ISNA(VLOOKUP(B101,DATA!$A$1:$A$16,1,0)),"",VLOOKUP(B101,DATA!$A$1:$A$16,1,0))="",L100+E101,L100-E101),L100))</f>
        <v>5357.1499999999978</v>
      </c>
      <c r="M101" s="23">
        <f>IF(B101="","",IF(I101="Coffre",IF(IF(ISNA(VLOOKUP(B101,DATA!$A$1:$A$16,1,0)),"",VLOOKUP(B101,DATA!$A$1:$A$16,1,0))="",M100+E101,M100-E101),M100))</f>
        <v>2242.2000000000003</v>
      </c>
      <c r="N101" s="23">
        <f>IF(B101="","",IF(I101="CompteEpargne",IF(IF(ISNA(VLOOKUP(B101,DATA!$A$1:$A$16,1,0)),"",VLOOKUP(B101,DATA!$A$1:$A$16,1,0))="",N100+E101,N100-E101),N100))</f>
        <v>42.64</v>
      </c>
      <c r="O101" s="32">
        <f>IF(B101="","",IF(J101="CompteEpargne",IF(IF(ISNA(VLOOKUP(B101,DATA!$A$1:$A$16,1,0)),"",VLOOKUP(B101,DATA!$A$1:$A$16,1,0))="",O100+E101,O100-E101),O100))</f>
        <v>42.64</v>
      </c>
      <c r="P101" s="22">
        <f t="shared" si="0"/>
        <v>7684.6299999999992</v>
      </c>
      <c r="Q101" s="32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4.25" customHeight="1" x14ac:dyDescent="0.2">
      <c r="A102" s="1"/>
      <c r="B102" s="33" t="s">
        <v>21</v>
      </c>
      <c r="C102" s="17">
        <f t="shared" si="1"/>
        <v>98</v>
      </c>
      <c r="D102" s="34">
        <v>45992</v>
      </c>
      <c r="E102" s="35">
        <v>316.63</v>
      </c>
      <c r="F102" s="387" t="s">
        <v>22</v>
      </c>
      <c r="G102" s="20" t="s">
        <v>439</v>
      </c>
      <c r="H102" s="36" t="s">
        <v>19</v>
      </c>
      <c r="I102" s="36" t="s">
        <v>29</v>
      </c>
      <c r="J102" s="20"/>
      <c r="K102" s="36"/>
      <c r="L102" s="22">
        <f>IF(B102="","",IF(I102="CompteCourant",IF(IF(ISNA(VLOOKUP(B102,DATA!$A$1:$A$16,1,0)),"",VLOOKUP(B102,DATA!$A$1:$A$16,1,0))="",L101+E102,L101-E102),L101))</f>
        <v>5673.7799999999979</v>
      </c>
      <c r="M102" s="23">
        <f>IF(B102="","",IF(I102="Coffre",IF(IF(ISNA(VLOOKUP(B102,DATA!$A$1:$A$16,1,0)),"",VLOOKUP(B102,DATA!$A$1:$A$16,1,0))="",M101+E102,M101-E102),M101))</f>
        <v>2242.2000000000003</v>
      </c>
      <c r="N102" s="23">
        <f>IF(B102="","",IF(I102="CompteEpargne",IF(IF(ISNA(VLOOKUP(B102,DATA!$A$1:$A$16,1,0)),"",VLOOKUP(B102,DATA!$A$1:$A$16,1,0))="",N101+E102,N101-E102),N101))</f>
        <v>42.64</v>
      </c>
      <c r="O102" s="32">
        <f>IF(B102="","",IF(J102="CompteEpargne",IF(IF(ISNA(VLOOKUP(B102,DATA!$A$1:$A$16,1,0)),"",VLOOKUP(B102,DATA!$A$1:$A$16,1,0))="",O101+E102,O101-E102),O101))</f>
        <v>42.64</v>
      </c>
      <c r="P102" s="22">
        <f t="shared" si="0"/>
        <v>8001.2599999999984</v>
      </c>
      <c r="Q102" s="32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4.25" customHeight="1" x14ac:dyDescent="0.2">
      <c r="A103" s="1"/>
      <c r="B103" s="33" t="s">
        <v>26</v>
      </c>
      <c r="C103" s="17">
        <f t="shared" si="1"/>
        <v>99</v>
      </c>
      <c r="D103" s="34">
        <v>45993</v>
      </c>
      <c r="E103" s="35">
        <v>99.2</v>
      </c>
      <c r="F103" s="20" t="s">
        <v>172</v>
      </c>
      <c r="G103" s="20"/>
      <c r="H103" s="36" t="s">
        <v>19</v>
      </c>
      <c r="I103" s="36" t="s">
        <v>29</v>
      </c>
      <c r="J103" s="20"/>
      <c r="K103" s="36"/>
      <c r="L103" s="22">
        <f>IF(B103="","",IF(I103="CompteCourant",IF(IF(ISNA(VLOOKUP(B103,DATA!$A$1:$A$16,1,0)),"",VLOOKUP(B103,DATA!$A$1:$A$16,1,0))="",L102+E103,L102-E103),L102))</f>
        <v>5574.5799999999981</v>
      </c>
      <c r="M103" s="23">
        <f>IF(B103="","",IF(I103="Coffre",IF(IF(ISNA(VLOOKUP(B103,DATA!$A$1:$A$16,1,0)),"",VLOOKUP(B103,DATA!$A$1:$A$16,1,0))="",M102+E103,M102-E103),M102))</f>
        <v>2242.2000000000003</v>
      </c>
      <c r="N103" s="23">
        <f>IF(B103="","",IF(I103="CompteEpargne",IF(IF(ISNA(VLOOKUP(B103,DATA!$A$1:$A$16,1,0)),"",VLOOKUP(B103,DATA!$A$1:$A$16,1,0))="",N102+E103,N102-E103),N102))</f>
        <v>42.64</v>
      </c>
      <c r="O103" s="32">
        <f>IF(B103="","",IF(J103="CompteEpargne",IF(IF(ISNA(VLOOKUP(B103,DATA!$A$1:$A$16,1,0)),"",VLOOKUP(B103,DATA!$A$1:$A$16,1,0))="",O102+E103,O102-E103),O102))</f>
        <v>42.64</v>
      </c>
      <c r="P103" s="22">
        <f t="shared" si="0"/>
        <v>7902.0599999999995</v>
      </c>
      <c r="Q103" s="32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4.25" customHeight="1" x14ac:dyDescent="0.2">
      <c r="A104" s="1"/>
      <c r="B104" s="33" t="s">
        <v>107</v>
      </c>
      <c r="C104" s="17">
        <f t="shared" si="1"/>
        <v>100</v>
      </c>
      <c r="D104" s="34">
        <v>45993</v>
      </c>
      <c r="E104" s="35">
        <v>72</v>
      </c>
      <c r="F104" s="20" t="s">
        <v>173</v>
      </c>
      <c r="G104" s="20"/>
      <c r="H104" s="36" t="s">
        <v>19</v>
      </c>
      <c r="I104" s="36" t="s">
        <v>29</v>
      </c>
      <c r="J104" s="20"/>
      <c r="K104" s="36"/>
      <c r="L104" s="22">
        <f>IF(B104="","",IF(I104="CompteCourant",IF(IF(ISNA(VLOOKUP(B104,DATA!$A$1:$A$16,1,0)),"",VLOOKUP(B104,DATA!$A$1:$A$16,1,0))="",L103+E104,L103-E104),L103))</f>
        <v>5502.5799999999981</v>
      </c>
      <c r="M104" s="23">
        <f>IF(B104="","",IF(I104="Coffre",IF(IF(ISNA(VLOOKUP(B104,DATA!$A$1:$A$16,1,0)),"",VLOOKUP(B104,DATA!$A$1:$A$16,1,0))="",M103+E104,M103-E104),M103))</f>
        <v>2242.2000000000003</v>
      </c>
      <c r="N104" s="23">
        <f>IF(B104="","",IF(I104="CompteEpargne",IF(IF(ISNA(VLOOKUP(B104,DATA!$A$1:$A$16,1,0)),"",VLOOKUP(B104,DATA!$A$1:$A$16,1,0))="",N103+E104,N103-E104),N103))</f>
        <v>42.64</v>
      </c>
      <c r="O104" s="32">
        <f>IF(B104="","",IF(J104="CompteEpargne",IF(IF(ISNA(VLOOKUP(B104,DATA!$A$1:$A$16,1,0)),"",VLOOKUP(B104,DATA!$A$1:$A$16,1,0))="",O103+E104,O103-E104),O103))</f>
        <v>42.64</v>
      </c>
      <c r="P104" s="22">
        <f t="shared" si="0"/>
        <v>7830.0599999999995</v>
      </c>
      <c r="Q104" s="32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4.25" customHeight="1" x14ac:dyDescent="0.2">
      <c r="A105" s="1"/>
      <c r="B105" s="33" t="s">
        <v>26</v>
      </c>
      <c r="C105" s="17">
        <f t="shared" si="1"/>
        <v>101</v>
      </c>
      <c r="D105" s="34">
        <v>45993</v>
      </c>
      <c r="E105" s="35">
        <v>64.2</v>
      </c>
      <c r="F105" s="20" t="s">
        <v>174</v>
      </c>
      <c r="G105" s="20"/>
      <c r="H105" s="36" t="s">
        <v>19</v>
      </c>
      <c r="I105" s="36" t="s">
        <v>29</v>
      </c>
      <c r="J105" s="20"/>
      <c r="K105" s="36"/>
      <c r="L105" s="22">
        <f>IF(B105="","",IF(I105="CompteCourant",IF(IF(ISNA(VLOOKUP(B105,DATA!$A$1:$A$16,1,0)),"",VLOOKUP(B105,DATA!$A$1:$A$16,1,0))="",L104+E105,L104-E105),L104))</f>
        <v>5438.3799999999983</v>
      </c>
      <c r="M105" s="23">
        <f>IF(B105="","",IF(I105="Coffre",IF(IF(ISNA(VLOOKUP(B105,DATA!$A$1:$A$16,1,0)),"",VLOOKUP(B105,DATA!$A$1:$A$16,1,0))="",M104+E105,M104-E105),M104))</f>
        <v>2242.2000000000003</v>
      </c>
      <c r="N105" s="23">
        <f>IF(B105="","",IF(I105="CompteEpargne",IF(IF(ISNA(VLOOKUP(B105,DATA!$A$1:$A$16,1,0)),"",VLOOKUP(B105,DATA!$A$1:$A$16,1,0))="",N104+E105,N104-E105),N104))</f>
        <v>42.64</v>
      </c>
      <c r="O105" s="32">
        <f>IF(B105="","",IF(J105="CompteEpargne",IF(IF(ISNA(VLOOKUP(B105,DATA!$A$1:$A$16,1,0)),"",VLOOKUP(B105,DATA!$A$1:$A$16,1,0))="",O104+E105,O104-E105),O104))</f>
        <v>42.64</v>
      </c>
      <c r="P105" s="22">
        <f t="shared" si="0"/>
        <v>7765.8599999999988</v>
      </c>
      <c r="Q105" s="32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4.25" customHeight="1" x14ac:dyDescent="0.2">
      <c r="A106" s="1"/>
      <c r="B106" s="33" t="s">
        <v>21</v>
      </c>
      <c r="C106" s="17">
        <f t="shared" si="1"/>
        <v>102</v>
      </c>
      <c r="D106" s="34">
        <v>45993</v>
      </c>
      <c r="E106" s="35">
        <v>0.99</v>
      </c>
      <c r="F106" s="387" t="s">
        <v>22</v>
      </c>
      <c r="G106" s="20" t="s">
        <v>440</v>
      </c>
      <c r="H106" s="36" t="s">
        <v>19</v>
      </c>
      <c r="I106" s="36" t="s">
        <v>29</v>
      </c>
      <c r="J106" s="20"/>
      <c r="K106" s="36"/>
      <c r="L106" s="22">
        <f>IF(B106="","",IF(I106="CompteCourant",IF(IF(ISNA(VLOOKUP(B106,DATA!$A$1:$A$16,1,0)),"",VLOOKUP(B106,DATA!$A$1:$A$16,1,0))="",L105+E106,L105-E106),L105))</f>
        <v>5439.3699999999981</v>
      </c>
      <c r="M106" s="23">
        <f>IF(B106="","",IF(I106="Coffre",IF(IF(ISNA(VLOOKUP(B106,DATA!$A$1:$A$16,1,0)),"",VLOOKUP(B106,DATA!$A$1:$A$16,1,0))="",M105+E106,M105-E106),M105))</f>
        <v>2242.2000000000003</v>
      </c>
      <c r="N106" s="23">
        <f>IF(B106="","",IF(I106="CompteEpargne",IF(IF(ISNA(VLOOKUP(B106,DATA!$A$1:$A$16,1,0)),"",VLOOKUP(B106,DATA!$A$1:$A$16,1,0))="",N105+E106,N105-E106),N105))</f>
        <v>42.64</v>
      </c>
      <c r="O106" s="32">
        <f>IF(B106="","",IF(J106="CompteEpargne",IF(IF(ISNA(VLOOKUP(B106,DATA!$A$1:$A$16,1,0)),"",VLOOKUP(B106,DATA!$A$1:$A$16,1,0))="",O105+E106,O105-E106),O105))</f>
        <v>42.64</v>
      </c>
      <c r="P106" s="22">
        <f t="shared" si="0"/>
        <v>7766.8499999999985</v>
      </c>
      <c r="Q106" s="32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4.25" customHeight="1" x14ac:dyDescent="0.2">
      <c r="A107" s="1"/>
      <c r="B107" s="33" t="s">
        <v>21</v>
      </c>
      <c r="C107" s="17">
        <f t="shared" si="1"/>
        <v>103</v>
      </c>
      <c r="D107" s="34">
        <v>45993</v>
      </c>
      <c r="E107" s="35">
        <v>414</v>
      </c>
      <c r="F107" s="387" t="s">
        <v>22</v>
      </c>
      <c r="G107" s="20" t="s">
        <v>440</v>
      </c>
      <c r="H107" s="36" t="s">
        <v>19</v>
      </c>
      <c r="I107" s="36" t="s">
        <v>29</v>
      </c>
      <c r="J107" s="20"/>
      <c r="K107" s="36"/>
      <c r="L107" s="22">
        <f>IF(B107="","",IF(I107="CompteCourant",IF(IF(ISNA(VLOOKUP(B107,DATA!$A$1:$A$16,1,0)),"",VLOOKUP(B107,DATA!$A$1:$A$16,1,0))="",L106+E107,L106-E107),L106))</f>
        <v>5853.3699999999981</v>
      </c>
      <c r="M107" s="23">
        <f>IF(B107="","",IF(I107="Coffre",IF(IF(ISNA(VLOOKUP(B107,DATA!$A$1:$A$16,1,0)),"",VLOOKUP(B107,DATA!$A$1:$A$16,1,0))="",M106+E107,M106-E107),M106))</f>
        <v>2242.2000000000003</v>
      </c>
      <c r="N107" s="23">
        <f>IF(B107="","",IF(I107="CompteEpargne",IF(IF(ISNA(VLOOKUP(B107,DATA!$A$1:$A$16,1,0)),"",VLOOKUP(B107,DATA!$A$1:$A$16,1,0))="",N106+E107,N106-E107),N106))</f>
        <v>42.64</v>
      </c>
      <c r="O107" s="32">
        <f>IF(B107="","",IF(J107="CompteEpargne",IF(IF(ISNA(VLOOKUP(B107,DATA!$A$1:$A$16,1,0)),"",VLOOKUP(B107,DATA!$A$1:$A$16,1,0))="",O106+E107,O106-E107),O106))</f>
        <v>42.64</v>
      </c>
      <c r="P107" s="22">
        <f t="shared" si="0"/>
        <v>8180.8499999999985</v>
      </c>
      <c r="Q107" s="32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4.25" customHeight="1" x14ac:dyDescent="0.2">
      <c r="A108" s="1"/>
      <c r="B108" s="33" t="s">
        <v>21</v>
      </c>
      <c r="C108" s="17">
        <f t="shared" si="1"/>
        <v>104</v>
      </c>
      <c r="D108" s="34">
        <v>45993</v>
      </c>
      <c r="E108" s="35">
        <v>560.54</v>
      </c>
      <c r="F108" s="387" t="s">
        <v>22</v>
      </c>
      <c r="G108" s="20" t="s">
        <v>440</v>
      </c>
      <c r="H108" s="36" t="s">
        <v>19</v>
      </c>
      <c r="I108" s="36" t="s">
        <v>29</v>
      </c>
      <c r="J108" s="20"/>
      <c r="K108" s="36"/>
      <c r="L108" s="22">
        <f>IF(B108="","",IF(I108="CompteCourant",IF(IF(ISNA(VLOOKUP(B108,DATA!$A$1:$A$16,1,0)),"",VLOOKUP(B108,DATA!$A$1:$A$16,1,0))="",L107+E108,L107-E108),L107))</f>
        <v>6413.909999999998</v>
      </c>
      <c r="M108" s="23">
        <f>IF(B108="","",IF(I108="Coffre",IF(IF(ISNA(VLOOKUP(B108,DATA!$A$1:$A$16,1,0)),"",VLOOKUP(B108,DATA!$A$1:$A$16,1,0))="",M107+E108,M107-E108),M107))</f>
        <v>2242.2000000000003</v>
      </c>
      <c r="N108" s="23">
        <f>IF(B108="","",IF(I108="CompteEpargne",IF(IF(ISNA(VLOOKUP(B108,DATA!$A$1:$A$16,1,0)),"",VLOOKUP(B108,DATA!$A$1:$A$16,1,0))="",N107+E108,N107-E108),N107))</f>
        <v>42.64</v>
      </c>
      <c r="O108" s="32">
        <f>IF(B108="","",IF(J108="CompteEpargne",IF(IF(ISNA(VLOOKUP(B108,DATA!$A$1:$A$16,1,0)),"",VLOOKUP(B108,DATA!$A$1:$A$16,1,0))="",O107+E108,O107-E108),O107))</f>
        <v>42.64</v>
      </c>
      <c r="P108" s="22">
        <f t="shared" si="0"/>
        <v>8741.3899999999976</v>
      </c>
      <c r="Q108" s="32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4.25" customHeight="1" x14ac:dyDescent="0.2">
      <c r="A109" s="1"/>
      <c r="B109" s="33" t="s">
        <v>21</v>
      </c>
      <c r="C109" s="17">
        <f t="shared" si="1"/>
        <v>105</v>
      </c>
      <c r="D109" s="34">
        <v>45993</v>
      </c>
      <c r="E109" s="35">
        <v>123.11</v>
      </c>
      <c r="F109" s="387" t="s">
        <v>22</v>
      </c>
      <c r="G109" s="20" t="s">
        <v>439</v>
      </c>
      <c r="H109" s="36" t="s">
        <v>19</v>
      </c>
      <c r="I109" s="36" t="s">
        <v>29</v>
      </c>
      <c r="J109" s="20"/>
      <c r="K109" s="36"/>
      <c r="L109" s="22">
        <f>IF(B109="","",IF(I109="CompteCourant",IF(IF(ISNA(VLOOKUP(B109,DATA!$A$1:$A$16,1,0)),"",VLOOKUP(B109,DATA!$A$1:$A$16,1,0))="",L108+E109,L108-E109),L108))</f>
        <v>6537.0199999999977</v>
      </c>
      <c r="M109" s="23">
        <f>IF(B109="","",IF(I109="Coffre",IF(IF(ISNA(VLOOKUP(B109,DATA!$A$1:$A$16,1,0)),"",VLOOKUP(B109,DATA!$A$1:$A$16,1,0))="",M108+E109,M108-E109),M108))</f>
        <v>2242.2000000000003</v>
      </c>
      <c r="N109" s="23">
        <f>IF(B109="","",IF(I109="CompteEpargne",IF(IF(ISNA(VLOOKUP(B109,DATA!$A$1:$A$16,1,0)),"",VLOOKUP(B109,DATA!$A$1:$A$16,1,0))="",N108+E109,N108-E109),N108))</f>
        <v>42.64</v>
      </c>
      <c r="O109" s="32">
        <f>IF(B109="","",IF(J109="CompteEpargne",IF(IF(ISNA(VLOOKUP(B109,DATA!$A$1:$A$16,1,0)),"",VLOOKUP(B109,DATA!$A$1:$A$16,1,0))="",O108+E109,O108-E109),O108))</f>
        <v>42.64</v>
      </c>
      <c r="P109" s="22">
        <f t="shared" si="0"/>
        <v>8864.4999999999964</v>
      </c>
      <c r="Q109" s="32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4.25" customHeight="1" x14ac:dyDescent="0.2">
      <c r="A110" s="1"/>
      <c r="B110" s="33" t="s">
        <v>26</v>
      </c>
      <c r="C110" s="17">
        <f t="shared" si="1"/>
        <v>106</v>
      </c>
      <c r="D110" s="34">
        <v>45994</v>
      </c>
      <c r="E110" s="35">
        <v>3.4</v>
      </c>
      <c r="F110" s="20" t="s">
        <v>175</v>
      </c>
      <c r="G110" s="20"/>
      <c r="H110" s="36" t="s">
        <v>19</v>
      </c>
      <c r="I110" s="36" t="s">
        <v>29</v>
      </c>
      <c r="J110" s="20"/>
      <c r="K110" s="36"/>
      <c r="L110" s="22">
        <f>IF(B110="","",IF(I110="CompteCourant",IF(IF(ISNA(VLOOKUP(B110,DATA!$A$1:$A$16,1,0)),"",VLOOKUP(B110,DATA!$A$1:$A$16,1,0))="",L109+E110,L109-E110),L109))</f>
        <v>6533.6199999999981</v>
      </c>
      <c r="M110" s="23">
        <f>IF(B110="","",IF(I110="Coffre",IF(IF(ISNA(VLOOKUP(B110,DATA!$A$1:$A$16,1,0)),"",VLOOKUP(B110,DATA!$A$1:$A$16,1,0))="",M109+E110,M109-E110),M109))</f>
        <v>2242.2000000000003</v>
      </c>
      <c r="N110" s="23">
        <f>IF(B110="","",IF(I110="CompteEpargne",IF(IF(ISNA(VLOOKUP(B110,DATA!$A$1:$A$16,1,0)),"",VLOOKUP(B110,DATA!$A$1:$A$16,1,0))="",N109+E110,N109-E110),N109))</f>
        <v>42.64</v>
      </c>
      <c r="O110" s="32">
        <f>IF(B110="","",IF(J110="CompteEpargne",IF(IF(ISNA(VLOOKUP(B110,DATA!$A$1:$A$16,1,0)),"",VLOOKUP(B110,DATA!$A$1:$A$16,1,0))="",O109+E110,O109-E110),O109))</f>
        <v>42.64</v>
      </c>
      <c r="P110" s="22">
        <f t="shared" si="0"/>
        <v>8861.0999999999967</v>
      </c>
      <c r="Q110" s="32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4.25" customHeight="1" x14ac:dyDescent="0.2">
      <c r="A111" s="1"/>
      <c r="B111" s="33" t="s">
        <v>21</v>
      </c>
      <c r="C111" s="17">
        <f t="shared" si="1"/>
        <v>107</v>
      </c>
      <c r="D111" s="34">
        <v>45994</v>
      </c>
      <c r="E111" s="35">
        <v>160.54</v>
      </c>
      <c r="F111" s="387" t="s">
        <v>22</v>
      </c>
      <c r="G111" s="20" t="s">
        <v>439</v>
      </c>
      <c r="H111" s="36" t="s">
        <v>19</v>
      </c>
      <c r="I111" s="36" t="s">
        <v>29</v>
      </c>
      <c r="J111" s="20"/>
      <c r="K111" s="36"/>
      <c r="L111" s="22">
        <f>IF(B111="","",IF(I111="CompteCourant",IF(IF(ISNA(VLOOKUP(B111,DATA!$A$1:$A$16,1,0)),"",VLOOKUP(B111,DATA!$A$1:$A$16,1,0))="",L110+E111,L110-E111),L110))</f>
        <v>6694.159999999998</v>
      </c>
      <c r="M111" s="23">
        <f>IF(B111="","",IF(I111="Coffre",IF(IF(ISNA(VLOOKUP(B111,DATA!$A$1:$A$16,1,0)),"",VLOOKUP(B111,DATA!$A$1:$A$16,1,0))="",M110+E111,M110-E111),M110))</f>
        <v>2242.2000000000003</v>
      </c>
      <c r="N111" s="23">
        <f>IF(B111="","",IF(I111="CompteEpargne",IF(IF(ISNA(VLOOKUP(B111,DATA!$A$1:$A$16,1,0)),"",VLOOKUP(B111,DATA!$A$1:$A$16,1,0))="",N110+E111,N110-E111),N110))</f>
        <v>42.64</v>
      </c>
      <c r="O111" s="32">
        <f>IF(B111="","",IF(J111="CompteEpargne",IF(IF(ISNA(VLOOKUP(B111,DATA!$A$1:$A$16,1,0)),"",VLOOKUP(B111,DATA!$A$1:$A$16,1,0))="",O110+E111,O110-E111),O110))</f>
        <v>42.64</v>
      </c>
      <c r="P111" s="22">
        <f t="shared" si="0"/>
        <v>9021.6399999999976</v>
      </c>
      <c r="Q111" s="32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4.25" customHeight="1" x14ac:dyDescent="0.2">
      <c r="A112" s="1"/>
      <c r="B112" s="33" t="s">
        <v>21</v>
      </c>
      <c r="C112" s="17">
        <f t="shared" si="1"/>
        <v>108</v>
      </c>
      <c r="D112" s="34">
        <v>45994</v>
      </c>
      <c r="E112" s="35">
        <v>347.37</v>
      </c>
      <c r="F112" s="387" t="s">
        <v>22</v>
      </c>
      <c r="G112" s="20" t="s">
        <v>440</v>
      </c>
      <c r="H112" s="36" t="s">
        <v>19</v>
      </c>
      <c r="I112" s="36" t="s">
        <v>29</v>
      </c>
      <c r="J112" s="20"/>
      <c r="K112" s="36"/>
      <c r="L112" s="22">
        <f>IF(B112="","",IF(I112="CompteCourant",IF(IF(ISNA(VLOOKUP(B112,DATA!$A$1:$A$16,1,0)),"",VLOOKUP(B112,DATA!$A$1:$A$16,1,0))="",L111+E112,L111-E112),L111))</f>
        <v>7041.5299999999979</v>
      </c>
      <c r="M112" s="23">
        <f>IF(B112="","",IF(I112="Coffre",IF(IF(ISNA(VLOOKUP(B112,DATA!$A$1:$A$16,1,0)),"",VLOOKUP(B112,DATA!$A$1:$A$16,1,0))="",M111+E112,M111-E112),M111))</f>
        <v>2242.2000000000003</v>
      </c>
      <c r="N112" s="23">
        <f>IF(B112="","",IF(I112="CompteEpargne",IF(IF(ISNA(VLOOKUP(B112,DATA!$A$1:$A$16,1,0)),"",VLOOKUP(B112,DATA!$A$1:$A$16,1,0))="",N111+E112,N111-E112),N111))</f>
        <v>42.64</v>
      </c>
      <c r="O112" s="32">
        <f>IF(B112="","",IF(J112="CompteEpargne",IF(IF(ISNA(VLOOKUP(B112,DATA!$A$1:$A$16,1,0)),"",VLOOKUP(B112,DATA!$A$1:$A$16,1,0))="",O111+E112,O111-E112),O111))</f>
        <v>42.64</v>
      </c>
      <c r="P112" s="22">
        <f t="shared" si="0"/>
        <v>9369.0099999999966</v>
      </c>
      <c r="Q112" s="32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4.25" customHeight="1" x14ac:dyDescent="0.2">
      <c r="A113" s="1"/>
      <c r="B113" s="33" t="s">
        <v>21</v>
      </c>
      <c r="C113" s="17">
        <f t="shared" si="1"/>
        <v>109</v>
      </c>
      <c r="D113" s="34">
        <v>45995</v>
      </c>
      <c r="E113" s="35">
        <v>226.95</v>
      </c>
      <c r="F113" s="387" t="s">
        <v>22</v>
      </c>
      <c r="G113" s="20" t="s">
        <v>440</v>
      </c>
      <c r="H113" s="36" t="s">
        <v>19</v>
      </c>
      <c r="I113" s="36" t="s">
        <v>29</v>
      </c>
      <c r="J113" s="20"/>
      <c r="K113" s="36"/>
      <c r="L113" s="22">
        <f>IF(B113="","",IF(I113="CompteCourant",IF(IF(ISNA(VLOOKUP(B113,DATA!$A$1:$A$16,1,0)),"",VLOOKUP(B113,DATA!$A$1:$A$16,1,0))="",L112+E113,L112-E113),L112))</f>
        <v>7268.4799999999977</v>
      </c>
      <c r="M113" s="23">
        <f>IF(B113="","",IF(I113="Coffre",IF(IF(ISNA(VLOOKUP(B113,DATA!$A$1:$A$16,1,0)),"",VLOOKUP(B113,DATA!$A$1:$A$16,1,0))="",M112+E113,M112-E113),M112))</f>
        <v>2242.2000000000003</v>
      </c>
      <c r="N113" s="23">
        <f>IF(B113="","",IF(I113="CompteEpargne",IF(IF(ISNA(VLOOKUP(B113,DATA!$A$1:$A$16,1,0)),"",VLOOKUP(B113,DATA!$A$1:$A$16,1,0))="",N112+E113,N112-E113),N112))</f>
        <v>42.64</v>
      </c>
      <c r="O113" s="32">
        <f>IF(B113="","",IF(J113="CompteEpargne",IF(IF(ISNA(VLOOKUP(B113,DATA!$A$1:$A$16,1,0)),"",VLOOKUP(B113,DATA!$A$1:$A$16,1,0))="",O112+E113,O112-E113),O112))</f>
        <v>42.64</v>
      </c>
      <c r="P113" s="22">
        <f t="shared" si="0"/>
        <v>9595.9599999999973</v>
      </c>
      <c r="Q113" s="32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4.25" customHeight="1" x14ac:dyDescent="0.2">
      <c r="A114" s="1"/>
      <c r="B114" s="33" t="s">
        <v>26</v>
      </c>
      <c r="C114" s="17">
        <f t="shared" si="1"/>
        <v>110</v>
      </c>
      <c r="D114" s="34">
        <v>45996</v>
      </c>
      <c r="E114" s="35">
        <v>103.05</v>
      </c>
      <c r="F114" s="20" t="s">
        <v>176</v>
      </c>
      <c r="G114" s="20"/>
      <c r="H114" s="36" t="s">
        <v>19</v>
      </c>
      <c r="I114" s="36" t="s">
        <v>29</v>
      </c>
      <c r="J114" s="20"/>
      <c r="K114" s="36"/>
      <c r="L114" s="22">
        <f>IF(B114="","",IF(I114="CompteCourant",IF(IF(ISNA(VLOOKUP(B114,DATA!$A$1:$A$16,1,0)),"",VLOOKUP(B114,DATA!$A$1:$A$16,1,0))="",L113+E114,L113-E114),L113))</f>
        <v>7165.4299999999976</v>
      </c>
      <c r="M114" s="23">
        <f>IF(B114="","",IF(I114="Coffre",IF(IF(ISNA(VLOOKUP(B114,DATA!$A$1:$A$16,1,0)),"",VLOOKUP(B114,DATA!$A$1:$A$16,1,0))="",M113+E114,M113-E114),M113))</f>
        <v>2242.2000000000003</v>
      </c>
      <c r="N114" s="23">
        <f>IF(B114="","",IF(I114="CompteEpargne",IF(IF(ISNA(VLOOKUP(B114,DATA!$A$1:$A$16,1,0)),"",VLOOKUP(B114,DATA!$A$1:$A$16,1,0))="",N113+E114,N113-E114),N113))</f>
        <v>42.64</v>
      </c>
      <c r="O114" s="32">
        <f>IF(B114="","",IF(J114="CompteEpargne",IF(IF(ISNA(VLOOKUP(B114,DATA!$A$1:$A$16,1,0)),"",VLOOKUP(B114,DATA!$A$1:$A$16,1,0))="",O113+E114,O113-E114),O113))</f>
        <v>42.64</v>
      </c>
      <c r="P114" s="22">
        <f t="shared" si="0"/>
        <v>9492.9099999999962</v>
      </c>
      <c r="Q114" s="32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4.25" customHeight="1" x14ac:dyDescent="0.2">
      <c r="A115" s="1"/>
      <c r="B115" s="33" t="s">
        <v>21</v>
      </c>
      <c r="C115" s="17">
        <f t="shared" si="1"/>
        <v>111</v>
      </c>
      <c r="D115" s="34">
        <v>45996</v>
      </c>
      <c r="E115" s="35">
        <v>515.15</v>
      </c>
      <c r="F115" s="387" t="s">
        <v>22</v>
      </c>
      <c r="G115" s="20" t="s">
        <v>440</v>
      </c>
      <c r="H115" s="36" t="s">
        <v>19</v>
      </c>
      <c r="I115" s="36" t="s">
        <v>29</v>
      </c>
      <c r="J115" s="20"/>
      <c r="K115" s="36"/>
      <c r="L115" s="22">
        <f>IF(B115="","",IF(I115="CompteCourant",IF(IF(ISNA(VLOOKUP(B115,DATA!$A$1:$A$16,1,0)),"",VLOOKUP(B115,DATA!$A$1:$A$16,1,0))="",L114+E115,L114-E115),L114))</f>
        <v>7680.5799999999972</v>
      </c>
      <c r="M115" s="23">
        <f>IF(B115="","",IF(I115="Coffre",IF(IF(ISNA(VLOOKUP(B115,DATA!$A$1:$A$16,1,0)),"",VLOOKUP(B115,DATA!$A$1:$A$16,1,0))="",M114+E115,M114-E115),M114))</f>
        <v>2242.2000000000003</v>
      </c>
      <c r="N115" s="23">
        <f>IF(B115="","",IF(I115="CompteEpargne",IF(IF(ISNA(VLOOKUP(B115,DATA!$A$1:$A$16,1,0)),"",VLOOKUP(B115,DATA!$A$1:$A$16,1,0))="",N114+E115,N114-E115),N114))</f>
        <v>42.64</v>
      </c>
      <c r="O115" s="32">
        <f>IF(B115="","",IF(J115="CompteEpargne",IF(IF(ISNA(VLOOKUP(B115,DATA!$A$1:$A$16,1,0)),"",VLOOKUP(B115,DATA!$A$1:$A$16,1,0))="",O114+E115,O114-E115),O114))</f>
        <v>42.64</v>
      </c>
      <c r="P115" s="22">
        <f t="shared" si="0"/>
        <v>10008.059999999996</v>
      </c>
      <c r="Q115" s="32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4.25" customHeight="1" x14ac:dyDescent="0.2">
      <c r="A116" s="1"/>
      <c r="B116" s="33" t="s">
        <v>21</v>
      </c>
      <c r="C116" s="17">
        <f t="shared" si="1"/>
        <v>112</v>
      </c>
      <c r="D116" s="34">
        <v>45996</v>
      </c>
      <c r="E116" s="35">
        <v>95.54</v>
      </c>
      <c r="F116" s="387" t="s">
        <v>22</v>
      </c>
      <c r="G116" s="20" t="s">
        <v>439</v>
      </c>
      <c r="H116" s="36" t="s">
        <v>19</v>
      </c>
      <c r="I116" s="36" t="s">
        <v>29</v>
      </c>
      <c r="J116" s="20"/>
      <c r="K116" s="36"/>
      <c r="L116" s="22">
        <f>IF(B116="","",IF(I116="CompteCourant",IF(IF(ISNA(VLOOKUP(B116,DATA!$A$1:$A$16,1,0)),"",VLOOKUP(B116,DATA!$A$1:$A$16,1,0))="",L115+E116,L115-E116),L115))</f>
        <v>7776.1199999999972</v>
      </c>
      <c r="M116" s="23">
        <f>IF(B116="","",IF(I116="Coffre",IF(IF(ISNA(VLOOKUP(B116,DATA!$A$1:$A$16,1,0)),"",VLOOKUP(B116,DATA!$A$1:$A$16,1,0))="",M115+E116,M115-E116),M115))</f>
        <v>2242.2000000000003</v>
      </c>
      <c r="N116" s="23">
        <f>IF(B116="","",IF(I116="CompteEpargne",IF(IF(ISNA(VLOOKUP(B116,DATA!$A$1:$A$16,1,0)),"",VLOOKUP(B116,DATA!$A$1:$A$16,1,0))="",N115+E116,N115-E116),N115))</f>
        <v>42.64</v>
      </c>
      <c r="O116" s="32">
        <f>IF(B116="","",IF(J116="CompteEpargne",IF(IF(ISNA(VLOOKUP(B116,DATA!$A$1:$A$16,1,0)),"",VLOOKUP(B116,DATA!$A$1:$A$16,1,0))="",O115+E116,O115-E116),O115))</f>
        <v>42.64</v>
      </c>
      <c r="P116" s="22">
        <f t="shared" si="0"/>
        <v>10103.599999999997</v>
      </c>
      <c r="Q116" s="32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4.25" customHeight="1" x14ac:dyDescent="0.2">
      <c r="A117" s="1"/>
      <c r="B117" s="33" t="s">
        <v>26</v>
      </c>
      <c r="C117" s="17">
        <f t="shared" si="1"/>
        <v>113</v>
      </c>
      <c r="D117" s="34">
        <v>45998</v>
      </c>
      <c r="E117" s="35">
        <v>69.75</v>
      </c>
      <c r="F117" s="20" t="s">
        <v>177</v>
      </c>
      <c r="G117" s="20"/>
      <c r="H117" s="36" t="s">
        <v>19</v>
      </c>
      <c r="I117" s="36" t="s">
        <v>29</v>
      </c>
      <c r="J117" s="20"/>
      <c r="K117" s="36"/>
      <c r="L117" s="22">
        <f>IF(B117="","",IF(I117="CompteCourant",IF(IF(ISNA(VLOOKUP(B117,DATA!$A$1:$A$16,1,0)),"",VLOOKUP(B117,DATA!$A$1:$A$16,1,0))="",L116+E117,L116-E117),L116))</f>
        <v>7706.3699999999972</v>
      </c>
      <c r="M117" s="23">
        <f>IF(B117="","",IF(I117="Coffre",IF(IF(ISNA(VLOOKUP(B117,DATA!$A$1:$A$16,1,0)),"",VLOOKUP(B117,DATA!$A$1:$A$16,1,0))="",M116+E117,M116-E117),M116))</f>
        <v>2242.2000000000003</v>
      </c>
      <c r="N117" s="23">
        <f>IF(B117="","",IF(I117="CompteEpargne",IF(IF(ISNA(VLOOKUP(B117,DATA!$A$1:$A$16,1,0)),"",VLOOKUP(B117,DATA!$A$1:$A$16,1,0))="",N116+E117,N116-E117),N116))</f>
        <v>42.64</v>
      </c>
      <c r="O117" s="32">
        <f>IF(B117="","",IF(J117="CompteEpargne",IF(IF(ISNA(VLOOKUP(B117,DATA!$A$1:$A$16,1,0)),"",VLOOKUP(B117,DATA!$A$1:$A$16,1,0))="",O116+E117,O116-E117),O116))</f>
        <v>42.64</v>
      </c>
      <c r="P117" s="22">
        <f t="shared" si="0"/>
        <v>10033.849999999997</v>
      </c>
      <c r="Q117" s="32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4.25" customHeight="1" x14ac:dyDescent="0.2">
      <c r="A118" s="1"/>
      <c r="B118" s="33" t="s">
        <v>26</v>
      </c>
      <c r="C118" s="17">
        <f t="shared" si="1"/>
        <v>114</v>
      </c>
      <c r="D118" s="34">
        <v>45998</v>
      </c>
      <c r="E118" s="35">
        <v>30</v>
      </c>
      <c r="F118" s="20" t="s">
        <v>178</v>
      </c>
      <c r="G118" s="20"/>
      <c r="H118" s="36" t="s">
        <v>19</v>
      </c>
      <c r="I118" s="36" t="s">
        <v>29</v>
      </c>
      <c r="J118" s="20"/>
      <c r="K118" s="36"/>
      <c r="L118" s="22">
        <f>IF(B118="","",IF(I118="CompteCourant",IF(IF(ISNA(VLOOKUP(B118,DATA!$A$1:$A$16,1,0)),"",VLOOKUP(B118,DATA!$A$1:$A$16,1,0))="",L117+E118,L117-E118),L117))</f>
        <v>7676.3699999999972</v>
      </c>
      <c r="M118" s="23">
        <f>IF(B118="","",IF(I118="Coffre",IF(IF(ISNA(VLOOKUP(B118,DATA!$A$1:$A$16,1,0)),"",VLOOKUP(B118,DATA!$A$1:$A$16,1,0))="",M117+E118,M117-E118),M117))</f>
        <v>2242.2000000000003</v>
      </c>
      <c r="N118" s="23">
        <f>IF(B118="","",IF(I118="CompteEpargne",IF(IF(ISNA(VLOOKUP(B118,DATA!$A$1:$A$16,1,0)),"",VLOOKUP(B118,DATA!$A$1:$A$16,1,0))="",N117+E118,N117-E118),N117))</f>
        <v>42.64</v>
      </c>
      <c r="O118" s="32">
        <f>IF(B118="","",IF(J118="CompteEpargne",IF(IF(ISNA(VLOOKUP(B118,DATA!$A$1:$A$16,1,0)),"",VLOOKUP(B118,DATA!$A$1:$A$16,1,0))="",O117+E118,O117-E118),O117))</f>
        <v>42.64</v>
      </c>
      <c r="P118" s="22">
        <f t="shared" si="0"/>
        <v>10003.849999999997</v>
      </c>
      <c r="Q118" s="32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4.25" customHeight="1" x14ac:dyDescent="0.2">
      <c r="A119" s="1"/>
      <c r="B119" s="33" t="s">
        <v>21</v>
      </c>
      <c r="C119" s="17">
        <f t="shared" si="1"/>
        <v>115</v>
      </c>
      <c r="D119" s="34">
        <v>45999</v>
      </c>
      <c r="E119" s="35">
        <v>386.85</v>
      </c>
      <c r="F119" s="387" t="s">
        <v>22</v>
      </c>
      <c r="G119" s="20" t="s">
        <v>440</v>
      </c>
      <c r="H119" s="36" t="s">
        <v>19</v>
      </c>
      <c r="I119" s="36" t="s">
        <v>29</v>
      </c>
      <c r="J119" s="20"/>
      <c r="K119" s="36"/>
      <c r="L119" s="22">
        <f>IF(B119="","",IF(I119="CompteCourant",IF(IF(ISNA(VLOOKUP(B119,DATA!$A$1:$A$16,1,0)),"",VLOOKUP(B119,DATA!$A$1:$A$16,1,0))="",L118+E119,L118-E119),L118))</f>
        <v>8063.2199999999975</v>
      </c>
      <c r="M119" s="23">
        <f>IF(B119="","",IF(I119="Coffre",IF(IF(ISNA(VLOOKUP(B119,DATA!$A$1:$A$16,1,0)),"",VLOOKUP(B119,DATA!$A$1:$A$16,1,0))="",M118+E119,M118-E119),M118))</f>
        <v>2242.2000000000003</v>
      </c>
      <c r="N119" s="23">
        <f>IF(B119="","",IF(I119="CompteEpargne",IF(IF(ISNA(VLOOKUP(B119,DATA!$A$1:$A$16,1,0)),"",VLOOKUP(B119,DATA!$A$1:$A$16,1,0))="",N118+E119,N118-E119),N118))</f>
        <v>42.64</v>
      </c>
      <c r="O119" s="32">
        <f>IF(B119="","",IF(J119="CompteEpargne",IF(IF(ISNA(VLOOKUP(B119,DATA!$A$1:$A$16,1,0)),"",VLOOKUP(B119,DATA!$A$1:$A$16,1,0))="",O118+E119,O118-E119),O118))</f>
        <v>42.64</v>
      </c>
      <c r="P119" s="22">
        <f t="shared" si="0"/>
        <v>10390.699999999997</v>
      </c>
      <c r="Q119" s="32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4.25" customHeight="1" x14ac:dyDescent="0.2">
      <c r="A120" s="1"/>
      <c r="B120" s="33" t="s">
        <v>21</v>
      </c>
      <c r="C120" s="17">
        <f t="shared" si="1"/>
        <v>116</v>
      </c>
      <c r="D120" s="34">
        <v>45999</v>
      </c>
      <c r="E120" s="35">
        <v>410.53</v>
      </c>
      <c r="F120" s="387" t="s">
        <v>22</v>
      </c>
      <c r="G120" s="20" t="s">
        <v>439</v>
      </c>
      <c r="H120" s="36" t="s">
        <v>19</v>
      </c>
      <c r="I120" s="36" t="s">
        <v>29</v>
      </c>
      <c r="J120" s="20"/>
      <c r="K120" s="36"/>
      <c r="L120" s="22">
        <f>IF(B120="","",IF(I120="CompteCourant",IF(IF(ISNA(VLOOKUP(B120,DATA!$A$1:$A$16,1,0)),"",VLOOKUP(B120,DATA!$A$1:$A$16,1,0))="",L119+E120,L119-E120),L119))</f>
        <v>8473.7499999999982</v>
      </c>
      <c r="M120" s="23">
        <f>IF(B120="","",IF(I120="Coffre",IF(IF(ISNA(VLOOKUP(B120,DATA!$A$1:$A$16,1,0)),"",VLOOKUP(B120,DATA!$A$1:$A$16,1,0))="",M119+E120,M119-E120),M119))</f>
        <v>2242.2000000000003</v>
      </c>
      <c r="N120" s="23">
        <f>IF(B120="","",IF(I120="CompteEpargne",IF(IF(ISNA(VLOOKUP(B120,DATA!$A$1:$A$16,1,0)),"",VLOOKUP(B120,DATA!$A$1:$A$16,1,0))="",N119+E120,N119-E120),N119))</f>
        <v>42.64</v>
      </c>
      <c r="O120" s="32">
        <f>IF(B120="","",IF(J120="CompteEpargne",IF(IF(ISNA(VLOOKUP(B120,DATA!$A$1:$A$16,1,0)),"",VLOOKUP(B120,DATA!$A$1:$A$16,1,0))="",O119+E120,O119-E120),O119))</f>
        <v>42.64</v>
      </c>
      <c r="P120" s="22">
        <f t="shared" si="0"/>
        <v>10801.229999999998</v>
      </c>
      <c r="Q120" s="32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4.25" customHeight="1" x14ac:dyDescent="0.2">
      <c r="A121" s="1"/>
      <c r="B121" s="33" t="s">
        <v>21</v>
      </c>
      <c r="C121" s="17">
        <f t="shared" si="1"/>
        <v>117</v>
      </c>
      <c r="D121" s="34">
        <v>46000</v>
      </c>
      <c r="E121" s="35">
        <v>933.16</v>
      </c>
      <c r="F121" s="387" t="s">
        <v>22</v>
      </c>
      <c r="G121" s="20" t="s">
        <v>440</v>
      </c>
      <c r="H121" s="36" t="s">
        <v>19</v>
      </c>
      <c r="I121" s="36" t="s">
        <v>29</v>
      </c>
      <c r="J121" s="20"/>
      <c r="K121" s="36"/>
      <c r="L121" s="22">
        <f>IF(B121="","",IF(I121="CompteCourant",IF(IF(ISNA(VLOOKUP(B121,DATA!$A$1:$A$16,1,0)),"",VLOOKUP(B121,DATA!$A$1:$A$16,1,0))="",L120+E121,L120-E121),L120))</f>
        <v>9406.909999999998</v>
      </c>
      <c r="M121" s="23">
        <f>IF(B121="","",IF(I121="Coffre",IF(IF(ISNA(VLOOKUP(B121,DATA!$A$1:$A$16,1,0)),"",VLOOKUP(B121,DATA!$A$1:$A$16,1,0))="",M120+E121,M120-E121),M120))</f>
        <v>2242.2000000000003</v>
      </c>
      <c r="N121" s="23">
        <f>IF(B121="","",IF(I121="CompteEpargne",IF(IF(ISNA(VLOOKUP(B121,DATA!$A$1:$A$16,1,0)),"",VLOOKUP(B121,DATA!$A$1:$A$16,1,0))="",N120+E121,N120-E121),N120))</f>
        <v>42.64</v>
      </c>
      <c r="O121" s="32">
        <f>IF(B121="","",IF(J121="CompteEpargne",IF(IF(ISNA(VLOOKUP(B121,DATA!$A$1:$A$16,1,0)),"",VLOOKUP(B121,DATA!$A$1:$A$16,1,0))="",O120+E121,O120-E121),O120))</f>
        <v>42.64</v>
      </c>
      <c r="P121" s="22">
        <f t="shared" si="0"/>
        <v>11734.389999999998</v>
      </c>
      <c r="Q121" s="32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4.25" customHeight="1" x14ac:dyDescent="0.2">
      <c r="A122" s="1"/>
      <c r="B122" s="33" t="s">
        <v>21</v>
      </c>
      <c r="C122" s="17">
        <f t="shared" si="1"/>
        <v>118</v>
      </c>
      <c r="D122" s="34">
        <v>46000</v>
      </c>
      <c r="E122" s="35">
        <v>1158.67</v>
      </c>
      <c r="F122" s="387" t="s">
        <v>22</v>
      </c>
      <c r="G122" s="20" t="s">
        <v>440</v>
      </c>
      <c r="H122" s="36" t="s">
        <v>19</v>
      </c>
      <c r="I122" s="36" t="s">
        <v>29</v>
      </c>
      <c r="J122" s="20"/>
      <c r="K122" s="36"/>
      <c r="L122" s="22">
        <f>IF(B122="","",IF(I122="CompteCourant",IF(IF(ISNA(VLOOKUP(B122,DATA!$A$1:$A$16,1,0)),"",VLOOKUP(B122,DATA!$A$1:$A$16,1,0))="",L121+E122,L121-E122),L121))</f>
        <v>10565.579999999998</v>
      </c>
      <c r="M122" s="23">
        <f>IF(B122="","",IF(I122="Coffre",IF(IF(ISNA(VLOOKUP(B122,DATA!$A$1:$A$16,1,0)),"",VLOOKUP(B122,DATA!$A$1:$A$16,1,0))="",M121+E122,M121-E122),M121))</f>
        <v>2242.2000000000003</v>
      </c>
      <c r="N122" s="23">
        <f>IF(B122="","",IF(I122="CompteEpargne",IF(IF(ISNA(VLOOKUP(B122,DATA!$A$1:$A$16,1,0)),"",VLOOKUP(B122,DATA!$A$1:$A$16,1,0))="",N121+E122,N121-E122),N121))</f>
        <v>42.64</v>
      </c>
      <c r="O122" s="32">
        <f>IF(B122="","",IF(J122="CompteEpargne",IF(IF(ISNA(VLOOKUP(B122,DATA!$A$1:$A$16,1,0)),"",VLOOKUP(B122,DATA!$A$1:$A$16,1,0))="",O121+E122,O121-E122),O121))</f>
        <v>42.64</v>
      </c>
      <c r="P122" s="22">
        <f t="shared" si="0"/>
        <v>12893.059999999998</v>
      </c>
      <c r="Q122" s="32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4.25" customHeight="1" x14ac:dyDescent="0.2">
      <c r="A123" s="1"/>
      <c r="B123" s="33" t="s">
        <v>21</v>
      </c>
      <c r="C123" s="17">
        <f t="shared" si="1"/>
        <v>119</v>
      </c>
      <c r="D123" s="34">
        <v>46000</v>
      </c>
      <c r="E123" s="35">
        <v>223.05</v>
      </c>
      <c r="F123" s="387" t="s">
        <v>22</v>
      </c>
      <c r="G123" s="20" t="s">
        <v>440</v>
      </c>
      <c r="H123" s="36" t="s">
        <v>19</v>
      </c>
      <c r="I123" s="36" t="s">
        <v>29</v>
      </c>
      <c r="J123" s="20"/>
      <c r="K123" s="36"/>
      <c r="L123" s="22">
        <f>IF(B123="","",IF(I123="CompteCourant",IF(IF(ISNA(VLOOKUP(B123,DATA!$A$1:$A$16,1,0)),"",VLOOKUP(B123,DATA!$A$1:$A$16,1,0))="",L122+E123,L122-E123),L122))</f>
        <v>10788.629999999997</v>
      </c>
      <c r="M123" s="23">
        <f>IF(B123="","",IF(I123="Coffre",IF(IF(ISNA(VLOOKUP(B123,DATA!$A$1:$A$16,1,0)),"",VLOOKUP(B123,DATA!$A$1:$A$16,1,0))="",M122+E123,M122-E123),M122))</f>
        <v>2242.2000000000003</v>
      </c>
      <c r="N123" s="23">
        <f>IF(B123="","",IF(I123="CompteEpargne",IF(IF(ISNA(VLOOKUP(B123,DATA!$A$1:$A$16,1,0)),"",VLOOKUP(B123,DATA!$A$1:$A$16,1,0))="",N122+E123,N122-E123),N122))</f>
        <v>42.64</v>
      </c>
      <c r="O123" s="32">
        <f>IF(B123="","",IF(J123="CompteEpargne",IF(IF(ISNA(VLOOKUP(B123,DATA!$A$1:$A$16,1,0)),"",VLOOKUP(B123,DATA!$A$1:$A$16,1,0))="",O122+E123,O122-E123),O122))</f>
        <v>42.64</v>
      </c>
      <c r="P123" s="22">
        <f t="shared" si="0"/>
        <v>13116.109999999997</v>
      </c>
      <c r="Q123" s="32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4.25" customHeight="1" x14ac:dyDescent="0.2">
      <c r="A124" s="1"/>
      <c r="B124" s="33" t="s">
        <v>21</v>
      </c>
      <c r="C124" s="17">
        <f t="shared" si="1"/>
        <v>120</v>
      </c>
      <c r="D124" s="34">
        <v>46002</v>
      </c>
      <c r="E124" s="35">
        <v>15.6</v>
      </c>
      <c r="F124" s="387" t="s">
        <v>22</v>
      </c>
      <c r="G124" s="20" t="s">
        <v>439</v>
      </c>
      <c r="H124" s="36" t="s">
        <v>19</v>
      </c>
      <c r="I124" s="36" t="s">
        <v>29</v>
      </c>
      <c r="J124" s="20"/>
      <c r="K124" s="36"/>
      <c r="L124" s="22">
        <f>IF(B124="","",IF(I124="CompteCourant",IF(IF(ISNA(VLOOKUP(B124,DATA!$A$1:$A$16,1,0)),"",VLOOKUP(B124,DATA!$A$1:$A$16,1,0))="",L123+E124,L123-E124),L123))</f>
        <v>10804.229999999998</v>
      </c>
      <c r="M124" s="23">
        <f>IF(B124="","",IF(I124="Coffre",IF(IF(ISNA(VLOOKUP(B124,DATA!$A$1:$A$16,1,0)),"",VLOOKUP(B124,DATA!$A$1:$A$16,1,0))="",M123+E124,M123-E124),M123))</f>
        <v>2242.2000000000003</v>
      </c>
      <c r="N124" s="23">
        <f>IF(B124="","",IF(I124="CompteEpargne",IF(IF(ISNA(VLOOKUP(B124,DATA!$A$1:$A$16,1,0)),"",VLOOKUP(B124,DATA!$A$1:$A$16,1,0))="",N123+E124,N123-E124),N123))</f>
        <v>42.64</v>
      </c>
      <c r="O124" s="32">
        <f>IF(B124="","",IF(J124="CompteEpargne",IF(IF(ISNA(VLOOKUP(B124,DATA!$A$1:$A$16,1,0)),"",VLOOKUP(B124,DATA!$A$1:$A$16,1,0))="",O123+E124,O123-E124),O123))</f>
        <v>42.64</v>
      </c>
      <c r="P124" s="22">
        <f t="shared" si="0"/>
        <v>13131.709999999997</v>
      </c>
      <c r="Q124" s="32"/>
      <c r="R124" s="7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4.25" customHeight="1" x14ac:dyDescent="0.2">
      <c r="A125" s="1"/>
      <c r="B125" s="33" t="s">
        <v>26</v>
      </c>
      <c r="C125" s="17">
        <f t="shared" si="1"/>
        <v>121</v>
      </c>
      <c r="D125" s="34">
        <v>46005</v>
      </c>
      <c r="E125" s="35">
        <v>54.1</v>
      </c>
      <c r="F125" s="20" t="s">
        <v>166</v>
      </c>
      <c r="G125" s="20"/>
      <c r="H125" s="36" t="s">
        <v>19</v>
      </c>
      <c r="I125" s="36" t="s">
        <v>29</v>
      </c>
      <c r="J125" s="20"/>
      <c r="K125" s="36"/>
      <c r="L125" s="22">
        <f>IF(B125="","",IF(I125="CompteCourant",IF(IF(ISNA(VLOOKUP(B125,DATA!$A$1:$A$16,1,0)),"",VLOOKUP(B125,DATA!$A$1:$A$16,1,0))="",L124+E125,L124-E125),L124))</f>
        <v>10750.129999999997</v>
      </c>
      <c r="M125" s="23">
        <f>IF(B125="","",IF(I125="Coffre",IF(IF(ISNA(VLOOKUP(B125,DATA!$A$1:$A$16,1,0)),"",VLOOKUP(B125,DATA!$A$1:$A$16,1,0))="",M124+E125,M124-E125),M124))</f>
        <v>2242.2000000000003</v>
      </c>
      <c r="N125" s="23">
        <f>IF(B125="","",IF(I125="CompteEpargne",IF(IF(ISNA(VLOOKUP(B125,DATA!$A$1:$A$16,1,0)),"",VLOOKUP(B125,DATA!$A$1:$A$16,1,0))="",N124+E125,N124-E125),N124))</f>
        <v>42.64</v>
      </c>
      <c r="O125" s="32">
        <f>IF(B125="","",IF(J125="CompteEpargne",IF(IF(ISNA(VLOOKUP(B125,DATA!$A$1:$A$16,1,0)),"",VLOOKUP(B125,DATA!$A$1:$A$16,1,0))="",O124+E125,O124-E125),O124))</f>
        <v>42.64</v>
      </c>
      <c r="P125" s="22">
        <f t="shared" si="0"/>
        <v>13077.609999999997</v>
      </c>
      <c r="Q125" s="32"/>
      <c r="R125" s="7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4.25" customHeight="1" x14ac:dyDescent="0.2">
      <c r="A126" s="1"/>
      <c r="B126" s="33" t="s">
        <v>26</v>
      </c>
      <c r="C126" s="17">
        <f t="shared" si="1"/>
        <v>122</v>
      </c>
      <c r="D126" s="34">
        <v>46005</v>
      </c>
      <c r="E126" s="35">
        <v>222</v>
      </c>
      <c r="F126" s="20" t="s">
        <v>179</v>
      </c>
      <c r="G126" s="20"/>
      <c r="H126" s="36" t="s">
        <v>19</v>
      </c>
      <c r="I126" s="36" t="s">
        <v>29</v>
      </c>
      <c r="J126" s="20"/>
      <c r="K126" s="36"/>
      <c r="L126" s="22">
        <f>IF(B126="","",IF(I126="CompteCourant",IF(IF(ISNA(VLOOKUP(B126,DATA!$A$1:$A$16,1,0)),"",VLOOKUP(B126,DATA!$A$1:$A$16,1,0))="",L125+E126,L125-E126),L125))</f>
        <v>10528.129999999997</v>
      </c>
      <c r="M126" s="23">
        <f>IF(B126="","",IF(I126="Coffre",IF(IF(ISNA(VLOOKUP(B126,DATA!$A$1:$A$16,1,0)),"",VLOOKUP(B126,DATA!$A$1:$A$16,1,0))="",M125+E126,M125-E126),M125))</f>
        <v>2242.2000000000003</v>
      </c>
      <c r="N126" s="23">
        <f>IF(B126="","",IF(I126="CompteEpargne",IF(IF(ISNA(VLOOKUP(B126,DATA!$A$1:$A$16,1,0)),"",VLOOKUP(B126,DATA!$A$1:$A$16,1,0))="",N125+E126,N125-E126),N125))</f>
        <v>42.64</v>
      </c>
      <c r="O126" s="32">
        <f>IF(B126="","",IF(J126="CompteEpargne",IF(IF(ISNA(VLOOKUP(B126,DATA!$A$1:$A$16,1,0)),"",VLOOKUP(B126,DATA!$A$1:$A$16,1,0))="",O125+E126,O125-E126),O125))</f>
        <v>42.64</v>
      </c>
      <c r="P126" s="22">
        <f t="shared" si="0"/>
        <v>12855.609999999997</v>
      </c>
      <c r="Q126" s="32"/>
      <c r="R126" s="7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4.25" customHeight="1" x14ac:dyDescent="0.2">
      <c r="A127" s="1"/>
      <c r="B127" s="33" t="s">
        <v>26</v>
      </c>
      <c r="C127" s="17">
        <f t="shared" si="1"/>
        <v>123</v>
      </c>
      <c r="D127" s="34">
        <v>46005</v>
      </c>
      <c r="E127" s="35">
        <v>74</v>
      </c>
      <c r="F127" s="20" t="s">
        <v>180</v>
      </c>
      <c r="G127" s="20"/>
      <c r="H127" s="36" t="s">
        <v>19</v>
      </c>
      <c r="I127" s="36" t="s">
        <v>29</v>
      </c>
      <c r="J127" s="20"/>
      <c r="K127" s="36"/>
      <c r="L127" s="22">
        <f>IF(B127="","",IF(I127="CompteCourant",IF(IF(ISNA(VLOOKUP(B127,DATA!$A$1:$A$16,1,0)),"",VLOOKUP(B127,DATA!$A$1:$A$16,1,0))="",L126+E127,L126-E127),L126))</f>
        <v>10454.129999999997</v>
      </c>
      <c r="M127" s="23">
        <f>IF(B127="","",IF(I127="Coffre",IF(IF(ISNA(VLOOKUP(B127,DATA!$A$1:$A$16,1,0)),"",VLOOKUP(B127,DATA!$A$1:$A$16,1,0))="",M126+E127,M126-E127),M126))</f>
        <v>2242.2000000000003</v>
      </c>
      <c r="N127" s="23">
        <f>IF(B127="","",IF(I127="CompteEpargne",IF(IF(ISNA(VLOOKUP(B127,DATA!$A$1:$A$16,1,0)),"",VLOOKUP(B127,DATA!$A$1:$A$16,1,0))="",N126+E127,N126-E127),N126))</f>
        <v>42.64</v>
      </c>
      <c r="O127" s="32">
        <f>IF(B127="","",IF(J127="CompteEpargne",IF(IF(ISNA(VLOOKUP(B127,DATA!$A$1:$A$16,1,0)),"",VLOOKUP(B127,DATA!$A$1:$A$16,1,0))="",O126+E127,O126-E127),O126))</f>
        <v>42.64</v>
      </c>
      <c r="P127" s="22">
        <f t="shared" si="0"/>
        <v>12781.609999999997</v>
      </c>
      <c r="Q127" s="32"/>
      <c r="R127" s="7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4.25" customHeight="1" x14ac:dyDescent="0.2">
      <c r="A128" s="1"/>
      <c r="B128" s="33" t="s">
        <v>26</v>
      </c>
      <c r="C128" s="17">
        <f t="shared" si="1"/>
        <v>124</v>
      </c>
      <c r="D128" s="34">
        <v>46005</v>
      </c>
      <c r="E128" s="35">
        <v>118.45</v>
      </c>
      <c r="F128" s="20" t="s">
        <v>181</v>
      </c>
      <c r="G128" s="20"/>
      <c r="H128" s="36" t="s">
        <v>19</v>
      </c>
      <c r="I128" s="36" t="s">
        <v>29</v>
      </c>
      <c r="J128" s="20"/>
      <c r="K128" s="36"/>
      <c r="L128" s="22">
        <f>IF(B128="","",IF(I128="CompteCourant",IF(IF(ISNA(VLOOKUP(B128,DATA!$A$1:$A$16,1,0)),"",VLOOKUP(B128,DATA!$A$1:$A$16,1,0))="",L127+E128,L127-E128),L127))</f>
        <v>10335.679999999997</v>
      </c>
      <c r="M128" s="23">
        <f>IF(B128="","",IF(I128="Coffre",IF(IF(ISNA(VLOOKUP(B128,DATA!$A$1:$A$16,1,0)),"",VLOOKUP(B128,DATA!$A$1:$A$16,1,0))="",M127+E128,M127-E128),M127))</f>
        <v>2242.2000000000003</v>
      </c>
      <c r="N128" s="23">
        <f>IF(B128="","",IF(I128="CompteEpargne",IF(IF(ISNA(VLOOKUP(B128,DATA!$A$1:$A$16,1,0)),"",VLOOKUP(B128,DATA!$A$1:$A$16,1,0))="",N127+E128,N127-E128),N127))</f>
        <v>42.64</v>
      </c>
      <c r="O128" s="32">
        <f>IF(B128="","",IF(J128="CompteEpargne",IF(IF(ISNA(VLOOKUP(B128,DATA!$A$1:$A$16,1,0)),"",VLOOKUP(B128,DATA!$A$1:$A$16,1,0))="",O127+E128,O127-E128),O127))</f>
        <v>42.64</v>
      </c>
      <c r="P128" s="22">
        <f t="shared" si="0"/>
        <v>12663.159999999996</v>
      </c>
      <c r="Q128" s="32"/>
      <c r="R128" s="7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4.25" customHeight="1" x14ac:dyDescent="0.2">
      <c r="A129" s="1"/>
      <c r="B129" s="33" t="s">
        <v>26</v>
      </c>
      <c r="C129" s="17">
        <f t="shared" si="1"/>
        <v>125</v>
      </c>
      <c r="D129" s="34">
        <v>46005</v>
      </c>
      <c r="E129" s="35">
        <v>140.55000000000001</v>
      </c>
      <c r="F129" s="20" t="s">
        <v>182</v>
      </c>
      <c r="G129" s="20"/>
      <c r="H129" s="36" t="s">
        <v>19</v>
      </c>
      <c r="I129" s="36" t="s">
        <v>29</v>
      </c>
      <c r="J129" s="20"/>
      <c r="K129" s="36"/>
      <c r="L129" s="22">
        <f>IF(B129="","",IF(I129="CompteCourant",IF(IF(ISNA(VLOOKUP(B129,DATA!$A$1:$A$16,1,0)),"",VLOOKUP(B129,DATA!$A$1:$A$16,1,0))="",L128+E129,L128-E129),L128))</f>
        <v>10195.129999999997</v>
      </c>
      <c r="M129" s="23">
        <f>IF(B129="","",IF(I129="Coffre",IF(IF(ISNA(VLOOKUP(B129,DATA!$A$1:$A$16,1,0)),"",VLOOKUP(B129,DATA!$A$1:$A$16,1,0))="",M128+E129,M128-E129),M128))</f>
        <v>2242.2000000000003</v>
      </c>
      <c r="N129" s="23">
        <f>IF(B129="","",IF(I129="CompteEpargne",IF(IF(ISNA(VLOOKUP(B129,DATA!$A$1:$A$16,1,0)),"",VLOOKUP(B129,DATA!$A$1:$A$16,1,0))="",N128+E129,N128-E129),N128))</f>
        <v>42.64</v>
      </c>
      <c r="O129" s="32">
        <f>IF(B129="","",IF(J129="CompteEpargne",IF(IF(ISNA(VLOOKUP(B129,DATA!$A$1:$A$16,1,0)),"",VLOOKUP(B129,DATA!$A$1:$A$16,1,0))="",O128+E129,O128-E129),O128))</f>
        <v>42.64</v>
      </c>
      <c r="P129" s="22">
        <f t="shared" si="0"/>
        <v>12522.609999999997</v>
      </c>
      <c r="Q129" s="32"/>
      <c r="R129" s="7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4.25" customHeight="1" x14ac:dyDescent="0.2">
      <c r="A130" s="1"/>
      <c r="B130" s="33" t="s">
        <v>21</v>
      </c>
      <c r="C130" s="17">
        <f t="shared" si="1"/>
        <v>126</v>
      </c>
      <c r="D130" s="34">
        <v>46006</v>
      </c>
      <c r="E130" s="35">
        <v>0.99</v>
      </c>
      <c r="F130" s="387" t="s">
        <v>22</v>
      </c>
      <c r="G130" s="20" t="s">
        <v>440</v>
      </c>
      <c r="H130" s="36" t="s">
        <v>19</v>
      </c>
      <c r="I130" s="36" t="s">
        <v>29</v>
      </c>
      <c r="J130" s="20"/>
      <c r="K130" s="36"/>
      <c r="L130" s="22">
        <f>IF(B130="","",IF(I130="CompteCourant",IF(IF(ISNA(VLOOKUP(B130,DATA!$A$1:$A$16,1,0)),"",VLOOKUP(B130,DATA!$A$1:$A$16,1,0))="",L129+E130,L129-E130),L129))</f>
        <v>10196.119999999997</v>
      </c>
      <c r="M130" s="23">
        <f>IF(B130="","",IF(I130="Coffre",IF(IF(ISNA(VLOOKUP(B130,DATA!$A$1:$A$16,1,0)),"",VLOOKUP(B130,DATA!$A$1:$A$16,1,0))="",M129+E130,M129-E130),M129))</f>
        <v>2242.2000000000003</v>
      </c>
      <c r="N130" s="23">
        <f>IF(B130="","",IF(I130="CompteEpargne",IF(IF(ISNA(VLOOKUP(B130,DATA!$A$1:$A$16,1,0)),"",VLOOKUP(B130,DATA!$A$1:$A$16,1,0))="",N129+E130,N129-E130),N129))</f>
        <v>42.64</v>
      </c>
      <c r="O130" s="32">
        <f>IF(B130="","",IF(J130="CompteEpargne",IF(IF(ISNA(VLOOKUP(B130,DATA!$A$1:$A$16,1,0)),"",VLOOKUP(B130,DATA!$A$1:$A$16,1,0))="",O129+E130,O129-E130),O129))</f>
        <v>42.64</v>
      </c>
      <c r="P130" s="22">
        <f t="shared" si="0"/>
        <v>12523.599999999997</v>
      </c>
      <c r="Q130" s="32"/>
      <c r="R130" s="7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4.25" customHeight="1" x14ac:dyDescent="0.2">
      <c r="A131" s="1"/>
      <c r="B131" s="33" t="s">
        <v>26</v>
      </c>
      <c r="C131" s="17">
        <f t="shared" si="1"/>
        <v>127</v>
      </c>
      <c r="D131" s="34">
        <v>46008</v>
      </c>
      <c r="E131" s="35">
        <v>168</v>
      </c>
      <c r="F131" s="20" t="s">
        <v>166</v>
      </c>
      <c r="G131" s="20"/>
      <c r="H131" s="36" t="s">
        <v>19</v>
      </c>
      <c r="I131" s="36" t="s">
        <v>29</v>
      </c>
      <c r="J131" s="20"/>
      <c r="K131" s="36"/>
      <c r="L131" s="22">
        <f>IF(B131="","",IF(I131="CompteCourant",IF(IF(ISNA(VLOOKUP(B131,DATA!$A$1:$A$16,1,0)),"",VLOOKUP(B131,DATA!$A$1:$A$16,1,0))="",L130+E131,L130-E131),L130))</f>
        <v>10028.119999999997</v>
      </c>
      <c r="M131" s="23">
        <f>IF(B131="","",IF(I131="Coffre",IF(IF(ISNA(VLOOKUP(B131,DATA!$A$1:$A$16,1,0)),"",VLOOKUP(B131,DATA!$A$1:$A$16,1,0))="",M130+E131,M130-E131),M130))</f>
        <v>2242.2000000000003</v>
      </c>
      <c r="N131" s="23">
        <f>IF(B131="","",IF(I131="CompteEpargne",IF(IF(ISNA(VLOOKUP(B131,DATA!$A$1:$A$16,1,0)),"",VLOOKUP(B131,DATA!$A$1:$A$16,1,0))="",N130+E131,N130-E131),N130))</f>
        <v>42.64</v>
      </c>
      <c r="O131" s="32">
        <f>IF(B131="","",IF(J131="CompteEpargne",IF(IF(ISNA(VLOOKUP(B131,DATA!$A$1:$A$16,1,0)),"",VLOOKUP(B131,DATA!$A$1:$A$16,1,0))="",O130+E131,O130-E131),O130))</f>
        <v>42.64</v>
      </c>
      <c r="P131" s="22">
        <f t="shared" si="0"/>
        <v>12355.599999999997</v>
      </c>
      <c r="Q131" s="32"/>
      <c r="R131" s="7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4.25" customHeight="1" x14ac:dyDescent="0.2">
      <c r="A132" s="1"/>
      <c r="B132" s="33" t="s">
        <v>21</v>
      </c>
      <c r="C132" s="17">
        <f t="shared" si="1"/>
        <v>128</v>
      </c>
      <c r="D132" s="34">
        <v>46008</v>
      </c>
      <c r="E132" s="35">
        <v>185.53</v>
      </c>
      <c r="F132" s="387" t="s">
        <v>22</v>
      </c>
      <c r="G132" s="20" t="s">
        <v>440</v>
      </c>
      <c r="H132" s="36" t="s">
        <v>19</v>
      </c>
      <c r="I132" s="36" t="s">
        <v>29</v>
      </c>
      <c r="J132" s="20"/>
      <c r="K132" s="36"/>
      <c r="L132" s="22">
        <f>IF(B132="","",IF(I132="CompteCourant",IF(IF(ISNA(VLOOKUP(B132,DATA!$A$1:$A$16,1,0)),"",VLOOKUP(B132,DATA!$A$1:$A$16,1,0))="",L131+E132,L131-E132),L131))</f>
        <v>10213.649999999998</v>
      </c>
      <c r="M132" s="23">
        <f>IF(B132="","",IF(I132="Coffre",IF(IF(ISNA(VLOOKUP(B132,DATA!$A$1:$A$16,1,0)),"",VLOOKUP(B132,DATA!$A$1:$A$16,1,0))="",M131+E132,M131-E132),M131))</f>
        <v>2242.2000000000003</v>
      </c>
      <c r="N132" s="23">
        <f>IF(B132="","",IF(I132="CompteEpargne",IF(IF(ISNA(VLOOKUP(B132,DATA!$A$1:$A$16,1,0)),"",VLOOKUP(B132,DATA!$A$1:$A$16,1,0))="",N131+E132,N131-E132),N131))</f>
        <v>42.64</v>
      </c>
      <c r="O132" s="32">
        <f>IF(B132="","",IF(J132="CompteEpargne",IF(IF(ISNA(VLOOKUP(B132,DATA!$A$1:$A$16,1,0)),"",VLOOKUP(B132,DATA!$A$1:$A$16,1,0))="",O131+E132,O131-E132),O131))</f>
        <v>42.64</v>
      </c>
      <c r="P132" s="22">
        <f t="shared" si="0"/>
        <v>12541.129999999997</v>
      </c>
      <c r="Q132" s="32"/>
      <c r="R132" s="7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4.25" customHeight="1" x14ac:dyDescent="0.2">
      <c r="A133" s="1"/>
      <c r="B133" s="33" t="s">
        <v>21</v>
      </c>
      <c r="C133" s="17">
        <f t="shared" si="1"/>
        <v>129</v>
      </c>
      <c r="D133" s="34">
        <v>46008</v>
      </c>
      <c r="E133" s="35">
        <v>162.81</v>
      </c>
      <c r="F133" s="387" t="s">
        <v>22</v>
      </c>
      <c r="G133" s="20" t="s">
        <v>440</v>
      </c>
      <c r="H133" s="36" t="s">
        <v>19</v>
      </c>
      <c r="I133" s="36" t="s">
        <v>29</v>
      </c>
      <c r="J133" s="20"/>
      <c r="K133" s="36"/>
      <c r="L133" s="22">
        <f>IF(B133="","",IF(I133="CompteCourant",IF(IF(ISNA(VLOOKUP(B133,DATA!$A$1:$A$16,1,0)),"",VLOOKUP(B133,DATA!$A$1:$A$16,1,0))="",L132+E133,L132-E133),L132))</f>
        <v>10376.459999999997</v>
      </c>
      <c r="M133" s="23">
        <f>IF(B133="","",IF(I133="Coffre",IF(IF(ISNA(VLOOKUP(B133,DATA!$A$1:$A$16,1,0)),"",VLOOKUP(B133,DATA!$A$1:$A$16,1,0))="",M132+E133,M132-E133),M132))</f>
        <v>2242.2000000000003</v>
      </c>
      <c r="N133" s="23">
        <f>IF(B133="","",IF(I133="CompteEpargne",IF(IF(ISNA(VLOOKUP(B133,DATA!$A$1:$A$16,1,0)),"",VLOOKUP(B133,DATA!$A$1:$A$16,1,0))="",N132+E133,N132-E133),N132))</f>
        <v>42.64</v>
      </c>
      <c r="O133" s="32">
        <f>IF(B133="","",IF(J133="CompteEpargne",IF(IF(ISNA(VLOOKUP(B133,DATA!$A$1:$A$16,1,0)),"",VLOOKUP(B133,DATA!$A$1:$A$16,1,0))="",O132+E133,O132-E133),O132))</f>
        <v>42.64</v>
      </c>
      <c r="P133" s="22">
        <f t="shared" si="0"/>
        <v>12703.939999999997</v>
      </c>
      <c r="Q133" s="32"/>
      <c r="R133" s="7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4.25" customHeight="1" x14ac:dyDescent="0.2">
      <c r="A134" s="1"/>
      <c r="B134" s="33" t="s">
        <v>21</v>
      </c>
      <c r="C134" s="17">
        <f t="shared" si="1"/>
        <v>130</v>
      </c>
      <c r="D134" s="34">
        <v>46008</v>
      </c>
      <c r="E134" s="35">
        <v>130.27000000000001</v>
      </c>
      <c r="F134" s="387" t="s">
        <v>22</v>
      </c>
      <c r="G134" s="20" t="s">
        <v>440</v>
      </c>
      <c r="H134" s="36" t="s">
        <v>19</v>
      </c>
      <c r="I134" s="36" t="s">
        <v>29</v>
      </c>
      <c r="J134" s="20"/>
      <c r="K134" s="36"/>
      <c r="L134" s="22">
        <f>IF(B134="","",IF(I134="CompteCourant",IF(IF(ISNA(VLOOKUP(B134,DATA!$A$1:$A$16,1,0)),"",VLOOKUP(B134,DATA!$A$1:$A$16,1,0))="",L133+E134,L133-E134),L133))</f>
        <v>10506.729999999998</v>
      </c>
      <c r="M134" s="23">
        <f>IF(B134="","",IF(I134="Coffre",IF(IF(ISNA(VLOOKUP(B134,DATA!$A$1:$A$16,1,0)),"",VLOOKUP(B134,DATA!$A$1:$A$16,1,0))="",M133+E134,M133-E134),M133))</f>
        <v>2242.2000000000003</v>
      </c>
      <c r="N134" s="23">
        <f>IF(B134="","",IF(I134="CompteEpargne",IF(IF(ISNA(VLOOKUP(B134,DATA!$A$1:$A$16,1,0)),"",VLOOKUP(B134,DATA!$A$1:$A$16,1,0))="",N133+E134,N133-E134),N133))</f>
        <v>42.64</v>
      </c>
      <c r="O134" s="32">
        <f>IF(B134="","",IF(J134="CompteEpargne",IF(IF(ISNA(VLOOKUP(B134,DATA!$A$1:$A$16,1,0)),"",VLOOKUP(B134,DATA!$A$1:$A$16,1,0))="",O133+E134,O133-E134),O133))</f>
        <v>42.64</v>
      </c>
      <c r="P134" s="22">
        <f t="shared" si="0"/>
        <v>12834.209999999997</v>
      </c>
      <c r="Q134" s="32"/>
      <c r="R134" s="7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4.25" customHeight="1" x14ac:dyDescent="0.2">
      <c r="A135" s="1"/>
      <c r="B135" s="33" t="s">
        <v>26</v>
      </c>
      <c r="C135" s="17">
        <f t="shared" si="1"/>
        <v>131</v>
      </c>
      <c r="D135" s="34">
        <v>46009</v>
      </c>
      <c r="E135" s="35">
        <v>27.3</v>
      </c>
      <c r="F135" s="20" t="s">
        <v>182</v>
      </c>
      <c r="G135" s="20"/>
      <c r="H135" s="36" t="s">
        <v>19</v>
      </c>
      <c r="I135" s="36" t="s">
        <v>29</v>
      </c>
      <c r="J135" s="20"/>
      <c r="K135" s="36"/>
      <c r="L135" s="22">
        <f>IF(B135="","",IF(I135="CompteCourant",IF(IF(ISNA(VLOOKUP(B135,DATA!$A$1:$A$16,1,0)),"",VLOOKUP(B135,DATA!$A$1:$A$16,1,0))="",L134+E135,L134-E135),L134))</f>
        <v>10479.429999999998</v>
      </c>
      <c r="M135" s="23">
        <f>IF(B135="","",IF(I135="Coffre",IF(IF(ISNA(VLOOKUP(B135,DATA!$A$1:$A$16,1,0)),"",VLOOKUP(B135,DATA!$A$1:$A$16,1,0))="",M134+E135,M134-E135),M134))</f>
        <v>2242.2000000000003</v>
      </c>
      <c r="N135" s="23">
        <f>IF(B135="","",IF(I135="CompteEpargne",IF(IF(ISNA(VLOOKUP(B135,DATA!$A$1:$A$16,1,0)),"",VLOOKUP(B135,DATA!$A$1:$A$16,1,0))="",N134+E135,N134-E135),N134))</f>
        <v>42.64</v>
      </c>
      <c r="O135" s="32">
        <f>IF(B135="","",IF(J135="CompteEpargne",IF(IF(ISNA(VLOOKUP(B135,DATA!$A$1:$A$16,1,0)),"",VLOOKUP(B135,DATA!$A$1:$A$16,1,0))="",O134+E135,O134-E135),O134))</f>
        <v>42.64</v>
      </c>
      <c r="P135" s="22">
        <f t="shared" si="0"/>
        <v>12806.909999999998</v>
      </c>
      <c r="Q135" s="32"/>
      <c r="R135" s="7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4.25" customHeight="1" x14ac:dyDescent="0.2">
      <c r="A136" s="1"/>
      <c r="B136" s="33" t="s">
        <v>26</v>
      </c>
      <c r="C136" s="17">
        <f t="shared" si="1"/>
        <v>132</v>
      </c>
      <c r="D136" s="34">
        <v>46009</v>
      </c>
      <c r="E136" s="35">
        <v>52.5</v>
      </c>
      <c r="F136" s="20" t="s">
        <v>166</v>
      </c>
      <c r="G136" s="20"/>
      <c r="H136" s="36" t="s">
        <v>19</v>
      </c>
      <c r="I136" s="36" t="s">
        <v>29</v>
      </c>
      <c r="J136" s="20"/>
      <c r="K136" s="36"/>
      <c r="L136" s="22">
        <f>IF(B136="","",IF(I136="CompteCourant",IF(IF(ISNA(VLOOKUP(B136,DATA!$A$1:$A$16,1,0)),"",VLOOKUP(B136,DATA!$A$1:$A$16,1,0))="",L135+E136,L135-E136),L135))</f>
        <v>10426.929999999998</v>
      </c>
      <c r="M136" s="23">
        <f>IF(B136="","",IF(I136="Coffre",IF(IF(ISNA(VLOOKUP(B136,DATA!$A$1:$A$16,1,0)),"",VLOOKUP(B136,DATA!$A$1:$A$16,1,0))="",M135+E136,M135-E136),M135))</f>
        <v>2242.2000000000003</v>
      </c>
      <c r="N136" s="23">
        <f>IF(B136="","",IF(I136="CompteEpargne",IF(IF(ISNA(VLOOKUP(B136,DATA!$A$1:$A$16,1,0)),"",VLOOKUP(B136,DATA!$A$1:$A$16,1,0))="",N135+E136,N135-E136),N135))</f>
        <v>42.64</v>
      </c>
      <c r="O136" s="32">
        <f>IF(B136="","",IF(J136="CompteEpargne",IF(IF(ISNA(VLOOKUP(B136,DATA!$A$1:$A$16,1,0)),"",VLOOKUP(B136,DATA!$A$1:$A$16,1,0))="",O135+E136,O135-E136),O135))</f>
        <v>42.64</v>
      </c>
      <c r="P136" s="22">
        <f t="shared" si="0"/>
        <v>12754.409999999998</v>
      </c>
      <c r="Q136" s="32"/>
      <c r="R136" s="7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4.25" customHeight="1" x14ac:dyDescent="0.2">
      <c r="A137" s="1"/>
      <c r="B137" s="33" t="s">
        <v>21</v>
      </c>
      <c r="C137" s="17">
        <f t="shared" si="1"/>
        <v>133</v>
      </c>
      <c r="D137" s="34">
        <v>46009</v>
      </c>
      <c r="E137" s="35">
        <v>173.72</v>
      </c>
      <c r="F137" s="387" t="s">
        <v>22</v>
      </c>
      <c r="G137" s="20" t="s">
        <v>440</v>
      </c>
      <c r="H137" s="36" t="s">
        <v>19</v>
      </c>
      <c r="I137" s="36" t="s">
        <v>29</v>
      </c>
      <c r="J137" s="20"/>
      <c r="K137" s="36"/>
      <c r="L137" s="22">
        <f>IF(B137="","",IF(I137="CompteCourant",IF(IF(ISNA(VLOOKUP(B137,DATA!$A$1:$A$16,1,0)),"",VLOOKUP(B137,DATA!$A$1:$A$16,1,0))="",L136+E137,L136-E137),L136))</f>
        <v>10600.649999999998</v>
      </c>
      <c r="M137" s="23">
        <f>IF(B137="","",IF(I137="Coffre",IF(IF(ISNA(VLOOKUP(B137,DATA!$A$1:$A$16,1,0)),"",VLOOKUP(B137,DATA!$A$1:$A$16,1,0))="",M136+E137,M136-E137),M136))</f>
        <v>2242.2000000000003</v>
      </c>
      <c r="N137" s="23">
        <f>IF(B137="","",IF(I137="CompteEpargne",IF(IF(ISNA(VLOOKUP(B137,DATA!$A$1:$A$16,1,0)),"",VLOOKUP(B137,DATA!$A$1:$A$16,1,0))="",N136+E137,N136-E137),N136))</f>
        <v>42.64</v>
      </c>
      <c r="O137" s="32">
        <f>IF(B137="","",IF(J137="CompteEpargne",IF(IF(ISNA(VLOOKUP(B137,DATA!$A$1:$A$16,1,0)),"",VLOOKUP(B137,DATA!$A$1:$A$16,1,0))="",O136+E137,O136-E137),O136))</f>
        <v>42.64</v>
      </c>
      <c r="P137" s="22">
        <f t="shared" si="0"/>
        <v>12928.129999999997</v>
      </c>
      <c r="Q137" s="32"/>
      <c r="R137" s="7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4.25" customHeight="1" x14ac:dyDescent="0.2">
      <c r="A138" s="1"/>
      <c r="B138" s="33" t="s">
        <v>21</v>
      </c>
      <c r="C138" s="17">
        <f t="shared" si="1"/>
        <v>134</v>
      </c>
      <c r="D138" s="34">
        <v>46009</v>
      </c>
      <c r="E138" s="35">
        <v>308.89999999999998</v>
      </c>
      <c r="F138" s="387" t="s">
        <v>22</v>
      </c>
      <c r="G138" s="20" t="s">
        <v>440</v>
      </c>
      <c r="H138" s="36" t="s">
        <v>19</v>
      </c>
      <c r="I138" s="36" t="s">
        <v>29</v>
      </c>
      <c r="J138" s="20"/>
      <c r="K138" s="36"/>
      <c r="L138" s="22">
        <f>IF(B138="","",IF(I138="CompteCourant",IF(IF(ISNA(VLOOKUP(B138,DATA!$A$1:$A$16,1,0)),"",VLOOKUP(B138,DATA!$A$1:$A$16,1,0))="",L137+E138,L137-E138),L137))</f>
        <v>10909.549999999997</v>
      </c>
      <c r="M138" s="23">
        <f>IF(B138="","",IF(I138="Coffre",IF(IF(ISNA(VLOOKUP(B138,DATA!$A$1:$A$16,1,0)),"",VLOOKUP(B138,DATA!$A$1:$A$16,1,0))="",M137+E138,M137-E138),M137))</f>
        <v>2242.2000000000003</v>
      </c>
      <c r="N138" s="23">
        <f>IF(B138="","",IF(I138="CompteEpargne",IF(IF(ISNA(VLOOKUP(B138,DATA!$A$1:$A$16,1,0)),"",VLOOKUP(B138,DATA!$A$1:$A$16,1,0))="",N137+E138,N137-E138),N137))</f>
        <v>42.64</v>
      </c>
      <c r="O138" s="32">
        <f>IF(B138="","",IF(J138="CompteEpargne",IF(IF(ISNA(VLOOKUP(B138,DATA!$A$1:$A$16,1,0)),"",VLOOKUP(B138,DATA!$A$1:$A$16,1,0))="",O137+E138,O137-E138),O137))</f>
        <v>42.64</v>
      </c>
      <c r="P138" s="22">
        <f t="shared" si="0"/>
        <v>13237.029999999997</v>
      </c>
      <c r="Q138" s="32"/>
      <c r="R138" s="7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4.25" customHeight="1" x14ac:dyDescent="0.2">
      <c r="A139" s="1"/>
      <c r="B139" s="33" t="s">
        <v>21</v>
      </c>
      <c r="C139" s="17">
        <f t="shared" si="1"/>
        <v>135</v>
      </c>
      <c r="D139" s="34">
        <v>46009</v>
      </c>
      <c r="E139" s="35">
        <v>299.95999999999998</v>
      </c>
      <c r="F139" s="387" t="s">
        <v>22</v>
      </c>
      <c r="G139" s="20" t="s">
        <v>440</v>
      </c>
      <c r="H139" s="36" t="s">
        <v>19</v>
      </c>
      <c r="I139" s="36" t="s">
        <v>29</v>
      </c>
      <c r="J139" s="20"/>
      <c r="K139" s="36"/>
      <c r="L139" s="22">
        <f>IF(B139="","",IF(I139="CompteCourant",IF(IF(ISNA(VLOOKUP(B139,DATA!$A$1:$A$16,1,0)),"",VLOOKUP(B139,DATA!$A$1:$A$16,1,0))="",L138+E139,L138-E139),L138))</f>
        <v>11209.509999999997</v>
      </c>
      <c r="M139" s="23">
        <f>IF(B139="","",IF(I139="Coffre",IF(IF(ISNA(VLOOKUP(B139,DATA!$A$1:$A$16,1,0)),"",VLOOKUP(B139,DATA!$A$1:$A$16,1,0))="",M138+E139,M138-E139),M138))</f>
        <v>2242.2000000000003</v>
      </c>
      <c r="N139" s="23">
        <f>IF(B139="","",IF(I139="CompteEpargne",IF(IF(ISNA(VLOOKUP(B139,DATA!$A$1:$A$16,1,0)),"",VLOOKUP(B139,DATA!$A$1:$A$16,1,0))="",N138+E139,N138-E139),N138))</f>
        <v>42.64</v>
      </c>
      <c r="O139" s="32">
        <f>IF(B139="","",IF(J139="CompteEpargne",IF(IF(ISNA(VLOOKUP(B139,DATA!$A$1:$A$16,1,0)),"",VLOOKUP(B139,DATA!$A$1:$A$16,1,0))="",O138+E139,O138-E139),O138))</f>
        <v>42.64</v>
      </c>
      <c r="P139" s="22">
        <f t="shared" si="0"/>
        <v>13536.989999999996</v>
      </c>
      <c r="Q139" s="32"/>
      <c r="R139" s="7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4.25" customHeight="1" x14ac:dyDescent="0.2">
      <c r="A140" s="1"/>
      <c r="B140" s="33" t="s">
        <v>26</v>
      </c>
      <c r="C140" s="17">
        <f t="shared" si="1"/>
        <v>136</v>
      </c>
      <c r="D140" s="34">
        <v>46009</v>
      </c>
      <c r="E140" s="35">
        <v>320</v>
      </c>
      <c r="F140" s="20" t="s">
        <v>183</v>
      </c>
      <c r="G140" s="20"/>
      <c r="H140" s="36" t="s">
        <v>19</v>
      </c>
      <c r="I140" s="36" t="s">
        <v>29</v>
      </c>
      <c r="J140" s="20"/>
      <c r="K140" s="36"/>
      <c r="L140" s="22">
        <f>IF(B140="","",IF(I140="CompteCourant",IF(IF(ISNA(VLOOKUP(B140,DATA!$A$1:$A$16,1,0)),"",VLOOKUP(B140,DATA!$A$1:$A$16,1,0))="",L139+E140,L139-E140),L139))</f>
        <v>10889.509999999997</v>
      </c>
      <c r="M140" s="23">
        <f>IF(B140="","",IF(I140="Coffre",IF(IF(ISNA(VLOOKUP(B140,DATA!$A$1:$A$16,1,0)),"",VLOOKUP(B140,DATA!$A$1:$A$16,1,0))="",M139+E140,M139-E140),M139))</f>
        <v>2242.2000000000003</v>
      </c>
      <c r="N140" s="23">
        <f>IF(B140="","",IF(I140="CompteEpargne",IF(IF(ISNA(VLOOKUP(B140,DATA!$A$1:$A$16,1,0)),"",VLOOKUP(B140,DATA!$A$1:$A$16,1,0))="",N139+E140,N139-E140),N139))</f>
        <v>42.64</v>
      </c>
      <c r="O140" s="32">
        <f>IF(B140="","",IF(J140="CompteEpargne",IF(IF(ISNA(VLOOKUP(B140,DATA!$A$1:$A$16,1,0)),"",VLOOKUP(B140,DATA!$A$1:$A$16,1,0))="",O139+E140,O139-E140),O139))</f>
        <v>42.64</v>
      </c>
      <c r="P140" s="22">
        <f t="shared" si="0"/>
        <v>13216.989999999996</v>
      </c>
      <c r="Q140" s="32"/>
      <c r="R140" s="7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4.25" customHeight="1" x14ac:dyDescent="0.2">
      <c r="A141" s="1"/>
      <c r="B141" s="33" t="s">
        <v>26</v>
      </c>
      <c r="C141" s="17">
        <f t="shared" si="1"/>
        <v>137</v>
      </c>
      <c r="D141" s="34">
        <v>46009</v>
      </c>
      <c r="E141" s="35">
        <v>220</v>
      </c>
      <c r="F141" s="20" t="s">
        <v>184</v>
      </c>
      <c r="G141" s="20"/>
      <c r="H141" s="36" t="s">
        <v>19</v>
      </c>
      <c r="I141" s="36" t="s">
        <v>29</v>
      </c>
      <c r="J141" s="20"/>
      <c r="K141" s="36"/>
      <c r="L141" s="22">
        <f>IF(B141="","",IF(I141="CompteCourant",IF(IF(ISNA(VLOOKUP(B141,DATA!$A$1:$A$16,1,0)),"",VLOOKUP(B141,DATA!$A$1:$A$16,1,0))="",L140+E141,L140-E141),L140))</f>
        <v>10669.509999999997</v>
      </c>
      <c r="M141" s="23">
        <f>IF(B141="","",IF(I141="Coffre",IF(IF(ISNA(VLOOKUP(B141,DATA!$A$1:$A$16,1,0)),"",VLOOKUP(B141,DATA!$A$1:$A$16,1,0))="",M140+E141,M140-E141),M140))</f>
        <v>2242.2000000000003</v>
      </c>
      <c r="N141" s="23">
        <f>IF(B141="","",IF(I141="CompteEpargne",IF(IF(ISNA(VLOOKUP(B141,DATA!$A$1:$A$16,1,0)),"",VLOOKUP(B141,DATA!$A$1:$A$16,1,0))="",N140+E141,N140-E141),N140))</f>
        <v>42.64</v>
      </c>
      <c r="O141" s="32">
        <f>IF(B141="","",IF(J141="CompteEpargne",IF(IF(ISNA(VLOOKUP(B141,DATA!$A$1:$A$16,1,0)),"",VLOOKUP(B141,DATA!$A$1:$A$16,1,0))="",O140+E141,O140-E141),O140))</f>
        <v>42.64</v>
      </c>
      <c r="P141" s="22">
        <f t="shared" si="0"/>
        <v>12996.989999999996</v>
      </c>
      <c r="Q141" s="32"/>
      <c r="R141" s="7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4.25" customHeight="1" x14ac:dyDescent="0.2">
      <c r="A142" s="1"/>
      <c r="B142" s="33" t="s">
        <v>107</v>
      </c>
      <c r="C142" s="17">
        <f t="shared" si="1"/>
        <v>138</v>
      </c>
      <c r="D142" s="34">
        <v>46010</v>
      </c>
      <c r="E142" s="35">
        <v>73</v>
      </c>
      <c r="F142" s="20" t="s">
        <v>185</v>
      </c>
      <c r="G142" s="20"/>
      <c r="H142" s="36" t="s">
        <v>19</v>
      </c>
      <c r="I142" s="36" t="s">
        <v>29</v>
      </c>
      <c r="J142" s="20"/>
      <c r="K142" s="36"/>
      <c r="L142" s="22">
        <f>IF(B142="","",IF(I142="CompteCourant",IF(IF(ISNA(VLOOKUP(B142,DATA!$A$1:$A$16,1,0)),"",VLOOKUP(B142,DATA!$A$1:$A$16,1,0))="",L141+E142,L141-E142),L141))</f>
        <v>10596.509999999997</v>
      </c>
      <c r="M142" s="23">
        <f>IF(B142="","",IF(I142="Coffre",IF(IF(ISNA(VLOOKUP(B142,DATA!$A$1:$A$16,1,0)),"",VLOOKUP(B142,DATA!$A$1:$A$16,1,0))="",M141+E142,M141-E142),M141))</f>
        <v>2242.2000000000003</v>
      </c>
      <c r="N142" s="23">
        <f>IF(B142="","",IF(I142="CompteEpargne",IF(IF(ISNA(VLOOKUP(B142,DATA!$A$1:$A$16,1,0)),"",VLOOKUP(B142,DATA!$A$1:$A$16,1,0))="",N141+E142,N141-E142),N141))</f>
        <v>42.64</v>
      </c>
      <c r="O142" s="32">
        <f>IF(B142="","",IF(J142="CompteEpargne",IF(IF(ISNA(VLOOKUP(B142,DATA!$A$1:$A$16,1,0)),"",VLOOKUP(B142,DATA!$A$1:$A$16,1,0))="",O141+E142,O141-E142),O141))</f>
        <v>42.64</v>
      </c>
      <c r="P142" s="22">
        <f t="shared" si="0"/>
        <v>12923.989999999996</v>
      </c>
      <c r="Q142" s="32"/>
      <c r="R142" s="7"/>
      <c r="S142" s="7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4.25" customHeight="1" x14ac:dyDescent="0.2">
      <c r="A143" s="1"/>
      <c r="B143" s="33" t="s">
        <v>21</v>
      </c>
      <c r="C143" s="17">
        <f t="shared" si="1"/>
        <v>139</v>
      </c>
      <c r="D143" s="34">
        <v>46010</v>
      </c>
      <c r="E143" s="35">
        <v>325.63</v>
      </c>
      <c r="F143" s="387" t="s">
        <v>22</v>
      </c>
      <c r="G143" s="20" t="s">
        <v>440</v>
      </c>
      <c r="H143" s="36" t="s">
        <v>19</v>
      </c>
      <c r="I143" s="36" t="s">
        <v>29</v>
      </c>
      <c r="J143" s="20"/>
      <c r="K143" s="36"/>
      <c r="L143" s="22">
        <f>IF(B143="","",IF(I143="CompteCourant",IF(IF(ISNA(VLOOKUP(B143,DATA!$A$1:$A$16,1,0)),"",VLOOKUP(B143,DATA!$A$1:$A$16,1,0))="",L142+E143,L142-E143),L142))</f>
        <v>10922.139999999996</v>
      </c>
      <c r="M143" s="23">
        <f>IF(B143="","",IF(I143="Coffre",IF(IF(ISNA(VLOOKUP(B143,DATA!$A$1:$A$16,1,0)),"",VLOOKUP(B143,DATA!$A$1:$A$16,1,0))="",M142+E143,M142-E143),M142))</f>
        <v>2242.2000000000003</v>
      </c>
      <c r="N143" s="23">
        <f>IF(B143="","",IF(I143="CompteEpargne",IF(IF(ISNA(VLOOKUP(B143,DATA!$A$1:$A$16,1,0)),"",VLOOKUP(B143,DATA!$A$1:$A$16,1,0))="",N142+E143,N142-E143),N142))</f>
        <v>42.64</v>
      </c>
      <c r="O143" s="32">
        <f>IF(B143="","",IF(J143="CompteEpargne",IF(IF(ISNA(VLOOKUP(B143,DATA!$A$1:$A$16,1,0)),"",VLOOKUP(B143,DATA!$A$1:$A$16,1,0))="",O142+E143,O142-E143),O142))</f>
        <v>42.64</v>
      </c>
      <c r="P143" s="22">
        <f t="shared" si="0"/>
        <v>13249.619999999995</v>
      </c>
      <c r="Q143" s="32"/>
      <c r="R143" s="4"/>
      <c r="S143" s="7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5.75" customHeight="1" x14ac:dyDescent="0.2">
      <c r="A144" s="1"/>
      <c r="B144" s="33" t="s">
        <v>21</v>
      </c>
      <c r="C144" s="17">
        <f t="shared" si="1"/>
        <v>140</v>
      </c>
      <c r="D144" s="34">
        <v>46010</v>
      </c>
      <c r="E144" s="35">
        <v>185.52</v>
      </c>
      <c r="F144" s="387" t="s">
        <v>22</v>
      </c>
      <c r="G144" s="20" t="s">
        <v>440</v>
      </c>
      <c r="H144" s="36" t="s">
        <v>19</v>
      </c>
      <c r="I144" s="36" t="s">
        <v>29</v>
      </c>
      <c r="J144" s="20"/>
      <c r="K144" s="36"/>
      <c r="L144" s="22">
        <f>IF(B144="","",IF(I144="CompteCourant",IF(IF(ISNA(VLOOKUP(B144,DATA!$A$1:$A$16,1,0)),"",VLOOKUP(B144,DATA!$A$1:$A$16,1,0))="",L143+E144,L143-E144),L143))</f>
        <v>11107.659999999996</v>
      </c>
      <c r="M144" s="23">
        <f>IF(B144="","",IF(I144="Coffre",IF(IF(ISNA(VLOOKUP(B144,DATA!$A$1:$A$16,1,0)),"",VLOOKUP(B144,DATA!$A$1:$A$16,1,0))="",M143+E144,M143-E144),M143))</f>
        <v>2242.2000000000003</v>
      </c>
      <c r="N144" s="23">
        <f>IF(B144="","",IF(I144="CompteEpargne",IF(IF(ISNA(VLOOKUP(B144,DATA!$A$1:$A$16,1,0)),"",VLOOKUP(B144,DATA!$A$1:$A$16,1,0))="",N143+E144,N143-E144),N143))</f>
        <v>42.64</v>
      </c>
      <c r="O144" s="32">
        <f>IF(B144="","",IF(J144="CompteEpargne",IF(IF(ISNA(VLOOKUP(B144,DATA!$A$1:$A$16,1,0)),"",VLOOKUP(B144,DATA!$A$1:$A$16,1,0))="",O143+E144,O143-E144),O143))</f>
        <v>42.64</v>
      </c>
      <c r="P144" s="22">
        <f t="shared" si="0"/>
        <v>13435.139999999996</v>
      </c>
      <c r="Q144" s="32"/>
      <c r="R144" s="4"/>
      <c r="S144" s="7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4.25" customHeight="1" x14ac:dyDescent="0.2">
      <c r="A145" s="1"/>
      <c r="B145" s="33" t="s">
        <v>21</v>
      </c>
      <c r="C145" s="17">
        <f t="shared" si="1"/>
        <v>141</v>
      </c>
      <c r="D145" s="34">
        <v>46010</v>
      </c>
      <c r="E145" s="35">
        <v>114.47</v>
      </c>
      <c r="F145" s="387" t="s">
        <v>22</v>
      </c>
      <c r="G145" s="20" t="s">
        <v>440</v>
      </c>
      <c r="H145" s="36" t="s">
        <v>19</v>
      </c>
      <c r="I145" s="36" t="s">
        <v>29</v>
      </c>
      <c r="J145" s="20"/>
      <c r="K145" s="36"/>
      <c r="L145" s="22">
        <f>IF(B145="","",IF(I145="CompteCourant",IF(IF(ISNA(VLOOKUP(B145,DATA!$A$1:$A$16,1,0)),"",VLOOKUP(B145,DATA!$A$1:$A$16,1,0))="",L144+E145,L144-E145),L144))</f>
        <v>11222.129999999996</v>
      </c>
      <c r="M145" s="23">
        <f>IF(B145="","",IF(I145="Coffre",IF(IF(ISNA(VLOOKUP(B145,DATA!$A$1:$A$16,1,0)),"",VLOOKUP(B145,DATA!$A$1:$A$16,1,0))="",M144+E145,M144-E145),M144))</f>
        <v>2242.2000000000003</v>
      </c>
      <c r="N145" s="23">
        <f>IF(B145="","",IF(I145="CompteEpargne",IF(IF(ISNA(VLOOKUP(B145,DATA!$A$1:$A$16,1,0)),"",VLOOKUP(B145,DATA!$A$1:$A$16,1,0))="",N144+E145,N144-E145),N144))</f>
        <v>42.64</v>
      </c>
      <c r="O145" s="32">
        <f>IF(B145="","",IF(J145="CompteEpargne",IF(IF(ISNA(VLOOKUP(B145,DATA!$A$1:$A$16,1,0)),"",VLOOKUP(B145,DATA!$A$1:$A$16,1,0))="",O144+E145,O144-E145),O144))</f>
        <v>42.64</v>
      </c>
      <c r="P145" s="22">
        <f t="shared" si="0"/>
        <v>13549.609999999995</v>
      </c>
      <c r="Q145" s="32"/>
      <c r="R145" s="4"/>
      <c r="S145" s="7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4.25" customHeight="1" x14ac:dyDescent="0.2">
      <c r="A146" s="1"/>
      <c r="B146" s="33" t="s">
        <v>26</v>
      </c>
      <c r="C146" s="17">
        <f t="shared" si="1"/>
        <v>142</v>
      </c>
      <c r="D146" s="34">
        <v>46011</v>
      </c>
      <c r="E146" s="35">
        <v>356.5</v>
      </c>
      <c r="F146" s="20" t="s">
        <v>167</v>
      </c>
      <c r="G146" s="20"/>
      <c r="H146" s="36" t="s">
        <v>19</v>
      </c>
      <c r="I146" s="36" t="s">
        <v>29</v>
      </c>
      <c r="J146" s="20"/>
      <c r="K146" s="36"/>
      <c r="L146" s="22">
        <f>IF(B146="","",IF(I146="CompteCourant",IF(IF(ISNA(VLOOKUP(B146,DATA!$A$1:$A$16,1,0)),"",VLOOKUP(B146,DATA!$A$1:$A$16,1,0))="",L145+E146,L145-E146),L145))</f>
        <v>10865.629999999996</v>
      </c>
      <c r="M146" s="23">
        <f>IF(B146="","",IF(I146="Coffre",IF(IF(ISNA(VLOOKUP(B146,DATA!$A$1:$A$16,1,0)),"",VLOOKUP(B146,DATA!$A$1:$A$16,1,0))="",M145+E146,M145-E146),M145))</f>
        <v>2242.2000000000003</v>
      </c>
      <c r="N146" s="23">
        <f>IF(B146="","",IF(I146="CompteEpargne",IF(IF(ISNA(VLOOKUP(B146,DATA!$A$1:$A$16,1,0)),"",VLOOKUP(B146,DATA!$A$1:$A$16,1,0))="",N145+E146,N145-E146),N145))</f>
        <v>42.64</v>
      </c>
      <c r="O146" s="32">
        <f>IF(B146="","",IF(J146="CompteEpargne",IF(IF(ISNA(VLOOKUP(B146,DATA!$A$1:$A$16,1,0)),"",VLOOKUP(B146,DATA!$A$1:$A$16,1,0))="",O145+E146,O145-E146),O145))</f>
        <v>42.64</v>
      </c>
      <c r="P146" s="22">
        <f t="shared" si="0"/>
        <v>13193.109999999995</v>
      </c>
      <c r="Q146" s="32"/>
      <c r="R146" s="7"/>
      <c r="S146" s="7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4.25" customHeight="1" x14ac:dyDescent="0.2">
      <c r="A147" s="1"/>
      <c r="B147" s="33" t="s">
        <v>26</v>
      </c>
      <c r="C147" s="17">
        <f t="shared" si="1"/>
        <v>143</v>
      </c>
      <c r="D147" s="34">
        <v>46011</v>
      </c>
      <c r="E147" s="35">
        <v>35.299999999999997</v>
      </c>
      <c r="F147" s="20" t="s">
        <v>166</v>
      </c>
      <c r="G147" s="20"/>
      <c r="H147" s="36" t="s">
        <v>19</v>
      </c>
      <c r="I147" s="36" t="s">
        <v>29</v>
      </c>
      <c r="J147" s="20"/>
      <c r="K147" s="36"/>
      <c r="L147" s="22">
        <f>IF(B147="","",IF(I147="CompteCourant",IF(IF(ISNA(VLOOKUP(B147,DATA!$A$1:$A$16,1,0)),"",VLOOKUP(B147,DATA!$A$1:$A$16,1,0))="",L146+E147,L146-E147),L146))</f>
        <v>10830.329999999996</v>
      </c>
      <c r="M147" s="23">
        <f>IF(B147="","",IF(I147="Coffre",IF(IF(ISNA(VLOOKUP(B147,DATA!$A$1:$A$16,1,0)),"",VLOOKUP(B147,DATA!$A$1:$A$16,1,0))="",M146+E147,M146-E147),M146))</f>
        <v>2242.2000000000003</v>
      </c>
      <c r="N147" s="23">
        <f>IF(B147="","",IF(I147="CompteEpargne",IF(IF(ISNA(VLOOKUP(B147,DATA!$A$1:$A$16,1,0)),"",VLOOKUP(B147,DATA!$A$1:$A$16,1,0))="",N146+E147,N146-E147),N146))</f>
        <v>42.64</v>
      </c>
      <c r="O147" s="32">
        <f>IF(B147="","",IF(J147="CompteEpargne",IF(IF(ISNA(VLOOKUP(B147,DATA!$A$1:$A$16,1,0)),"",VLOOKUP(B147,DATA!$A$1:$A$16,1,0))="",O146+E147,O146-E147),O146))</f>
        <v>42.64</v>
      </c>
      <c r="P147" s="22">
        <f t="shared" si="0"/>
        <v>13157.809999999996</v>
      </c>
      <c r="Q147" s="32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5.75" customHeight="1" x14ac:dyDescent="0.2">
      <c r="A148" s="1"/>
      <c r="B148" s="33" t="s">
        <v>26</v>
      </c>
      <c r="C148" s="17">
        <f t="shared" si="1"/>
        <v>144</v>
      </c>
      <c r="D148" s="34">
        <v>46012</v>
      </c>
      <c r="E148" s="35">
        <v>58.35</v>
      </c>
      <c r="F148" s="20" t="s">
        <v>167</v>
      </c>
      <c r="G148" s="20"/>
      <c r="H148" s="36" t="s">
        <v>19</v>
      </c>
      <c r="I148" s="36" t="s">
        <v>29</v>
      </c>
      <c r="J148" s="20"/>
      <c r="K148" s="36"/>
      <c r="L148" s="22">
        <f>IF(B148="","",IF(I148="CompteCourant",IF(IF(ISNA(VLOOKUP(B148,DATA!$A$1:$A$16,1,0)),"",VLOOKUP(B148,DATA!$A$1:$A$16,1,0))="",L147+E148,L147-E148),L147))</f>
        <v>10771.979999999996</v>
      </c>
      <c r="M148" s="23">
        <f>IF(B148="","",IF(I148="Coffre",IF(IF(ISNA(VLOOKUP(B148,DATA!$A$1:$A$16,1,0)),"",VLOOKUP(B148,DATA!$A$1:$A$16,1,0))="",M147+E148,M147-E148),M147))</f>
        <v>2242.2000000000003</v>
      </c>
      <c r="N148" s="23">
        <f>IF(B148="","",IF(I148="CompteEpargne",IF(IF(ISNA(VLOOKUP(B148,DATA!$A$1:$A$16,1,0)),"",VLOOKUP(B148,DATA!$A$1:$A$16,1,0))="",N147+E148,N147-E148),N147))</f>
        <v>42.64</v>
      </c>
      <c r="O148" s="32">
        <f>IF(B148="","",IF(J148="CompteEpargne",IF(IF(ISNA(VLOOKUP(B148,DATA!$A$1:$A$16,1,0)),"",VLOOKUP(B148,DATA!$A$1:$A$16,1,0))="",O147+E148,O147-E148),O147))</f>
        <v>42.64</v>
      </c>
      <c r="P148" s="22">
        <f t="shared" si="0"/>
        <v>13099.459999999995</v>
      </c>
      <c r="Q148" s="32"/>
      <c r="R148" s="7"/>
      <c r="S148" s="7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5.75" customHeight="1" x14ac:dyDescent="0.2">
      <c r="A149" s="1"/>
      <c r="B149" s="33" t="s">
        <v>26</v>
      </c>
      <c r="C149" s="17">
        <f t="shared" si="1"/>
        <v>145</v>
      </c>
      <c r="D149" s="34">
        <v>46013</v>
      </c>
      <c r="E149" s="35">
        <v>225.48</v>
      </c>
      <c r="F149" s="20" t="s">
        <v>186</v>
      </c>
      <c r="G149" s="20"/>
      <c r="H149" s="36" t="s">
        <v>19</v>
      </c>
      <c r="I149" s="36" t="s">
        <v>29</v>
      </c>
      <c r="J149" s="20"/>
      <c r="K149" s="36"/>
      <c r="L149" s="22">
        <f>IF(B149="","",IF(I149="CompteCourant",IF(IF(ISNA(VLOOKUP(B149,DATA!$A$1:$A$16,1,0)),"",VLOOKUP(B149,DATA!$A$1:$A$16,1,0))="",L148+E149,L148-E149),L148))</f>
        <v>10546.499999999996</v>
      </c>
      <c r="M149" s="23">
        <f>IF(B149="","",IF(I149="Coffre",IF(IF(ISNA(VLOOKUP(B149,DATA!$A$1:$A$16,1,0)),"",VLOOKUP(B149,DATA!$A$1:$A$16,1,0))="",M148+E149,M148-E149),M148))</f>
        <v>2242.2000000000003</v>
      </c>
      <c r="N149" s="23">
        <f>IF(B149="","",IF(I149="CompteEpargne",IF(IF(ISNA(VLOOKUP(B149,DATA!$A$1:$A$16,1,0)),"",VLOOKUP(B149,DATA!$A$1:$A$16,1,0))="",N148+E149,N148-E149),N148))</f>
        <v>42.64</v>
      </c>
      <c r="O149" s="32">
        <f>IF(B149="","",IF(J149="CompteEpargne",IF(IF(ISNA(VLOOKUP(B149,DATA!$A$1:$A$16,1,0)),"",VLOOKUP(B149,DATA!$A$1:$A$16,1,0))="",O148+E149,O148-E149),O148))</f>
        <v>42.64</v>
      </c>
      <c r="P149" s="22">
        <f t="shared" si="0"/>
        <v>12873.979999999996</v>
      </c>
      <c r="Q149" s="32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8" customHeight="1" x14ac:dyDescent="0.2">
      <c r="A150" s="1"/>
      <c r="B150" s="33" t="s">
        <v>21</v>
      </c>
      <c r="C150" s="17">
        <f t="shared" si="1"/>
        <v>146</v>
      </c>
      <c r="D150" s="34">
        <v>46013</v>
      </c>
      <c r="E150" s="35">
        <v>93.74</v>
      </c>
      <c r="F150" s="387" t="s">
        <v>22</v>
      </c>
      <c r="G150" s="20" t="s">
        <v>440</v>
      </c>
      <c r="H150" s="36" t="s">
        <v>19</v>
      </c>
      <c r="I150" s="36" t="s">
        <v>29</v>
      </c>
      <c r="J150" s="20"/>
      <c r="K150" s="36"/>
      <c r="L150" s="22">
        <f>IF(B150="","",IF(I150="CompteCourant",IF(IF(ISNA(VLOOKUP(B150,DATA!$A$1:$A$16,1,0)),"",VLOOKUP(B150,DATA!$A$1:$A$16,1,0))="",L149+E150,L149-E150),L149))</f>
        <v>10640.239999999996</v>
      </c>
      <c r="M150" s="23">
        <f>IF(B150="","",IF(I150="Coffre",IF(IF(ISNA(VLOOKUP(B150,DATA!$A$1:$A$16,1,0)),"",VLOOKUP(B150,DATA!$A$1:$A$16,1,0))="",M149+E150,M149-E150),M149))</f>
        <v>2242.2000000000003</v>
      </c>
      <c r="N150" s="23">
        <f>IF(B150="","",IF(I150="CompteEpargne",IF(IF(ISNA(VLOOKUP(B150,DATA!$A$1:$A$16,1,0)),"",VLOOKUP(B150,DATA!$A$1:$A$16,1,0))="",N149+E150,N149-E150),N149))</f>
        <v>42.64</v>
      </c>
      <c r="O150" s="32">
        <f>IF(B150="","",IF(J150="CompteEpargne",IF(IF(ISNA(VLOOKUP(B150,DATA!$A$1:$A$16,1,0)),"",VLOOKUP(B150,DATA!$A$1:$A$16,1,0))="",O149+E150,O149-E150),O149))</f>
        <v>42.64</v>
      </c>
      <c r="P150" s="22">
        <f t="shared" si="0"/>
        <v>12967.719999999996</v>
      </c>
      <c r="Q150" s="32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5.75" customHeight="1" x14ac:dyDescent="0.2">
      <c r="A151" s="1"/>
      <c r="B151" s="33" t="s">
        <v>21</v>
      </c>
      <c r="C151" s="17">
        <f t="shared" si="1"/>
        <v>147</v>
      </c>
      <c r="D151" s="34">
        <v>46013</v>
      </c>
      <c r="E151" s="35">
        <v>793.44</v>
      </c>
      <c r="F151" s="387" t="s">
        <v>22</v>
      </c>
      <c r="G151" s="20" t="s">
        <v>440</v>
      </c>
      <c r="H151" s="36" t="s">
        <v>19</v>
      </c>
      <c r="I151" s="36" t="s">
        <v>29</v>
      </c>
      <c r="J151" s="20"/>
      <c r="K151" s="36"/>
      <c r="L151" s="22">
        <f>IF(B151="","",IF(I151="CompteCourant",IF(IF(ISNA(VLOOKUP(B151,DATA!$A$1:$A$16,1,0)),"",VLOOKUP(B151,DATA!$A$1:$A$16,1,0))="",L150+E151,L150-E151),L150))</f>
        <v>11433.679999999997</v>
      </c>
      <c r="M151" s="23">
        <f>IF(B151="","",IF(I151="Coffre",IF(IF(ISNA(VLOOKUP(B151,DATA!$A$1:$A$16,1,0)),"",VLOOKUP(B151,DATA!$A$1:$A$16,1,0))="",M150+E151,M150-E151),M150))</f>
        <v>2242.2000000000003</v>
      </c>
      <c r="N151" s="23">
        <f>IF(B151="","",IF(I151="CompteEpargne",IF(IF(ISNA(VLOOKUP(B151,DATA!$A$1:$A$16,1,0)),"",VLOOKUP(B151,DATA!$A$1:$A$16,1,0))="",N150+E151,N150-E151),N150))</f>
        <v>42.64</v>
      </c>
      <c r="O151" s="32">
        <f>IF(B151="","",IF(J151="CompteEpargne",IF(IF(ISNA(VLOOKUP(B151,DATA!$A$1:$A$16,1,0)),"",VLOOKUP(B151,DATA!$A$1:$A$16,1,0))="",O150+E151,O150-E151),O150))</f>
        <v>42.64</v>
      </c>
      <c r="P151" s="22">
        <f t="shared" si="0"/>
        <v>13761.159999999996</v>
      </c>
      <c r="Q151" s="32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8" customHeight="1" x14ac:dyDescent="0.2">
      <c r="A152" s="1"/>
      <c r="B152" s="33" t="s">
        <v>21</v>
      </c>
      <c r="C152" s="17">
        <f t="shared" si="1"/>
        <v>148</v>
      </c>
      <c r="D152" s="34">
        <v>46013</v>
      </c>
      <c r="E152" s="35">
        <v>500.41</v>
      </c>
      <c r="F152" s="387" t="s">
        <v>22</v>
      </c>
      <c r="G152" s="20" t="s">
        <v>440</v>
      </c>
      <c r="H152" s="36" t="s">
        <v>19</v>
      </c>
      <c r="I152" s="36" t="s">
        <v>29</v>
      </c>
      <c r="J152" s="20"/>
      <c r="K152" s="36"/>
      <c r="L152" s="22">
        <f>IF(B152="","",IF(I152="CompteCourant",IF(IF(ISNA(VLOOKUP(B152,DATA!$A$1:$A$16,1,0)),"",VLOOKUP(B152,DATA!$A$1:$A$16,1,0))="",L151+E152,L151-E152),L151))</f>
        <v>11934.089999999997</v>
      </c>
      <c r="M152" s="23">
        <f>IF(B152="","",IF(I152="Coffre",IF(IF(ISNA(VLOOKUP(B152,DATA!$A$1:$A$16,1,0)),"",VLOOKUP(B152,DATA!$A$1:$A$16,1,0))="",M151+E152,M151-E152),M151))</f>
        <v>2242.2000000000003</v>
      </c>
      <c r="N152" s="23">
        <f>IF(B152="","",IF(I152="CompteEpargne",IF(IF(ISNA(VLOOKUP(B152,DATA!$A$1:$A$16,1,0)),"",VLOOKUP(B152,DATA!$A$1:$A$16,1,0))="",N151+E152,N151-E152),N151))</f>
        <v>42.64</v>
      </c>
      <c r="O152" s="32">
        <f>IF(B152="","",IF(J152="CompteEpargne",IF(IF(ISNA(VLOOKUP(B152,DATA!$A$1:$A$16,1,0)),"",VLOOKUP(B152,DATA!$A$1:$A$16,1,0))="",O151+E152,O151-E152),O151))</f>
        <v>42.64</v>
      </c>
      <c r="P152" s="22">
        <f t="shared" si="0"/>
        <v>14261.569999999996</v>
      </c>
      <c r="Q152" s="32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.75" customHeight="1" x14ac:dyDescent="0.2">
      <c r="A153" s="1"/>
      <c r="B153" s="33" t="s">
        <v>21</v>
      </c>
      <c r="C153" s="17">
        <f t="shared" si="1"/>
        <v>149</v>
      </c>
      <c r="D153" s="34">
        <v>46013</v>
      </c>
      <c r="E153" s="35">
        <v>833.86</v>
      </c>
      <c r="F153" s="387" t="s">
        <v>22</v>
      </c>
      <c r="G153" s="20" t="s">
        <v>440</v>
      </c>
      <c r="H153" s="36" t="s">
        <v>19</v>
      </c>
      <c r="I153" s="36" t="s">
        <v>29</v>
      </c>
      <c r="J153" s="20"/>
      <c r="K153" s="36"/>
      <c r="L153" s="22">
        <f>IF(B153="","",IF(I153="CompteCourant",IF(IF(ISNA(VLOOKUP(B153,DATA!$A$1:$A$16,1,0)),"",VLOOKUP(B153,DATA!$A$1:$A$16,1,0))="",L152+E153,L152-E153),L152))</f>
        <v>12767.949999999997</v>
      </c>
      <c r="M153" s="23">
        <f>IF(B153="","",IF(I153="Coffre",IF(IF(ISNA(VLOOKUP(B153,DATA!$A$1:$A$16,1,0)),"",VLOOKUP(B153,DATA!$A$1:$A$16,1,0))="",M152+E153,M152-E153),M152))</f>
        <v>2242.2000000000003</v>
      </c>
      <c r="N153" s="23">
        <f>IF(B153="","",IF(I153="CompteEpargne",IF(IF(ISNA(VLOOKUP(B153,DATA!$A$1:$A$16,1,0)),"",VLOOKUP(B153,DATA!$A$1:$A$16,1,0))="",N152+E153,N152-E153),N152))</f>
        <v>42.64</v>
      </c>
      <c r="O153" s="32">
        <f>IF(B153="","",IF(J153="CompteEpargne",IF(IF(ISNA(VLOOKUP(B153,DATA!$A$1:$A$16,1,0)),"",VLOOKUP(B153,DATA!$A$1:$A$16,1,0))="",O152+E153,O152-E153),O152))</f>
        <v>42.64</v>
      </c>
      <c r="P153" s="22">
        <f t="shared" si="0"/>
        <v>15095.429999999997</v>
      </c>
      <c r="Q153" s="32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5.75" customHeight="1" x14ac:dyDescent="0.2">
      <c r="A154" s="1"/>
      <c r="B154" s="33" t="s">
        <v>21</v>
      </c>
      <c r="C154" s="17">
        <f t="shared" si="1"/>
        <v>150</v>
      </c>
      <c r="D154" s="34">
        <v>46014</v>
      </c>
      <c r="E154" s="35">
        <v>175.68</v>
      </c>
      <c r="F154" s="387" t="s">
        <v>22</v>
      </c>
      <c r="G154" s="20" t="s">
        <v>440</v>
      </c>
      <c r="H154" s="36" t="s">
        <v>19</v>
      </c>
      <c r="I154" s="36" t="s">
        <v>29</v>
      </c>
      <c r="J154" s="20"/>
      <c r="K154" s="36"/>
      <c r="L154" s="22">
        <f>IF(B154="","",IF(I154="CompteCourant",IF(IF(ISNA(VLOOKUP(B154,DATA!$A$1:$A$16,1,0)),"",VLOOKUP(B154,DATA!$A$1:$A$16,1,0))="",L153+E154,L153-E154),L153))</f>
        <v>12943.629999999997</v>
      </c>
      <c r="M154" s="23">
        <f>IF(B154="","",IF(I154="Coffre",IF(IF(ISNA(VLOOKUP(B154,DATA!$A$1:$A$16,1,0)),"",VLOOKUP(B154,DATA!$A$1:$A$16,1,0))="",M153+E154,M153-E154),M153))</f>
        <v>2242.2000000000003</v>
      </c>
      <c r="N154" s="23">
        <f>IF(B154="","",IF(I154="CompteEpargne",IF(IF(ISNA(VLOOKUP(B154,DATA!$A$1:$A$16,1,0)),"",VLOOKUP(B154,DATA!$A$1:$A$16,1,0))="",N153+E154,N153-E154),N153))</f>
        <v>42.64</v>
      </c>
      <c r="O154" s="32">
        <f>IF(B154="","",IF(J154="CompteEpargne",IF(IF(ISNA(VLOOKUP(B154,DATA!$A$1:$A$16,1,0)),"",VLOOKUP(B154,DATA!$A$1:$A$16,1,0))="",O153+E154,O153-E154),O153))</f>
        <v>42.64</v>
      </c>
      <c r="P154" s="22">
        <f t="shared" si="0"/>
        <v>15271.109999999997</v>
      </c>
      <c r="Q154" s="32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5.75" customHeight="1" x14ac:dyDescent="0.2">
      <c r="A155" s="1"/>
      <c r="B155" s="33" t="s">
        <v>21</v>
      </c>
      <c r="C155" s="17">
        <f t="shared" si="1"/>
        <v>151</v>
      </c>
      <c r="D155" s="34">
        <v>46014</v>
      </c>
      <c r="E155" s="35">
        <v>19.739999999999998</v>
      </c>
      <c r="F155" s="387" t="s">
        <v>22</v>
      </c>
      <c r="G155" s="20" t="s">
        <v>440</v>
      </c>
      <c r="H155" s="36" t="s">
        <v>19</v>
      </c>
      <c r="I155" s="36" t="s">
        <v>29</v>
      </c>
      <c r="J155" s="20"/>
      <c r="K155" s="36"/>
      <c r="L155" s="22">
        <f>IF(B155="","",IF(I155="CompteCourant",IF(IF(ISNA(VLOOKUP(B155,DATA!$A$1:$A$16,1,0)),"",VLOOKUP(B155,DATA!$A$1:$A$16,1,0))="",L154+E155,L154-E155),L154))</f>
        <v>12963.369999999997</v>
      </c>
      <c r="M155" s="23">
        <f>IF(B155="","",IF(I155="Coffre",IF(IF(ISNA(VLOOKUP(B155,DATA!$A$1:$A$16,1,0)),"",VLOOKUP(B155,DATA!$A$1:$A$16,1,0))="",M154+E155,M154-E155),M154))</f>
        <v>2242.2000000000003</v>
      </c>
      <c r="N155" s="23">
        <f>IF(B155="","",IF(I155="CompteEpargne",IF(IF(ISNA(VLOOKUP(B155,DATA!$A$1:$A$16,1,0)),"",VLOOKUP(B155,DATA!$A$1:$A$16,1,0))="",N154+E155,N154-E155),N154))</f>
        <v>42.64</v>
      </c>
      <c r="O155" s="32">
        <f>IF(B155="","",IF(J155="CompteEpargne",IF(IF(ISNA(VLOOKUP(B155,DATA!$A$1:$A$16,1,0)),"",VLOOKUP(B155,DATA!$A$1:$A$16,1,0))="",O154+E155,O154-E155),O154))</f>
        <v>42.64</v>
      </c>
      <c r="P155" s="22">
        <f t="shared" si="0"/>
        <v>15290.849999999997</v>
      </c>
      <c r="Q155" s="32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5.75" customHeight="1" x14ac:dyDescent="0.2">
      <c r="A156" s="1"/>
      <c r="B156" s="33" t="s">
        <v>21</v>
      </c>
      <c r="C156" s="17">
        <f t="shared" si="1"/>
        <v>152</v>
      </c>
      <c r="D156" s="34">
        <v>46014</v>
      </c>
      <c r="E156" s="35">
        <v>81.91</v>
      </c>
      <c r="F156" s="387" t="s">
        <v>22</v>
      </c>
      <c r="G156" s="20" t="s">
        <v>440</v>
      </c>
      <c r="H156" s="36" t="s">
        <v>19</v>
      </c>
      <c r="I156" s="36" t="s">
        <v>29</v>
      </c>
      <c r="J156" s="20"/>
      <c r="K156" s="36"/>
      <c r="L156" s="22">
        <f>IF(B156="","",IF(I156="CompteCourant",IF(IF(ISNA(VLOOKUP(B156,DATA!$A$1:$A$16,1,0)),"",VLOOKUP(B156,DATA!$A$1:$A$16,1,0))="",L155+E156,L155-E156),L155))</f>
        <v>13045.279999999997</v>
      </c>
      <c r="M156" s="23">
        <f>IF(B156="","",IF(I156="Coffre",IF(IF(ISNA(VLOOKUP(B156,DATA!$A$1:$A$16,1,0)),"",VLOOKUP(B156,DATA!$A$1:$A$16,1,0))="",M155+E156,M155-E156),M155))</f>
        <v>2242.2000000000003</v>
      </c>
      <c r="N156" s="23">
        <f>IF(B156="","",IF(I156="CompteEpargne",IF(IF(ISNA(VLOOKUP(B156,DATA!$A$1:$A$16,1,0)),"",VLOOKUP(B156,DATA!$A$1:$A$16,1,0))="",N155+E156,N155-E156),N155))</f>
        <v>42.64</v>
      </c>
      <c r="O156" s="32">
        <f>IF(B156="","",IF(J156="CompteEpargne",IF(IF(ISNA(VLOOKUP(B156,DATA!$A$1:$A$16,1,0)),"",VLOOKUP(B156,DATA!$A$1:$A$16,1,0))="",O155+E156,O155-E156),O155))</f>
        <v>42.64</v>
      </c>
      <c r="P156" s="22">
        <f t="shared" si="0"/>
        <v>15372.759999999997</v>
      </c>
      <c r="Q156" s="32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5.75" customHeight="1" x14ac:dyDescent="0.2">
      <c r="A157" s="1"/>
      <c r="B157" s="33" t="s">
        <v>21</v>
      </c>
      <c r="C157" s="17">
        <f t="shared" si="1"/>
        <v>153</v>
      </c>
      <c r="D157" s="34">
        <v>46014</v>
      </c>
      <c r="E157" s="35">
        <v>154.93</v>
      </c>
      <c r="F157" s="387" t="s">
        <v>22</v>
      </c>
      <c r="G157" s="20" t="s">
        <v>440</v>
      </c>
      <c r="H157" s="36" t="s">
        <v>19</v>
      </c>
      <c r="I157" s="36" t="s">
        <v>29</v>
      </c>
      <c r="J157" s="20"/>
      <c r="K157" s="36"/>
      <c r="L157" s="22">
        <f>IF(B157="","",IF(I157="CompteCourant",IF(IF(ISNA(VLOOKUP(B157,DATA!$A$1:$A$16,1,0)),"",VLOOKUP(B157,DATA!$A$1:$A$16,1,0))="",L156+E157,L156-E157),L156))</f>
        <v>13200.209999999997</v>
      </c>
      <c r="M157" s="23">
        <f>IF(B157="","",IF(I157="Coffre",IF(IF(ISNA(VLOOKUP(B157,DATA!$A$1:$A$16,1,0)),"",VLOOKUP(B157,DATA!$A$1:$A$16,1,0))="",M156+E157,M156-E157),M156))</f>
        <v>2242.2000000000003</v>
      </c>
      <c r="N157" s="23">
        <f>IF(B157="","",IF(I157="CompteEpargne",IF(IF(ISNA(VLOOKUP(B157,DATA!$A$1:$A$16,1,0)),"",VLOOKUP(B157,DATA!$A$1:$A$16,1,0))="",N156+E157,N156-E157),N156))</f>
        <v>42.64</v>
      </c>
      <c r="O157" s="32">
        <f>IF(B157="","",IF(J157="CompteEpargne",IF(IF(ISNA(VLOOKUP(B157,DATA!$A$1:$A$16,1,0)),"",VLOOKUP(B157,DATA!$A$1:$A$16,1,0))="",O156+E157,O156-E157),O156))</f>
        <v>42.64</v>
      </c>
      <c r="P157" s="22">
        <f t="shared" si="0"/>
        <v>15527.689999999997</v>
      </c>
      <c r="Q157" s="32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.75" customHeight="1" x14ac:dyDescent="0.2">
      <c r="A158" s="1"/>
      <c r="B158" s="33" t="s">
        <v>21</v>
      </c>
      <c r="C158" s="17">
        <f t="shared" si="1"/>
        <v>154</v>
      </c>
      <c r="D158" s="34">
        <v>46014</v>
      </c>
      <c r="E158" s="35">
        <v>290.14999999999998</v>
      </c>
      <c r="F158" s="387" t="s">
        <v>22</v>
      </c>
      <c r="G158" s="20" t="s">
        <v>440</v>
      </c>
      <c r="H158" s="36" t="s">
        <v>19</v>
      </c>
      <c r="I158" s="36" t="s">
        <v>29</v>
      </c>
      <c r="J158" s="20"/>
      <c r="K158" s="36"/>
      <c r="L158" s="22">
        <f>IF(B158="","",IF(I158="CompteCourant",IF(IF(ISNA(VLOOKUP(B158,DATA!$A$1:$A$16,1,0)),"",VLOOKUP(B158,DATA!$A$1:$A$16,1,0))="",L157+E158,L157-E158),L157))</f>
        <v>13490.359999999997</v>
      </c>
      <c r="M158" s="23">
        <f>IF(B158="","",IF(I158="Coffre",IF(IF(ISNA(VLOOKUP(B158,DATA!$A$1:$A$16,1,0)),"",VLOOKUP(B158,DATA!$A$1:$A$16,1,0))="",M157+E158,M157-E158),M157))</f>
        <v>2242.2000000000003</v>
      </c>
      <c r="N158" s="23">
        <f>IF(B158="","",IF(I158="CompteEpargne",IF(IF(ISNA(VLOOKUP(B158,DATA!$A$1:$A$16,1,0)),"",VLOOKUP(B158,DATA!$A$1:$A$16,1,0))="",N157+E158,N157-E158),N157))</f>
        <v>42.64</v>
      </c>
      <c r="O158" s="32">
        <f>IF(B158="","",IF(J158="CompteEpargne",IF(IF(ISNA(VLOOKUP(B158,DATA!$A$1:$A$16,1,0)),"",VLOOKUP(B158,DATA!$A$1:$A$16,1,0))="",O157+E158,O157-E158),O157))</f>
        <v>42.64</v>
      </c>
      <c r="P158" s="22">
        <f t="shared" si="0"/>
        <v>15817.839999999997</v>
      </c>
      <c r="Q158" s="32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4.25" customHeight="1" x14ac:dyDescent="0.2">
      <c r="A159" s="1"/>
      <c r="B159" s="33" t="s">
        <v>21</v>
      </c>
      <c r="C159" s="17">
        <f t="shared" si="1"/>
        <v>155</v>
      </c>
      <c r="D159" s="34">
        <v>46014</v>
      </c>
      <c r="E159" s="35">
        <v>149.03</v>
      </c>
      <c r="F159" s="387" t="s">
        <v>22</v>
      </c>
      <c r="G159" s="20" t="s">
        <v>440</v>
      </c>
      <c r="H159" s="36" t="s">
        <v>19</v>
      </c>
      <c r="I159" s="36" t="s">
        <v>29</v>
      </c>
      <c r="J159" s="20"/>
      <c r="K159" s="36"/>
      <c r="L159" s="22">
        <f>IF(B159="","",IF(I159="CompteCourant",IF(IF(ISNA(VLOOKUP(B159,DATA!$A$1:$A$16,1,0)),"",VLOOKUP(B159,DATA!$A$1:$A$16,1,0))="",L158+E159,L158-E159),L158))</f>
        <v>13639.389999999998</v>
      </c>
      <c r="M159" s="23">
        <f>IF(B159="","",IF(I159="Coffre",IF(IF(ISNA(VLOOKUP(B159,DATA!$A$1:$A$16,1,0)),"",VLOOKUP(B159,DATA!$A$1:$A$16,1,0))="",M158+E159,M158-E159),M158))</f>
        <v>2242.2000000000003</v>
      </c>
      <c r="N159" s="23">
        <f>IF(B159="","",IF(I159="CompteEpargne",IF(IF(ISNA(VLOOKUP(B159,DATA!$A$1:$A$16,1,0)),"",VLOOKUP(B159,DATA!$A$1:$A$16,1,0))="",N158+E159,N158-E159),N158))</f>
        <v>42.64</v>
      </c>
      <c r="O159" s="32">
        <f>IF(B159="","",IF(J159="CompteEpargne",IF(IF(ISNA(VLOOKUP(B159,DATA!$A$1:$A$16,1,0)),"",VLOOKUP(B159,DATA!$A$1:$A$16,1,0))="",O158+E159,O158-E159),O158))</f>
        <v>42.64</v>
      </c>
      <c r="P159" s="22">
        <f t="shared" si="0"/>
        <v>15966.869999999997</v>
      </c>
      <c r="Q159" s="32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4.25" customHeight="1" x14ac:dyDescent="0.2">
      <c r="A160" s="1"/>
      <c r="B160" s="33" t="s">
        <v>403</v>
      </c>
      <c r="C160" s="17">
        <f t="shared" si="1"/>
        <v>156</v>
      </c>
      <c r="D160" s="34">
        <v>46015</v>
      </c>
      <c r="E160" s="35">
        <v>500</v>
      </c>
      <c r="F160" s="20" t="s">
        <v>22</v>
      </c>
      <c r="G160" s="20" t="s">
        <v>444</v>
      </c>
      <c r="H160" s="36" t="s">
        <v>19</v>
      </c>
      <c r="I160" s="36" t="s">
        <v>29</v>
      </c>
      <c r="J160" s="20"/>
      <c r="K160" s="36"/>
      <c r="L160" s="22">
        <f>IF(B160="","",IF(I160="CompteCourant",IF(IF(ISNA(VLOOKUP(B160,DATA!$A$1:$A$16,1,0)),"",VLOOKUP(B160,DATA!$A$1:$A$16,1,0))="",L159+E160,L159-E160),L159))</f>
        <v>14139.389999999998</v>
      </c>
      <c r="M160" s="23">
        <f>IF(B160="","",IF(I160="Coffre",IF(IF(ISNA(VLOOKUP(B160,DATA!$A$1:$A$16,1,0)),"",VLOOKUP(B160,DATA!$A$1:$A$16,1,0))="",M159+E160,M159-E160),M159))</f>
        <v>2242.2000000000003</v>
      </c>
      <c r="N160" s="23">
        <f>IF(B160="","",IF(I160="CompteEpargne",IF(IF(ISNA(VLOOKUP(B160,DATA!$A$1:$A$16,1,0)),"",VLOOKUP(B160,DATA!$A$1:$A$16,1,0))="",N159+E160,N159-E160),N159))</f>
        <v>42.64</v>
      </c>
      <c r="O160" s="32">
        <f>IF(B160="","",IF(J160="CompteEpargne",IF(IF(ISNA(VLOOKUP(B160,DATA!$A$1:$A$16,1,0)),"",VLOOKUP(B160,DATA!$A$1:$A$16,1,0))="",O159+E160,O159-E160),O159))</f>
        <v>42.64</v>
      </c>
      <c r="P160" s="22">
        <f t="shared" si="0"/>
        <v>16466.87</v>
      </c>
      <c r="Q160" s="32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4.25" customHeight="1" x14ac:dyDescent="0.2">
      <c r="A161" s="1"/>
      <c r="B161" s="33" t="s">
        <v>107</v>
      </c>
      <c r="C161" s="17">
        <f t="shared" si="1"/>
        <v>157</v>
      </c>
      <c r="D161" s="34">
        <v>46022</v>
      </c>
      <c r="E161" s="35">
        <v>77.3</v>
      </c>
      <c r="F161" s="20" t="s">
        <v>108</v>
      </c>
      <c r="G161" s="20" t="s">
        <v>445</v>
      </c>
      <c r="H161" s="36" t="s">
        <v>19</v>
      </c>
      <c r="I161" s="36" t="s">
        <v>29</v>
      </c>
      <c r="J161" s="20"/>
      <c r="K161" s="36"/>
      <c r="L161" s="22">
        <f>IF(B161="","",IF(I161="CompteCourant",IF(IF(ISNA(VLOOKUP(B161,DATA!$A$1:$A$16,1,0)),"",VLOOKUP(B161,DATA!$A$1:$A$16,1,0))="",L160+E161,L160-E161),L160))</f>
        <v>14062.089999999998</v>
      </c>
      <c r="M161" s="23">
        <f>IF(B161="","",IF(I161="Coffre",IF(IF(ISNA(VLOOKUP(B161,DATA!$A$1:$A$16,1,0)),"",VLOOKUP(B161,DATA!$A$1:$A$16,1,0))="",M160+E161,M160-E161),M160))</f>
        <v>2242.2000000000003</v>
      </c>
      <c r="N161" s="23">
        <f>IF(B161="","",IF(I161="CompteEpargne",IF(IF(ISNA(VLOOKUP(B161,DATA!$A$1:$A$16,1,0)),"",VLOOKUP(B161,DATA!$A$1:$A$16,1,0))="",N160+E161,N160-E161),N160))</f>
        <v>42.64</v>
      </c>
      <c r="O161" s="32">
        <f>IF(B161="","",IF(J161="CompteEpargne",IF(IF(ISNA(VLOOKUP(B161,DATA!$A$1:$A$16,1,0)),"",VLOOKUP(B161,DATA!$A$1:$A$16,1,0))="",O160+E161,O160-E161),O160))</f>
        <v>42.64</v>
      </c>
      <c r="P161" s="22">
        <f t="shared" si="0"/>
        <v>16389.57</v>
      </c>
      <c r="Q161" s="32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4.25" customHeight="1" x14ac:dyDescent="0.2">
      <c r="A162" s="1"/>
      <c r="B162" s="33" t="s">
        <v>107</v>
      </c>
      <c r="C162" s="17">
        <f t="shared" si="1"/>
        <v>158</v>
      </c>
      <c r="D162" s="34">
        <v>46030</v>
      </c>
      <c r="E162" s="35">
        <v>132</v>
      </c>
      <c r="F162" s="20" t="s">
        <v>187</v>
      </c>
      <c r="G162" s="20"/>
      <c r="H162" s="36" t="s">
        <v>19</v>
      </c>
      <c r="I162" s="36" t="s">
        <v>29</v>
      </c>
      <c r="J162" s="20"/>
      <c r="K162" s="36"/>
      <c r="L162" s="22">
        <f>IF(B162="","",IF(I162="CompteCourant",IF(IF(ISNA(VLOOKUP(B162,DATA!$A$1:$A$16,1,0)),"",VLOOKUP(B162,DATA!$A$1:$A$16,1,0))="",L161+E162,L161-E162),L161))</f>
        <v>13930.089999999998</v>
      </c>
      <c r="M162" s="23">
        <f>IF(B162="","",IF(I162="Coffre",IF(IF(ISNA(VLOOKUP(B162,DATA!$A$1:$A$16,1,0)),"",VLOOKUP(B162,DATA!$A$1:$A$16,1,0))="",M161+E162,M161-E162),M161))</f>
        <v>2242.2000000000003</v>
      </c>
      <c r="N162" s="23">
        <f>IF(B162="","",IF(I162="CompteEpargne",IF(IF(ISNA(VLOOKUP(B162,DATA!$A$1:$A$16,1,0)),"",VLOOKUP(B162,DATA!$A$1:$A$16,1,0))="",N161+E162,N161-E162),N161))</f>
        <v>42.64</v>
      </c>
      <c r="O162" s="32">
        <f>IF(B162="","",IF(J162="CompteEpargne",IF(IF(ISNA(VLOOKUP(B162,DATA!$A$1:$A$16,1,0)),"",VLOOKUP(B162,DATA!$A$1:$A$16,1,0))="",O161+E162,O161-E162),O161))</f>
        <v>42.64</v>
      </c>
      <c r="P162" s="22">
        <f t="shared" si="0"/>
        <v>16257.569999999998</v>
      </c>
      <c r="Q162" s="32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4.25" customHeight="1" x14ac:dyDescent="0.2">
      <c r="A163" s="1"/>
      <c r="B163" s="33" t="s">
        <v>116</v>
      </c>
      <c r="C163" s="17">
        <f t="shared" si="1"/>
        <v>159</v>
      </c>
      <c r="D163" s="34">
        <v>46030</v>
      </c>
      <c r="E163" s="35">
        <v>97.7</v>
      </c>
      <c r="F163" s="387" t="s">
        <v>22</v>
      </c>
      <c r="G163" s="20" t="s">
        <v>440</v>
      </c>
      <c r="H163" s="36" t="s">
        <v>19</v>
      </c>
      <c r="I163" s="36" t="s">
        <v>29</v>
      </c>
      <c r="J163" s="20"/>
      <c r="K163" s="36"/>
      <c r="L163" s="22">
        <f>IF(B163="","",IF(I163="CompteCourant",IF(IF(ISNA(VLOOKUP(B163,DATA!$A$1:$A$16,1,0)),"",VLOOKUP(B163,DATA!$A$1:$A$16,1,0))="",L162+E163,L162-E163),L162))</f>
        <v>14027.789999999999</v>
      </c>
      <c r="M163" s="23">
        <f>IF(B163="","",IF(I163="Coffre",IF(IF(ISNA(VLOOKUP(B163,DATA!$A$1:$A$16,1,0)),"",VLOOKUP(B163,DATA!$A$1:$A$16,1,0))="",M162+E163,M162-E163),M162))</f>
        <v>2242.2000000000003</v>
      </c>
      <c r="N163" s="23">
        <f>IF(B163="","",IF(I163="CompteEpargne",IF(IF(ISNA(VLOOKUP(B163,DATA!$A$1:$A$16,1,0)),"",VLOOKUP(B163,DATA!$A$1:$A$16,1,0))="",N162+E163,N162-E163),N162))</f>
        <v>42.64</v>
      </c>
      <c r="O163" s="32">
        <f>IF(B163="","",IF(J163="CompteEpargne",IF(IF(ISNA(VLOOKUP(B163,DATA!$A$1:$A$16,1,0)),"",VLOOKUP(B163,DATA!$A$1:$A$16,1,0))="",O162+E163,O162-E163),O162))</f>
        <v>42.64</v>
      </c>
      <c r="P163" s="22">
        <f t="shared" si="0"/>
        <v>16355.269999999999</v>
      </c>
      <c r="Q163" s="32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4.25" customHeight="1" x14ac:dyDescent="0.2">
      <c r="A164" s="1"/>
      <c r="B164" s="33" t="s">
        <v>26</v>
      </c>
      <c r="C164" s="17">
        <f t="shared" si="1"/>
        <v>160</v>
      </c>
      <c r="D164" s="34">
        <v>46031</v>
      </c>
      <c r="E164" s="35">
        <v>596.95000000000005</v>
      </c>
      <c r="F164" s="20" t="s">
        <v>188</v>
      </c>
      <c r="G164" s="20"/>
      <c r="H164" s="36" t="s">
        <v>19</v>
      </c>
      <c r="I164" s="36" t="s">
        <v>29</v>
      </c>
      <c r="J164" s="20"/>
      <c r="K164" s="36"/>
      <c r="L164" s="22">
        <f>IF(B164="","",IF(I164="CompteCourant",IF(IF(ISNA(VLOOKUP(B164,DATA!$A$1:$A$16,1,0)),"",VLOOKUP(B164,DATA!$A$1:$A$16,1,0))="",L163+E164,L163-E164),L163))</f>
        <v>13430.839999999998</v>
      </c>
      <c r="M164" s="23">
        <f>IF(B164="","",IF(I164="Coffre",IF(IF(ISNA(VLOOKUP(B164,DATA!$A$1:$A$16,1,0)),"",VLOOKUP(B164,DATA!$A$1:$A$16,1,0))="",M163+E164,M163-E164),M163))</f>
        <v>2242.2000000000003</v>
      </c>
      <c r="N164" s="23">
        <f>IF(B164="","",IF(I164="CompteEpargne",IF(IF(ISNA(VLOOKUP(B164,DATA!$A$1:$A$16,1,0)),"",VLOOKUP(B164,DATA!$A$1:$A$16,1,0))="",N163+E164,N163-E164),N163))</f>
        <v>42.64</v>
      </c>
      <c r="O164" s="32">
        <f>IF(B164="","",IF(J164="CompteEpargne",IF(IF(ISNA(VLOOKUP(B164,DATA!$A$1:$A$16,1,0)),"",VLOOKUP(B164,DATA!$A$1:$A$16,1,0))="",O163+E164,O163-E164),O163))</f>
        <v>42.64</v>
      </c>
      <c r="P164" s="22">
        <f t="shared" si="0"/>
        <v>15758.319999999998</v>
      </c>
      <c r="Q164" s="32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4.25" customHeight="1" x14ac:dyDescent="0.2">
      <c r="A165" s="1"/>
      <c r="B165" s="33" t="s">
        <v>26</v>
      </c>
      <c r="C165" s="17">
        <f t="shared" si="1"/>
        <v>161</v>
      </c>
      <c r="D165" s="34">
        <v>46031</v>
      </c>
      <c r="E165" s="35">
        <v>84.05</v>
      </c>
      <c r="F165" s="20" t="s">
        <v>189</v>
      </c>
      <c r="G165" s="20"/>
      <c r="H165" s="36" t="s">
        <v>19</v>
      </c>
      <c r="I165" s="36" t="s">
        <v>29</v>
      </c>
      <c r="J165" s="20"/>
      <c r="K165" s="36"/>
      <c r="L165" s="22">
        <f>IF(B165="","",IF(I165="CompteCourant",IF(IF(ISNA(VLOOKUP(B165,DATA!$A$1:$A$16,1,0)),"",VLOOKUP(B165,DATA!$A$1:$A$16,1,0))="",L164+E165,L164-E165),L164))</f>
        <v>13346.789999999999</v>
      </c>
      <c r="M165" s="23">
        <f>IF(B165="","",IF(I165="Coffre",IF(IF(ISNA(VLOOKUP(B165,DATA!$A$1:$A$16,1,0)),"",VLOOKUP(B165,DATA!$A$1:$A$16,1,0))="",M164+E165,M164-E165),M164))</f>
        <v>2242.2000000000003</v>
      </c>
      <c r="N165" s="23">
        <f>IF(B165="","",IF(I165="CompteEpargne",IF(IF(ISNA(VLOOKUP(B165,DATA!$A$1:$A$16,1,0)),"",VLOOKUP(B165,DATA!$A$1:$A$16,1,0))="",N164+E165,N164-E165),N164))</f>
        <v>42.64</v>
      </c>
      <c r="O165" s="32">
        <f>IF(B165="","",IF(J165="CompteEpargne",IF(IF(ISNA(VLOOKUP(B165,DATA!$A$1:$A$16,1,0)),"",VLOOKUP(B165,DATA!$A$1:$A$16,1,0))="",O164+E165,O164-E165),O164))</f>
        <v>42.64</v>
      </c>
      <c r="P165" s="22">
        <f t="shared" si="0"/>
        <v>15674.269999999999</v>
      </c>
      <c r="Q165" s="32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4.25" customHeight="1" x14ac:dyDescent="0.2">
      <c r="A166" s="1"/>
      <c r="B166" s="33" t="s">
        <v>26</v>
      </c>
      <c r="C166" s="17">
        <f t="shared" si="1"/>
        <v>162</v>
      </c>
      <c r="D166" s="34">
        <v>46031</v>
      </c>
      <c r="E166" s="35">
        <v>14.7</v>
      </c>
      <c r="F166" s="20" t="s">
        <v>190</v>
      </c>
      <c r="G166" s="20"/>
      <c r="H166" s="36" t="s">
        <v>19</v>
      </c>
      <c r="I166" s="36" t="s">
        <v>29</v>
      </c>
      <c r="J166" s="20"/>
      <c r="K166" s="36"/>
      <c r="L166" s="22">
        <f>IF(B166="","",IF(I166="CompteCourant",IF(IF(ISNA(VLOOKUP(B166,DATA!$A$1:$A$16,1,0)),"",VLOOKUP(B166,DATA!$A$1:$A$16,1,0))="",L165+E166,L165-E166),L165))</f>
        <v>13332.089999999998</v>
      </c>
      <c r="M166" s="23">
        <f>IF(B166="","",IF(I166="Coffre",IF(IF(ISNA(VLOOKUP(B166,DATA!$A$1:$A$16,1,0)),"",VLOOKUP(B166,DATA!$A$1:$A$16,1,0))="",M165+E166,M165-E166),M165))</f>
        <v>2242.2000000000003</v>
      </c>
      <c r="N166" s="23">
        <f>IF(B166="","",IF(I166="CompteEpargne",IF(IF(ISNA(VLOOKUP(B166,DATA!$A$1:$A$16,1,0)),"",VLOOKUP(B166,DATA!$A$1:$A$16,1,0))="",N165+E166,N165-E166),N165))</f>
        <v>42.64</v>
      </c>
      <c r="O166" s="32">
        <f>IF(B166="","",IF(J166="CompteEpargne",IF(IF(ISNA(VLOOKUP(B166,DATA!$A$1:$A$16,1,0)),"",VLOOKUP(B166,DATA!$A$1:$A$16,1,0))="",O165+E166,O165-E166),O165))</f>
        <v>42.64</v>
      </c>
      <c r="P166" s="22">
        <f t="shared" si="0"/>
        <v>15659.569999999998</v>
      </c>
      <c r="Q166" s="32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4.25" customHeight="1" x14ac:dyDescent="0.2">
      <c r="A167" s="1"/>
      <c r="B167" s="33" t="s">
        <v>417</v>
      </c>
      <c r="C167" s="17">
        <f t="shared" si="1"/>
        <v>163</v>
      </c>
      <c r="D167" s="34">
        <v>46031</v>
      </c>
      <c r="E167" s="35">
        <v>1117.3499999999999</v>
      </c>
      <c r="F167" s="20" t="s">
        <v>191</v>
      </c>
      <c r="G167" s="20"/>
      <c r="H167" s="36" t="s">
        <v>19</v>
      </c>
      <c r="I167" s="36" t="s">
        <v>29</v>
      </c>
      <c r="J167" s="20"/>
      <c r="K167" s="36"/>
      <c r="L167" s="22">
        <f>IF(B167="","",IF(I167="CompteCourant",IF(IF(ISNA(VLOOKUP(B167,DATA!$A$1:$A$16,1,0)),"",VLOOKUP(B167,DATA!$A$1:$A$16,1,0))="",L166+E167,L166-E167),L166))</f>
        <v>12214.739999999998</v>
      </c>
      <c r="M167" s="23">
        <f>IF(B167="","",IF(I167="Coffre",IF(IF(ISNA(VLOOKUP(B167,DATA!$A$1:$A$16,1,0)),"",VLOOKUP(B167,DATA!$A$1:$A$16,1,0))="",M166+E167,M166-E167),M166))</f>
        <v>2242.2000000000003</v>
      </c>
      <c r="N167" s="23">
        <f>IF(B167="","",IF(I167="CompteEpargne",IF(IF(ISNA(VLOOKUP(B167,DATA!$A$1:$A$16,1,0)),"",VLOOKUP(B167,DATA!$A$1:$A$16,1,0))="",N166+E167,N166-E167),N166))</f>
        <v>42.64</v>
      </c>
      <c r="O167" s="32">
        <f>IF(B167="","",IF(J167="CompteEpargne",IF(IF(ISNA(VLOOKUP(B167,DATA!$A$1:$A$16,1,0)),"",VLOOKUP(B167,DATA!$A$1:$A$16,1,0))="",O166+E167,O166-E167),O166))</f>
        <v>42.64</v>
      </c>
      <c r="P167" s="22">
        <f t="shared" si="0"/>
        <v>14542.219999999998</v>
      </c>
      <c r="Q167" s="32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4.25" customHeight="1" x14ac:dyDescent="0.2">
      <c r="A168" s="1"/>
      <c r="B168" s="33" t="s">
        <v>21</v>
      </c>
      <c r="C168" s="17">
        <f t="shared" si="1"/>
        <v>164</v>
      </c>
      <c r="D168" s="34">
        <v>46041</v>
      </c>
      <c r="E168" s="35">
        <v>0.99</v>
      </c>
      <c r="F168" s="387" t="s">
        <v>22</v>
      </c>
      <c r="G168" s="20" t="s">
        <v>440</v>
      </c>
      <c r="H168" s="36" t="s">
        <v>19</v>
      </c>
      <c r="I168" s="36" t="s">
        <v>29</v>
      </c>
      <c r="J168" s="20"/>
      <c r="K168" s="36"/>
      <c r="L168" s="22">
        <f>IF(B168="","",IF(I168="CompteCourant",IF(IF(ISNA(VLOOKUP(B168,DATA!$A$1:$A$16,1,0)),"",VLOOKUP(B168,DATA!$A$1:$A$16,1,0))="",L167+E168,L167-E168),L167))</f>
        <v>12215.729999999998</v>
      </c>
      <c r="M168" s="23">
        <f>IF(B168="","",IF(I168="Coffre",IF(IF(ISNA(VLOOKUP(B168,DATA!$A$1:$A$16,1,0)),"",VLOOKUP(B168,DATA!$A$1:$A$16,1,0))="",M167+E168,M167-E168),M167))</f>
        <v>2242.2000000000003</v>
      </c>
      <c r="N168" s="23">
        <f>IF(B168="","",IF(I168="CompteEpargne",IF(IF(ISNA(VLOOKUP(B168,DATA!$A$1:$A$16,1,0)),"",VLOOKUP(B168,DATA!$A$1:$A$16,1,0))="",N167+E168,N167-E168),N167))</f>
        <v>42.64</v>
      </c>
      <c r="O168" s="32">
        <f>IF(B168="","",IF(J168="CompteEpargne",IF(IF(ISNA(VLOOKUP(B168,DATA!$A$1:$A$16,1,0)),"",VLOOKUP(B168,DATA!$A$1:$A$16,1,0))="",O167+E168,O167-E168),O167))</f>
        <v>42.64</v>
      </c>
      <c r="P168" s="22">
        <f t="shared" si="0"/>
        <v>14543.209999999997</v>
      </c>
      <c r="Q168" s="32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4.25" customHeight="1" x14ac:dyDescent="0.2">
      <c r="A169" s="1"/>
      <c r="B169" s="33" t="s">
        <v>400</v>
      </c>
      <c r="C169" s="17">
        <f t="shared" si="1"/>
        <v>165</v>
      </c>
      <c r="D169" s="34">
        <v>46042</v>
      </c>
      <c r="E169" s="35">
        <v>54</v>
      </c>
      <c r="F169" s="20" t="s">
        <v>22</v>
      </c>
      <c r="G169" s="20" t="s">
        <v>401</v>
      </c>
      <c r="H169" s="36" t="s">
        <v>19</v>
      </c>
      <c r="I169" s="36" t="s">
        <v>29</v>
      </c>
      <c r="J169" s="20"/>
      <c r="K169" s="36"/>
      <c r="L169" s="22">
        <f>IF(B169="","",IF(I169="CompteCourant",IF(IF(ISNA(VLOOKUP(B169,DATA!$A$1:$A$16,1,0)),"",VLOOKUP(B169,DATA!$A$1:$A$16,1,0))="",L168+E169,L168-E169),L168))</f>
        <v>12269.729999999998</v>
      </c>
      <c r="M169" s="23">
        <f>IF(B169="","",IF(I169="Coffre",IF(IF(ISNA(VLOOKUP(B169,DATA!$A$1:$A$16,1,0)),"",VLOOKUP(B169,DATA!$A$1:$A$16,1,0))="",M168+E169,M168-E169),M168))</f>
        <v>2242.2000000000003</v>
      </c>
      <c r="N169" s="23">
        <f>IF(B169="","",IF(I169="CompteEpargne",IF(IF(ISNA(VLOOKUP(B169,DATA!$A$1:$A$16,1,0)),"",VLOOKUP(B169,DATA!$A$1:$A$16,1,0))="",N168+E169,N168-E169),N168))</f>
        <v>42.64</v>
      </c>
      <c r="O169" s="32">
        <f>IF(B169="","",IF(J169="CompteEpargne",IF(IF(ISNA(VLOOKUP(B169,DATA!$A$1:$A$16,1,0)),"",VLOOKUP(B169,DATA!$A$1:$A$16,1,0))="",O168+E169,O168-E169),O168))</f>
        <v>42.64</v>
      </c>
      <c r="P169" s="22">
        <f t="shared" si="0"/>
        <v>14597.209999999997</v>
      </c>
      <c r="Q169" s="32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4.25" customHeight="1" x14ac:dyDescent="0.2">
      <c r="A170" s="1"/>
      <c r="B170" s="33" t="s">
        <v>21</v>
      </c>
      <c r="C170" s="17">
        <f t="shared" si="1"/>
        <v>166</v>
      </c>
      <c r="D170" s="34">
        <v>46043</v>
      </c>
      <c r="E170" s="35">
        <v>1.97</v>
      </c>
      <c r="F170" s="20" t="s">
        <v>22</v>
      </c>
      <c r="G170" s="20" t="s">
        <v>405</v>
      </c>
      <c r="H170" s="36" t="s">
        <v>19</v>
      </c>
      <c r="I170" s="36" t="s">
        <v>29</v>
      </c>
      <c r="J170" s="20"/>
      <c r="K170" s="36"/>
      <c r="L170" s="22">
        <f>IF(B170="","",IF(I170="CompteCourant",IF(IF(ISNA(VLOOKUP(B170,DATA!$A$1:$A$16,1,0)),"",VLOOKUP(B170,DATA!$A$1:$A$16,1,0))="",L169+E170,L169-E170),L169))</f>
        <v>12271.699999999997</v>
      </c>
      <c r="M170" s="23">
        <f>IF(B170="","",IF(I170="Coffre",IF(IF(ISNA(VLOOKUP(B170,DATA!$A$1:$A$16,1,0)),"",VLOOKUP(B170,DATA!$A$1:$A$16,1,0))="",M169+E170,M169-E170),M169))</f>
        <v>2242.2000000000003</v>
      </c>
      <c r="N170" s="23">
        <f>IF(B170="","",IF(I170="CompteEpargne",IF(IF(ISNA(VLOOKUP(B170,DATA!$A$1:$A$16,1,0)),"",VLOOKUP(B170,DATA!$A$1:$A$16,1,0))="",N169+E170,N169-E170),N169))</f>
        <v>42.64</v>
      </c>
      <c r="O170" s="32">
        <f>IF(B170="","",IF(J170="CompteEpargne",IF(IF(ISNA(VLOOKUP(B170,DATA!$A$1:$A$16,1,0)),"",VLOOKUP(B170,DATA!$A$1:$A$16,1,0))="",O169+E170,O169-E170),O169))</f>
        <v>42.64</v>
      </c>
      <c r="P170" s="22">
        <f t="shared" si="0"/>
        <v>14599.179999999997</v>
      </c>
      <c r="Q170" s="32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4.25" customHeight="1" x14ac:dyDescent="0.2">
      <c r="A171" s="1"/>
      <c r="B171" s="33" t="s">
        <v>21</v>
      </c>
      <c r="C171" s="17">
        <f t="shared" si="1"/>
        <v>167</v>
      </c>
      <c r="D171" s="34">
        <v>46048</v>
      </c>
      <c r="E171" s="35">
        <v>3.95</v>
      </c>
      <c r="F171" s="20" t="s">
        <v>22</v>
      </c>
      <c r="G171" s="20" t="s">
        <v>405</v>
      </c>
      <c r="H171" s="36" t="s">
        <v>19</v>
      </c>
      <c r="I171" s="36" t="s">
        <v>29</v>
      </c>
      <c r="J171" s="20"/>
      <c r="K171" s="36"/>
      <c r="L171" s="22">
        <f>IF(B171="","",IF(I171="CompteCourant",IF(IF(ISNA(VLOOKUP(B171,DATA!$A$1:$A$16,1,0)),"",VLOOKUP(B171,DATA!$A$1:$A$16,1,0))="",L170+E171,L170-E171),L170))</f>
        <v>12275.649999999998</v>
      </c>
      <c r="M171" s="23">
        <f>IF(B171="","",IF(I171="Coffre",IF(IF(ISNA(VLOOKUP(B171,DATA!$A$1:$A$16,1,0)),"",VLOOKUP(B171,DATA!$A$1:$A$16,1,0))="",M170+E171,M170-E171),M170))</f>
        <v>2242.2000000000003</v>
      </c>
      <c r="N171" s="23">
        <f>IF(B171="","",IF(I171="CompteEpargne",IF(IF(ISNA(VLOOKUP(B171,DATA!$A$1:$A$16,1,0)),"",VLOOKUP(B171,DATA!$A$1:$A$16,1,0))="",N170+E171,N170-E171),N170))</f>
        <v>42.64</v>
      </c>
      <c r="O171" s="32">
        <f>IF(B171="","",IF(J171="CompteEpargne",IF(IF(ISNA(VLOOKUP(B171,DATA!$A$1:$A$16,1,0)),"",VLOOKUP(B171,DATA!$A$1:$A$16,1,0))="",O170+E171,O170-E171),O170))</f>
        <v>42.64</v>
      </c>
      <c r="P171" s="22">
        <f t="shared" si="0"/>
        <v>14603.129999999997</v>
      </c>
      <c r="Q171" s="32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4.25" customHeight="1" x14ac:dyDescent="0.2">
      <c r="A172" s="1"/>
      <c r="B172" s="33" t="s">
        <v>21</v>
      </c>
      <c r="C172" s="17">
        <f t="shared" si="1"/>
        <v>168</v>
      </c>
      <c r="D172" s="34">
        <v>46049</v>
      </c>
      <c r="E172" s="35">
        <v>4.93</v>
      </c>
      <c r="F172" s="20" t="s">
        <v>22</v>
      </c>
      <c r="G172" s="20" t="s">
        <v>405</v>
      </c>
      <c r="H172" s="36" t="s">
        <v>19</v>
      </c>
      <c r="I172" s="36" t="s">
        <v>29</v>
      </c>
      <c r="J172" s="20"/>
      <c r="K172" s="36"/>
      <c r="L172" s="22">
        <f>IF(B172="","",IF(I172="CompteCourant",IF(IF(ISNA(VLOOKUP(B172,DATA!$A$1:$A$16,1,0)),"",VLOOKUP(B172,DATA!$A$1:$A$16,1,0))="",L171+E172,L171-E172),L171))</f>
        <v>12280.579999999998</v>
      </c>
      <c r="M172" s="23">
        <f>IF(B172="","",IF(I172="Coffre",IF(IF(ISNA(VLOOKUP(B172,DATA!$A$1:$A$16,1,0)),"",VLOOKUP(B172,DATA!$A$1:$A$16,1,0))="",M171+E172,M171-E172),M171))</f>
        <v>2242.2000000000003</v>
      </c>
      <c r="N172" s="23">
        <f>IF(B172="","",IF(I172="CompteEpargne",IF(IF(ISNA(VLOOKUP(B172,DATA!$A$1:$A$16,1,0)),"",VLOOKUP(B172,DATA!$A$1:$A$16,1,0))="",N171+E172,N171-E172),N171))</f>
        <v>42.64</v>
      </c>
      <c r="O172" s="32">
        <f>IF(B172="","",IF(J172="CompteEpargne",IF(IF(ISNA(VLOOKUP(B172,DATA!$A$1:$A$16,1,0)),"",VLOOKUP(B172,DATA!$A$1:$A$16,1,0))="",O171+E172,O171-E172),O171))</f>
        <v>42.64</v>
      </c>
      <c r="P172" s="22">
        <f t="shared" si="0"/>
        <v>14608.059999999998</v>
      </c>
      <c r="Q172" s="32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4.25" customHeight="1" x14ac:dyDescent="0.2">
      <c r="A173" s="1"/>
      <c r="B173" s="33" t="s">
        <v>107</v>
      </c>
      <c r="C173" s="17">
        <f t="shared" si="1"/>
        <v>169</v>
      </c>
      <c r="D173" s="34">
        <v>46063</v>
      </c>
      <c r="E173" s="35">
        <v>400</v>
      </c>
      <c r="F173" s="20" t="s">
        <v>20</v>
      </c>
      <c r="G173" s="20" t="s">
        <v>406</v>
      </c>
      <c r="H173" s="36" t="s">
        <v>19</v>
      </c>
      <c r="I173" s="36" t="s">
        <v>29</v>
      </c>
      <c r="J173" s="20" t="s">
        <v>394</v>
      </c>
      <c r="K173" s="36"/>
      <c r="L173" s="22">
        <f>IF(B173="","",IF(I173="CompteCourant",IF(IF(ISNA(VLOOKUP(B173,DATA!$A$1:$A$16,1,0)),"",VLOOKUP(B173,DATA!$A$1:$A$16,1,0))="",L172+E173,L172-E173),L172))</f>
        <v>11880.579999999998</v>
      </c>
      <c r="M173" s="23">
        <f>IF(B173="","",IF(I173="Coffre",IF(IF(ISNA(VLOOKUP(B173,DATA!$A$1:$A$16,1,0)),"",VLOOKUP(B173,DATA!$A$1:$A$16,1,0))="",M172+E173,M172-E173),M172))</f>
        <v>2242.2000000000003</v>
      </c>
      <c r="N173" s="23">
        <f>IF(B173="","",IF(I173="CompteEpargne",IF(IF(ISNA(VLOOKUP(B173,DATA!$A$1:$A$16,1,0)),"",VLOOKUP(B173,DATA!$A$1:$A$16,1,0))="",N172+E173,N172-E173),N172))</f>
        <v>42.64</v>
      </c>
      <c r="O173" s="32">
        <f>IF(B173="","",IF(J173="CompteEpargne",IF(IF(ISNA(VLOOKUP(B173,DATA!$A$1:$A$16,1,0)),"",VLOOKUP(B173,DATA!$A$1:$A$16,1,0))="",O172+E173,O172-E173),O172))</f>
        <v>42.64</v>
      </c>
      <c r="P173" s="22">
        <f t="shared" si="0"/>
        <v>14208.059999999998</v>
      </c>
      <c r="Q173" s="32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4.25" customHeight="1" x14ac:dyDescent="0.2">
      <c r="A174" s="1"/>
      <c r="B174" s="33" t="s">
        <v>26</v>
      </c>
      <c r="C174" s="17">
        <f t="shared" si="1"/>
        <v>170</v>
      </c>
      <c r="D174" s="34">
        <v>46068</v>
      </c>
      <c r="E174" s="35">
        <v>18</v>
      </c>
      <c r="F174" s="20" t="s">
        <v>407</v>
      </c>
      <c r="G174" s="20" t="s">
        <v>408</v>
      </c>
      <c r="H174" s="36" t="s">
        <v>19</v>
      </c>
      <c r="I174" s="36" t="s">
        <v>29</v>
      </c>
      <c r="J174" s="20" t="s">
        <v>394</v>
      </c>
      <c r="K174" s="36"/>
      <c r="L174" s="22">
        <f>IF(B174="","",IF(I174="CompteCourant",IF(IF(ISNA(VLOOKUP(B174,DATA!$A$1:$A$16,1,0)),"",VLOOKUP(B174,DATA!$A$1:$A$16,1,0))="",L173+E174,L173-E174),L173))</f>
        <v>11862.579999999998</v>
      </c>
      <c r="M174" s="23">
        <f>IF(B174="","",IF(I174="Coffre",IF(IF(ISNA(VLOOKUP(B174,DATA!$A$1:$A$16,1,0)),"",VLOOKUP(B174,DATA!$A$1:$A$16,1,0))="",M173+E174,M173-E174),M173))</f>
        <v>2242.2000000000003</v>
      </c>
      <c r="N174" s="23">
        <f>IF(B174="","",IF(I174="CompteEpargne",IF(IF(ISNA(VLOOKUP(B174,DATA!$A$1:$A$16,1,0)),"",VLOOKUP(B174,DATA!$A$1:$A$16,1,0))="",N173+E174,N173-E174),N173))</f>
        <v>42.64</v>
      </c>
      <c r="O174" s="32">
        <f>IF(B174="","",IF(J174="CompteEpargne",IF(IF(ISNA(VLOOKUP(B174,DATA!$A$1:$A$16,1,0)),"",VLOOKUP(B174,DATA!$A$1:$A$16,1,0))="",O173+E174,O173-E174),O173))</f>
        <v>42.64</v>
      </c>
      <c r="P174" s="22">
        <f t="shared" si="0"/>
        <v>14190.059999999998</v>
      </c>
      <c r="Q174" s="32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4.25" customHeight="1" x14ac:dyDescent="0.2">
      <c r="A175" s="1"/>
      <c r="B175" s="33" t="s">
        <v>26</v>
      </c>
      <c r="C175" s="17">
        <f t="shared" si="1"/>
        <v>171</v>
      </c>
      <c r="D175" s="34">
        <v>46068</v>
      </c>
      <c r="E175" s="35">
        <v>102.1</v>
      </c>
      <c r="F175" s="20" t="s">
        <v>409</v>
      </c>
      <c r="G175" s="20" t="s">
        <v>408</v>
      </c>
      <c r="H175" s="36" t="s">
        <v>19</v>
      </c>
      <c r="I175" s="36" t="s">
        <v>29</v>
      </c>
      <c r="J175" s="20" t="s">
        <v>394</v>
      </c>
      <c r="K175" s="36"/>
      <c r="L175" s="22">
        <f>IF(B175="","",IF(I175="CompteCourant",IF(IF(ISNA(VLOOKUP(B175,DATA!$A$1:$A$16,1,0)),"",VLOOKUP(B175,DATA!$A$1:$A$16,1,0))="",L174+E175,L174-E175),L174))</f>
        <v>11760.479999999998</v>
      </c>
      <c r="M175" s="23">
        <f>IF(B175="","",IF(I175="Coffre",IF(IF(ISNA(VLOOKUP(B175,DATA!$A$1:$A$16,1,0)),"",VLOOKUP(B175,DATA!$A$1:$A$16,1,0))="",M174+E175,M174-E175),M174))</f>
        <v>2242.2000000000003</v>
      </c>
      <c r="N175" s="23">
        <f>IF(B175="","",IF(I175="CompteEpargne",IF(IF(ISNA(VLOOKUP(B175,DATA!$A$1:$A$16,1,0)),"",VLOOKUP(B175,DATA!$A$1:$A$16,1,0))="",N174+E175,N174-E175),N174))</f>
        <v>42.64</v>
      </c>
      <c r="O175" s="32">
        <f>IF(B175="","",IF(J175="CompteEpargne",IF(IF(ISNA(VLOOKUP(B175,DATA!$A$1:$A$16,1,0)),"",VLOOKUP(B175,DATA!$A$1:$A$16,1,0))="",O174+E175,O174-E175),O174))</f>
        <v>42.64</v>
      </c>
      <c r="P175" s="22">
        <f t="shared" si="0"/>
        <v>14087.959999999997</v>
      </c>
      <c r="Q175" s="32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4.25" customHeight="1" x14ac:dyDescent="0.2">
      <c r="A176" s="1"/>
      <c r="B176" s="33" t="s">
        <v>26</v>
      </c>
      <c r="C176" s="17">
        <f t="shared" si="1"/>
        <v>172</v>
      </c>
      <c r="D176" s="34">
        <v>46068</v>
      </c>
      <c r="E176" s="35">
        <v>495.6</v>
      </c>
      <c r="F176" s="20" t="s">
        <v>410</v>
      </c>
      <c r="G176" s="20" t="s">
        <v>408</v>
      </c>
      <c r="H176" s="36" t="s">
        <v>19</v>
      </c>
      <c r="I176" s="36" t="s">
        <v>29</v>
      </c>
      <c r="J176" s="20" t="s">
        <v>394</v>
      </c>
      <c r="K176" s="36"/>
      <c r="L176" s="22">
        <f>IF(B176="","",IF(I176="CompteCourant",IF(IF(ISNA(VLOOKUP(B176,DATA!$A$1:$A$16,1,0)),"",VLOOKUP(B176,DATA!$A$1:$A$16,1,0))="",L175+E176,L175-E176),L175))</f>
        <v>11264.879999999997</v>
      </c>
      <c r="M176" s="23">
        <f>IF(B176="","",IF(I176="Coffre",IF(IF(ISNA(VLOOKUP(B176,DATA!$A$1:$A$16,1,0)),"",VLOOKUP(B176,DATA!$A$1:$A$16,1,0))="",M175+E176,M175-E176),M175))</f>
        <v>2242.2000000000003</v>
      </c>
      <c r="N176" s="23">
        <f>IF(B176="","",IF(I176="CompteEpargne",IF(IF(ISNA(VLOOKUP(B176,DATA!$A$1:$A$16,1,0)),"",VLOOKUP(B176,DATA!$A$1:$A$16,1,0))="",N175+E176,N175-E176),N175))</f>
        <v>42.64</v>
      </c>
      <c r="O176" s="32">
        <f>IF(B176="","",IF(J176="CompteEpargne",IF(IF(ISNA(VLOOKUP(B176,DATA!$A$1:$A$16,1,0)),"",VLOOKUP(B176,DATA!$A$1:$A$16,1,0))="",O175+E176,O175-E176),O175))</f>
        <v>42.64</v>
      </c>
      <c r="P176" s="22">
        <f t="shared" si="0"/>
        <v>13592.359999999997</v>
      </c>
      <c r="Q176" s="32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4.25" customHeight="1" x14ac:dyDescent="0.2">
      <c r="A177" s="1"/>
      <c r="B177" s="33" t="s">
        <v>26</v>
      </c>
      <c r="C177" s="17">
        <f t="shared" si="1"/>
        <v>173</v>
      </c>
      <c r="D177" s="34">
        <v>46068</v>
      </c>
      <c r="E177" s="35">
        <v>30</v>
      </c>
      <c r="F177" s="20" t="s">
        <v>128</v>
      </c>
      <c r="G177" s="20" t="s">
        <v>408</v>
      </c>
      <c r="H177" s="36" t="s">
        <v>19</v>
      </c>
      <c r="I177" s="36" t="s">
        <v>29</v>
      </c>
      <c r="J177" s="20" t="s">
        <v>394</v>
      </c>
      <c r="K177" s="36"/>
      <c r="L177" s="22">
        <f>IF(B177="","",IF(I177="CompteCourant",IF(IF(ISNA(VLOOKUP(B177,DATA!$A$1:$A$16,1,0)),"",VLOOKUP(B177,DATA!$A$1:$A$16,1,0))="",L176+E177,L176-E177),L176))</f>
        <v>11234.879999999997</v>
      </c>
      <c r="M177" s="23">
        <f>IF(B177="","",IF(I177="Coffre",IF(IF(ISNA(VLOOKUP(B177,DATA!$A$1:$A$16,1,0)),"",VLOOKUP(B177,DATA!$A$1:$A$16,1,0))="",M176+E177,M176-E177),M176))</f>
        <v>2242.2000000000003</v>
      </c>
      <c r="N177" s="23">
        <f>IF(B177="","",IF(I177="CompteEpargne",IF(IF(ISNA(VLOOKUP(B177,DATA!$A$1:$A$16,1,0)),"",VLOOKUP(B177,DATA!$A$1:$A$16,1,0))="",N176+E177,N176-E177),N176))</f>
        <v>42.64</v>
      </c>
      <c r="O177" s="32">
        <f>IF(B177="","",IF(J177="CompteEpargne",IF(IF(ISNA(VLOOKUP(B177,DATA!$A$1:$A$16,1,0)),"",VLOOKUP(B177,DATA!$A$1:$A$16,1,0))="",O176+E177,O176-E177),O176))</f>
        <v>42.64</v>
      </c>
      <c r="P177" s="22">
        <f t="shared" si="0"/>
        <v>13562.359999999997</v>
      </c>
      <c r="Q177" s="32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4.25" customHeight="1" x14ac:dyDescent="0.2">
      <c r="A178" s="1"/>
      <c r="B178" s="33" t="s">
        <v>21</v>
      </c>
      <c r="C178" s="17">
        <f t="shared" si="1"/>
        <v>174</v>
      </c>
      <c r="D178" s="34">
        <v>46070</v>
      </c>
      <c r="E178" s="35">
        <v>283.27</v>
      </c>
      <c r="F178" s="20" t="s">
        <v>22</v>
      </c>
      <c r="G178" s="20" t="s">
        <v>411</v>
      </c>
      <c r="H178" s="36" t="s">
        <v>19</v>
      </c>
      <c r="I178" s="36" t="s">
        <v>29</v>
      </c>
      <c r="J178" s="20" t="s">
        <v>394</v>
      </c>
      <c r="K178" s="36"/>
      <c r="L178" s="22">
        <f>IF(B178="","",IF(I178="CompteCourant",IF(IF(ISNA(VLOOKUP(B178,DATA!$A$1:$A$16,1,0)),"",VLOOKUP(B178,DATA!$A$1:$A$16,1,0))="",L177+E178,L177-E178),L177))</f>
        <v>11518.149999999998</v>
      </c>
      <c r="M178" s="23">
        <f>IF(B178="","",IF(I178="Coffre",IF(IF(ISNA(VLOOKUP(B178,DATA!$A$1:$A$16,1,0)),"",VLOOKUP(B178,DATA!$A$1:$A$16,1,0))="",M177+E178,M177-E178),M177))</f>
        <v>2242.2000000000003</v>
      </c>
      <c r="N178" s="23">
        <f>IF(B178="","",IF(I178="CompteEpargne",IF(IF(ISNA(VLOOKUP(B178,DATA!$A$1:$A$16,1,0)),"",VLOOKUP(B178,DATA!$A$1:$A$16,1,0))="",N177+E178,N177-E178),N177))</f>
        <v>42.64</v>
      </c>
      <c r="O178" s="32">
        <f>IF(B178="","",IF(J178="CompteEpargne",IF(IF(ISNA(VLOOKUP(B178,DATA!$A$1:$A$16,1,0)),"",VLOOKUP(B178,DATA!$A$1:$A$16,1,0))="",O177+E178,O177-E178),O177))</f>
        <v>42.64</v>
      </c>
      <c r="P178" s="22">
        <f t="shared" si="0"/>
        <v>13845.629999999997</v>
      </c>
      <c r="Q178" s="32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4.25" customHeight="1" x14ac:dyDescent="0.2">
      <c r="A179" s="1"/>
      <c r="B179" s="33" t="s">
        <v>21</v>
      </c>
      <c r="C179" s="17">
        <f t="shared" si="1"/>
        <v>175</v>
      </c>
      <c r="D179" s="34">
        <v>46070</v>
      </c>
      <c r="E179" s="35">
        <v>89.81</v>
      </c>
      <c r="F179" s="20" t="s">
        <v>22</v>
      </c>
      <c r="G179" s="20" t="s">
        <v>411</v>
      </c>
      <c r="H179" s="36" t="s">
        <v>19</v>
      </c>
      <c r="I179" s="36" t="s">
        <v>29</v>
      </c>
      <c r="J179" s="20" t="s">
        <v>394</v>
      </c>
      <c r="K179" s="36"/>
      <c r="L179" s="22">
        <f>IF(B179="","",IF(I179="CompteCourant",IF(IF(ISNA(VLOOKUP(B179,DATA!$A$1:$A$16,1,0)),"",VLOOKUP(B179,DATA!$A$1:$A$16,1,0))="",L178+E179,L178-E179),L178))</f>
        <v>11607.959999999997</v>
      </c>
      <c r="M179" s="23">
        <f>IF(B179="","",IF(I179="Coffre",IF(IF(ISNA(VLOOKUP(B179,DATA!$A$1:$A$16,1,0)),"",VLOOKUP(B179,DATA!$A$1:$A$16,1,0))="",M178+E179,M178-E179),M178))</f>
        <v>2242.2000000000003</v>
      </c>
      <c r="N179" s="23">
        <f>IF(B179="","",IF(I179="CompteEpargne",IF(IF(ISNA(VLOOKUP(B179,DATA!$A$1:$A$16,1,0)),"",VLOOKUP(B179,DATA!$A$1:$A$16,1,0))="",N178+E179,N178-E179),N178))</f>
        <v>42.64</v>
      </c>
      <c r="O179" s="32">
        <f>IF(B179="","",IF(J179="CompteEpargne",IF(IF(ISNA(VLOOKUP(B179,DATA!$A$1:$A$16,1,0)),"",VLOOKUP(B179,DATA!$A$1:$A$16,1,0))="",O178+E179,O178-E179),O178))</f>
        <v>42.64</v>
      </c>
      <c r="P179" s="22">
        <f t="shared" si="0"/>
        <v>13935.439999999997</v>
      </c>
      <c r="Q179" s="32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4.25" customHeight="1" x14ac:dyDescent="0.2">
      <c r="A180" s="1"/>
      <c r="B180" s="33" t="s">
        <v>26</v>
      </c>
      <c r="C180" s="17">
        <f t="shared" si="1"/>
        <v>176</v>
      </c>
      <c r="D180" s="34">
        <v>46071</v>
      </c>
      <c r="E180" s="35">
        <v>81</v>
      </c>
      <c r="F180" s="20" t="s">
        <v>412</v>
      </c>
      <c r="G180" s="20"/>
      <c r="H180" s="36" t="s">
        <v>19</v>
      </c>
      <c r="I180" s="36" t="s">
        <v>29</v>
      </c>
      <c r="J180" s="20"/>
      <c r="K180" s="36"/>
      <c r="L180" s="22">
        <f>IF(B180="","",IF(I180="CompteCourant",IF(IF(ISNA(VLOOKUP(B180,DATA!$A$1:$A$16,1,0)),"",VLOOKUP(B180,DATA!$A$1:$A$16,1,0))="",L179+E180,L179-E180),L179))</f>
        <v>11526.959999999997</v>
      </c>
      <c r="M180" s="23">
        <f>IF(B180="","",IF(I180="Coffre",IF(IF(ISNA(VLOOKUP(B180,DATA!$A$1:$A$16,1,0)),"",VLOOKUP(B180,DATA!$A$1:$A$16,1,0))="",M179+E180,M179-E180),M179))</f>
        <v>2242.2000000000003</v>
      </c>
      <c r="N180" s="23">
        <f>IF(B180="","",IF(I180="CompteEpargne",IF(IF(ISNA(VLOOKUP(B180,DATA!$A$1:$A$16,1,0)),"",VLOOKUP(B180,DATA!$A$1:$A$16,1,0))="",N179+E180,N179-E180),N179))</f>
        <v>42.64</v>
      </c>
      <c r="O180" s="32">
        <f>IF(B180="","",IF(J180="CompteEpargne",IF(IF(ISNA(VLOOKUP(B180,DATA!$A$1:$A$16,1,0)),"",VLOOKUP(B180,DATA!$A$1:$A$16,1,0))="",O179+E180,O179-E180),O179))</f>
        <v>42.64</v>
      </c>
      <c r="P180" s="22">
        <f t="shared" si="0"/>
        <v>13854.439999999997</v>
      </c>
      <c r="Q180" s="32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4.25" customHeight="1" x14ac:dyDescent="0.2">
      <c r="A181" s="1"/>
      <c r="B181" s="33" t="s">
        <v>26</v>
      </c>
      <c r="C181" s="17">
        <f t="shared" si="1"/>
        <v>177</v>
      </c>
      <c r="D181" s="34">
        <v>46072</v>
      </c>
      <c r="E181" s="35">
        <v>72</v>
      </c>
      <c r="F181" s="20" t="s">
        <v>413</v>
      </c>
      <c r="G181" s="20" t="s">
        <v>415</v>
      </c>
      <c r="H181" s="36" t="s">
        <v>19</v>
      </c>
      <c r="I181" s="36" t="s">
        <v>29</v>
      </c>
      <c r="J181" s="20" t="s">
        <v>78</v>
      </c>
      <c r="K181" s="36"/>
      <c r="L181" s="22">
        <f>IF(B181="","",IF(I181="CompteCourant",IF(IF(ISNA(VLOOKUP(B181,DATA!$A$1:$A$16,1,0)),"",VLOOKUP(B181,DATA!$A$1:$A$16,1,0))="",L180+E181,L180-E181),L180))</f>
        <v>11454.959999999997</v>
      </c>
      <c r="M181" s="23">
        <f>IF(B181="","",IF(I181="Coffre",IF(IF(ISNA(VLOOKUP(B181,DATA!$A$1:$A$16,1,0)),"",VLOOKUP(B181,DATA!$A$1:$A$16,1,0))="",M180+E181,M180-E181),M180))</f>
        <v>2242.2000000000003</v>
      </c>
      <c r="N181" s="23">
        <f>IF(B181="","",IF(I181="CompteEpargne",IF(IF(ISNA(VLOOKUP(B181,DATA!$A$1:$A$16,1,0)),"",VLOOKUP(B181,DATA!$A$1:$A$16,1,0))="",N180+E181,N180-E181),N180))</f>
        <v>42.64</v>
      </c>
      <c r="O181" s="32">
        <f>IF(B181="","",IF(J181="CompteEpargne",IF(IF(ISNA(VLOOKUP(B181,DATA!$A$1:$A$16,1,0)),"",VLOOKUP(B181,DATA!$A$1:$A$16,1,0))="",O180+E181,O180-E181),O180))</f>
        <v>42.64</v>
      </c>
      <c r="P181" s="22">
        <f t="shared" si="0"/>
        <v>13782.439999999997</v>
      </c>
      <c r="Q181" s="32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4.25" customHeight="1" x14ac:dyDescent="0.2">
      <c r="A182" s="1"/>
      <c r="B182" s="33" t="s">
        <v>21</v>
      </c>
      <c r="C182" s="17">
        <f t="shared" si="1"/>
        <v>178</v>
      </c>
      <c r="D182" s="34">
        <v>46072</v>
      </c>
      <c r="E182" s="35">
        <v>75.97</v>
      </c>
      <c r="F182" s="20" t="s">
        <v>22</v>
      </c>
      <c r="G182" s="20" t="s">
        <v>414</v>
      </c>
      <c r="H182" s="36" t="s">
        <v>19</v>
      </c>
      <c r="I182" s="36" t="s">
        <v>29</v>
      </c>
      <c r="J182" s="20" t="s">
        <v>78</v>
      </c>
      <c r="K182" s="36"/>
      <c r="L182" s="22">
        <f>IF(B182="","",IF(I182="CompteCourant",IF(IF(ISNA(VLOOKUP(B182,DATA!$A$1:$A$16,1,0)),"",VLOOKUP(B182,DATA!$A$1:$A$16,1,0))="",L181+E182,L181-E182),L181))</f>
        <v>11530.929999999997</v>
      </c>
      <c r="M182" s="23">
        <f>IF(B182="","",IF(I182="Coffre",IF(IF(ISNA(VLOOKUP(B182,DATA!$A$1:$A$16,1,0)),"",VLOOKUP(B182,DATA!$A$1:$A$16,1,0))="",M181+E182,M181-E182),M181))</f>
        <v>2242.2000000000003</v>
      </c>
      <c r="N182" s="23">
        <f>IF(B182="","",IF(I182="CompteEpargne",IF(IF(ISNA(VLOOKUP(B182,DATA!$A$1:$A$16,1,0)),"",VLOOKUP(B182,DATA!$A$1:$A$16,1,0))="",N181+E182,N181-E182),N181))</f>
        <v>42.64</v>
      </c>
      <c r="O182" s="32">
        <f>IF(B182="","",IF(J182="CompteEpargne",IF(IF(ISNA(VLOOKUP(B182,DATA!$A$1:$A$16,1,0)),"",VLOOKUP(B182,DATA!$A$1:$A$16,1,0))="",O181+E182,O181-E182),O181))</f>
        <v>42.64</v>
      </c>
      <c r="P182" s="22">
        <f t="shared" si="0"/>
        <v>13858.409999999996</v>
      </c>
      <c r="Q182" s="32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4.25" customHeight="1" x14ac:dyDescent="0.2">
      <c r="A183" s="1"/>
      <c r="B183" s="33" t="s">
        <v>26</v>
      </c>
      <c r="C183" s="17">
        <f t="shared" si="1"/>
        <v>179</v>
      </c>
      <c r="D183" s="34">
        <v>46076</v>
      </c>
      <c r="E183" s="35">
        <v>470.35</v>
      </c>
      <c r="F183" s="20" t="s">
        <v>27</v>
      </c>
      <c r="G183" s="356"/>
      <c r="H183" s="36" t="s">
        <v>19</v>
      </c>
      <c r="I183" s="36" t="s">
        <v>29</v>
      </c>
      <c r="J183" s="20"/>
      <c r="K183" s="36"/>
      <c r="L183" s="22">
        <f>IF(B183="","",IF(I183="CompteCourant",IF(IF(ISNA(VLOOKUP(B183,DATA!$A$1:$A$16,1,0)),"",VLOOKUP(B183,DATA!$A$1:$A$16,1,0))="",L182+E183,L182-E183),L182))</f>
        <v>11060.579999999996</v>
      </c>
      <c r="M183" s="23">
        <f>IF(B183="","",IF(I183="Coffre",IF(IF(ISNA(VLOOKUP(B183,DATA!$A$1:$A$16,1,0)),"",VLOOKUP(B183,DATA!$A$1:$A$16,1,0))="",M182+E183,M182-E183),M182))</f>
        <v>2242.2000000000003</v>
      </c>
      <c r="N183" s="23">
        <f>IF(B183="","",IF(I183="CompteEpargne",IF(IF(ISNA(VLOOKUP(B183,DATA!$A$1:$A$16,1,0)),"",VLOOKUP(B183,DATA!$A$1:$A$16,1,0))="",N182+E183,N182-E183),N182))</f>
        <v>42.64</v>
      </c>
      <c r="O183" s="32">
        <f>IF(B183="","",IF(J183="CompteEpargne",IF(IF(ISNA(VLOOKUP(B183,DATA!$A$1:$A$16,1,0)),"",VLOOKUP(B183,DATA!$A$1:$A$16,1,0))="",O182+E183,O182-E183),O182))</f>
        <v>42.64</v>
      </c>
      <c r="P183" s="22">
        <f t="shared" si="0"/>
        <v>13388.059999999996</v>
      </c>
      <c r="Q183" s="32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4.25" customHeight="1" x14ac:dyDescent="0.2">
      <c r="A184" s="1"/>
      <c r="B184" s="33" t="s">
        <v>26</v>
      </c>
      <c r="C184" s="17">
        <f t="shared" si="1"/>
        <v>180</v>
      </c>
      <c r="D184" s="34">
        <v>46076</v>
      </c>
      <c r="E184" s="35">
        <v>316.89999999999998</v>
      </c>
      <c r="F184" s="20" t="s">
        <v>412</v>
      </c>
      <c r="G184" s="20" t="s">
        <v>408</v>
      </c>
      <c r="H184" s="36" t="s">
        <v>19</v>
      </c>
      <c r="I184" s="36" t="s">
        <v>29</v>
      </c>
      <c r="J184" s="20" t="s">
        <v>394</v>
      </c>
      <c r="K184" s="36"/>
      <c r="L184" s="22">
        <f>IF(B184="","",IF(I184="CompteCourant",IF(IF(ISNA(VLOOKUP(B184,DATA!$A$1:$A$16,1,0)),"",VLOOKUP(B184,DATA!$A$1:$A$16,1,0))="",L183+E184,L183-E184),L183))</f>
        <v>10743.679999999997</v>
      </c>
      <c r="M184" s="23">
        <f>IF(B184="","",IF(I184="Coffre",IF(IF(ISNA(VLOOKUP(B184,DATA!$A$1:$A$16,1,0)),"",VLOOKUP(B184,DATA!$A$1:$A$16,1,0))="",M183+E184,M183-E184),M183))</f>
        <v>2242.2000000000003</v>
      </c>
      <c r="N184" s="23">
        <f>IF(B184="","",IF(I184="CompteEpargne",IF(IF(ISNA(VLOOKUP(B184,DATA!$A$1:$A$16,1,0)),"",VLOOKUP(B184,DATA!$A$1:$A$16,1,0))="",N183+E184,N183-E184),N183))</f>
        <v>42.64</v>
      </c>
      <c r="O184" s="32">
        <f>IF(B184="","",IF(J184="CompteEpargne",IF(IF(ISNA(VLOOKUP(B184,DATA!$A$1:$A$16,1,0)),"",VLOOKUP(B184,DATA!$A$1:$A$16,1,0))="",O183+E184,O183-E184),O183))</f>
        <v>42.64</v>
      </c>
      <c r="P184" s="22">
        <f t="shared" si="0"/>
        <v>13071.159999999996</v>
      </c>
      <c r="Q184" s="32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4.25" customHeight="1" x14ac:dyDescent="0.2">
      <c r="A185" s="1"/>
      <c r="B185" s="33" t="s">
        <v>21</v>
      </c>
      <c r="C185" s="17">
        <f t="shared" si="1"/>
        <v>181</v>
      </c>
      <c r="D185" s="34">
        <v>46076</v>
      </c>
      <c r="E185" s="35">
        <v>189.48</v>
      </c>
      <c r="F185" s="20" t="s">
        <v>22</v>
      </c>
      <c r="G185" s="356" t="s">
        <v>416</v>
      </c>
      <c r="H185" s="36" t="s">
        <v>19</v>
      </c>
      <c r="I185" s="36" t="s">
        <v>29</v>
      </c>
      <c r="J185" s="20"/>
      <c r="K185" s="36"/>
      <c r="L185" s="22">
        <f>IF(B185="","",IF(I185="CompteCourant",IF(IF(ISNA(VLOOKUP(B185,DATA!$A$1:$A$16,1,0)),"",VLOOKUP(B185,DATA!$A$1:$A$16,1,0))="",L184+E185,L184-E185),L184))</f>
        <v>10933.159999999996</v>
      </c>
      <c r="M185" s="23">
        <f>IF(B185="","",IF(I185="Coffre",IF(IF(ISNA(VLOOKUP(B185,DATA!$A$1:$A$16,1,0)),"",VLOOKUP(B185,DATA!$A$1:$A$16,1,0))="",M184+E185,M184-E185),M184))</f>
        <v>2242.2000000000003</v>
      </c>
      <c r="N185" s="23">
        <f>IF(B185="","",IF(I185="CompteEpargne",IF(IF(ISNA(VLOOKUP(B185,DATA!$A$1:$A$16,1,0)),"",VLOOKUP(B185,DATA!$A$1:$A$16,1,0))="",N184+E185,N184-E185),N184))</f>
        <v>42.64</v>
      </c>
      <c r="O185" s="32">
        <f>IF(B185="","",IF(J185="CompteEpargne",IF(IF(ISNA(VLOOKUP(B185,DATA!$A$1:$A$16,1,0)),"",VLOOKUP(B185,DATA!$A$1:$A$16,1,0))="",O184+E185,O184-E185),O184))</f>
        <v>42.64</v>
      </c>
      <c r="P185" s="22">
        <f t="shared" si="0"/>
        <v>13260.639999999996</v>
      </c>
      <c r="Q185" s="32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4.25" customHeight="1" x14ac:dyDescent="0.2">
      <c r="A186" s="1"/>
      <c r="B186" s="33" t="s">
        <v>21</v>
      </c>
      <c r="C186" s="17">
        <f t="shared" si="1"/>
        <v>182</v>
      </c>
      <c r="D186" s="34">
        <v>46076</v>
      </c>
      <c r="E186" s="35">
        <v>0.99</v>
      </c>
      <c r="F186" s="20" t="s">
        <v>22</v>
      </c>
      <c r="G186" s="356" t="s">
        <v>416</v>
      </c>
      <c r="H186" s="36" t="s">
        <v>19</v>
      </c>
      <c r="I186" s="36" t="s">
        <v>29</v>
      </c>
      <c r="J186" s="20"/>
      <c r="K186" s="36"/>
      <c r="L186" s="22">
        <f>IF(B186="","",IF(I186="CompteCourant",IF(IF(ISNA(VLOOKUP(B186,DATA!$A$1:$A$16,1,0)),"",VLOOKUP(B186,DATA!$A$1:$A$16,1,0))="",L185+E186,L185-E186),L185))</f>
        <v>10934.149999999996</v>
      </c>
      <c r="M186" s="23">
        <f>IF(B186="","",IF(I186="Coffre",IF(IF(ISNA(VLOOKUP(B186,DATA!$A$1:$A$16,1,0)),"",VLOOKUP(B186,DATA!$A$1:$A$16,1,0))="",M185+E186,M185-E186),M185))</f>
        <v>2242.2000000000003</v>
      </c>
      <c r="N186" s="23">
        <f>IF(B186="","",IF(I186="CompteEpargne",IF(IF(ISNA(VLOOKUP(B186,DATA!$A$1:$A$16,1,0)),"",VLOOKUP(B186,DATA!$A$1:$A$16,1,0))="",N185+E186,N185-E186),N185))</f>
        <v>42.64</v>
      </c>
      <c r="O186" s="32">
        <f>IF(B186="","",IF(J186="CompteEpargne",IF(IF(ISNA(VLOOKUP(B186,DATA!$A$1:$A$16,1,0)),"",VLOOKUP(B186,DATA!$A$1:$A$16,1,0))="",O185+E186,O185-E186),O185))</f>
        <v>42.64</v>
      </c>
      <c r="P186" s="22">
        <f t="shared" si="0"/>
        <v>13261.629999999996</v>
      </c>
      <c r="Q186" s="32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4.25" customHeight="1" x14ac:dyDescent="0.2">
      <c r="A187" s="1"/>
      <c r="B187" s="33" t="s">
        <v>21</v>
      </c>
      <c r="C187" s="17">
        <f t="shared" si="1"/>
        <v>183</v>
      </c>
      <c r="D187" s="34">
        <v>46077</v>
      </c>
      <c r="E187" s="35">
        <v>78.959999999999994</v>
      </c>
      <c r="F187" s="20" t="s">
        <v>22</v>
      </c>
      <c r="G187" s="356" t="s">
        <v>416</v>
      </c>
      <c r="H187" s="36" t="s">
        <v>19</v>
      </c>
      <c r="I187" s="36" t="s">
        <v>29</v>
      </c>
      <c r="J187" s="20"/>
      <c r="K187" s="36"/>
      <c r="L187" s="22">
        <f>IF(B187="","",IF(I187="CompteCourant",IF(IF(ISNA(VLOOKUP(B187,DATA!$A$1:$A$16,1,0)),"",VLOOKUP(B187,DATA!$A$1:$A$16,1,0))="",L186+E187,L186-E187),L186))</f>
        <v>11013.109999999995</v>
      </c>
      <c r="M187" s="23">
        <f>IF(B187="","",IF(I187="Coffre",IF(IF(ISNA(VLOOKUP(B187,DATA!$A$1:$A$16,1,0)),"",VLOOKUP(B187,DATA!$A$1:$A$16,1,0))="",M186+E187,M186-E187),M186))</f>
        <v>2242.2000000000003</v>
      </c>
      <c r="N187" s="23">
        <f>IF(B187="","",IF(I187="CompteEpargne",IF(IF(ISNA(VLOOKUP(B187,DATA!$A$1:$A$16,1,0)),"",VLOOKUP(B187,DATA!$A$1:$A$16,1,0))="",N186+E187,N186-E187),N186))</f>
        <v>42.64</v>
      </c>
      <c r="O187" s="32">
        <f>IF(B187="","",IF(J187="CompteEpargne",IF(IF(ISNA(VLOOKUP(B187,DATA!$A$1:$A$16,1,0)),"",VLOOKUP(B187,DATA!$A$1:$A$16,1,0))="",O186+E187,O186-E187),O186))</f>
        <v>42.64</v>
      </c>
      <c r="P187" s="22">
        <f t="shared" si="0"/>
        <v>13340.589999999995</v>
      </c>
      <c r="Q187" s="32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4.25" customHeight="1" x14ac:dyDescent="0.2">
      <c r="A188" s="1"/>
      <c r="B188" s="33" t="s">
        <v>21</v>
      </c>
      <c r="C188" s="17">
        <f t="shared" si="1"/>
        <v>184</v>
      </c>
      <c r="D188" s="34">
        <v>46077</v>
      </c>
      <c r="E188" s="35">
        <v>34.549999999999997</v>
      </c>
      <c r="F188" s="20" t="s">
        <v>22</v>
      </c>
      <c r="G188" s="356" t="s">
        <v>416</v>
      </c>
      <c r="H188" s="36" t="s">
        <v>19</v>
      </c>
      <c r="I188" s="36" t="s">
        <v>29</v>
      </c>
      <c r="J188" s="20"/>
      <c r="K188" s="36"/>
      <c r="L188" s="22">
        <f>IF(B188="","",IF(I188="CompteCourant",IF(IF(ISNA(VLOOKUP(B188,DATA!$A$1:$A$16,1,0)),"",VLOOKUP(B188,DATA!$A$1:$A$16,1,0))="",L187+E188,L187-E188),L187))</f>
        <v>11047.659999999994</v>
      </c>
      <c r="M188" s="23">
        <f>IF(B188="","",IF(I188="Coffre",IF(IF(ISNA(VLOOKUP(B188,DATA!$A$1:$A$16,1,0)),"",VLOOKUP(B188,DATA!$A$1:$A$16,1,0))="",M187+E188,M187-E188),M187))</f>
        <v>2242.2000000000003</v>
      </c>
      <c r="N188" s="23">
        <f>IF(B188="","",IF(I188="CompteEpargne",IF(IF(ISNA(VLOOKUP(B188,DATA!$A$1:$A$16,1,0)),"",VLOOKUP(B188,DATA!$A$1:$A$16,1,0))="",N187+E188,N187-E188),N187))</f>
        <v>42.64</v>
      </c>
      <c r="O188" s="32">
        <f>IF(B188="","",IF(J188="CompteEpargne",IF(IF(ISNA(VLOOKUP(B188,DATA!$A$1:$A$16,1,0)),"",VLOOKUP(B188,DATA!$A$1:$A$16,1,0))="",O187+E188,O187-E188),O187))</f>
        <v>42.64</v>
      </c>
      <c r="P188" s="22">
        <f t="shared" si="0"/>
        <v>13375.139999999994</v>
      </c>
      <c r="Q188" s="32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4.25" customHeight="1" x14ac:dyDescent="0.2">
      <c r="A189" s="1"/>
      <c r="B189" s="33" t="s">
        <v>107</v>
      </c>
      <c r="C189" s="17">
        <f t="shared" si="1"/>
        <v>185</v>
      </c>
      <c r="D189" s="34">
        <v>46080</v>
      </c>
      <c r="E189" s="35">
        <v>1102.6199999999999</v>
      </c>
      <c r="F189" s="20" t="s">
        <v>418</v>
      </c>
      <c r="G189" s="20" t="s">
        <v>419</v>
      </c>
      <c r="H189" s="36" t="s">
        <v>19</v>
      </c>
      <c r="I189" s="36" t="s">
        <v>29</v>
      </c>
      <c r="J189" s="20" t="s">
        <v>395</v>
      </c>
      <c r="K189" s="36"/>
      <c r="L189" s="22">
        <f>IF(B189="","",IF(I189="CompteCourant",IF(IF(ISNA(VLOOKUP(B189,DATA!$A$1:$A$16,1,0)),"",VLOOKUP(B189,DATA!$A$1:$A$16,1,0))="",L188+E189,L188-E189),L188))</f>
        <v>9945.0399999999936</v>
      </c>
      <c r="M189" s="23">
        <f>IF(B189="","",IF(I189="Coffre",IF(IF(ISNA(VLOOKUP(B189,DATA!$A$1:$A$16,1,0)),"",VLOOKUP(B189,DATA!$A$1:$A$16,1,0))="",M188+E189,M188-E189),M188))</f>
        <v>2242.2000000000003</v>
      </c>
      <c r="N189" s="23">
        <f>IF(B189="","",IF(I189="CompteEpargne",IF(IF(ISNA(VLOOKUP(B189,DATA!$A$1:$A$16,1,0)),"",VLOOKUP(B189,DATA!$A$1:$A$16,1,0))="",N188+E189,N188-E189),N188))</f>
        <v>42.64</v>
      </c>
      <c r="O189" s="32">
        <f>IF(B189="","",IF(J189="CompteEpargne",IF(IF(ISNA(VLOOKUP(B189,DATA!$A$1:$A$16,1,0)),"",VLOOKUP(B189,DATA!$A$1:$A$16,1,0))="",O188+E189,O188-E189),O188))</f>
        <v>42.64</v>
      </c>
      <c r="P189" s="22">
        <f t="shared" si="0"/>
        <v>12272.519999999993</v>
      </c>
      <c r="Q189" s="32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4.25" customHeight="1" x14ac:dyDescent="0.2">
      <c r="A190" s="1"/>
      <c r="B190" s="33" t="s">
        <v>21</v>
      </c>
      <c r="C190" s="17">
        <f t="shared" si="1"/>
        <v>186</v>
      </c>
      <c r="D190" s="34">
        <v>46083</v>
      </c>
      <c r="E190" s="35">
        <v>7.9</v>
      </c>
      <c r="F190" s="20" t="s">
        <v>22</v>
      </c>
      <c r="G190" s="356" t="s">
        <v>416</v>
      </c>
      <c r="H190" s="36" t="s">
        <v>19</v>
      </c>
      <c r="I190" s="36" t="s">
        <v>29</v>
      </c>
      <c r="J190" s="20"/>
      <c r="K190" s="36"/>
      <c r="L190" s="22">
        <f>IF(B190="","",IF(I190="CompteCourant",IF(IF(ISNA(VLOOKUP(B190,DATA!$A$1:$A$16,1,0)),"",VLOOKUP(B190,DATA!$A$1:$A$16,1,0))="",L189+E190,L189-E190),L189))</f>
        <v>9952.9399999999932</v>
      </c>
      <c r="M190" s="23">
        <f>IF(B190="","",IF(I190="Coffre",IF(IF(ISNA(VLOOKUP(B190,DATA!$A$1:$A$16,1,0)),"",VLOOKUP(B190,DATA!$A$1:$A$16,1,0))="",M189+E190,M189-E190),M189))</f>
        <v>2242.2000000000003</v>
      </c>
      <c r="N190" s="23">
        <f>IF(B190="","",IF(I190="CompteEpargne",IF(IF(ISNA(VLOOKUP(B190,DATA!$A$1:$A$16,1,0)),"",VLOOKUP(B190,DATA!$A$1:$A$16,1,0))="",N189+E190,N189-E190),N189))</f>
        <v>42.64</v>
      </c>
      <c r="O190" s="32">
        <f>IF(B190="","",IF(J190="CompteEpargne",IF(IF(ISNA(VLOOKUP(B190,DATA!$A$1:$A$16,1,0)),"",VLOOKUP(B190,DATA!$A$1:$A$16,1,0))="",O189+E190,O189-E190),O189))</f>
        <v>42.64</v>
      </c>
      <c r="P190" s="22">
        <f t="shared" si="0"/>
        <v>12280.419999999993</v>
      </c>
      <c r="Q190" s="32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4.25" customHeight="1" x14ac:dyDescent="0.2">
      <c r="A191" s="1"/>
      <c r="B191" s="33" t="s">
        <v>21</v>
      </c>
      <c r="C191" s="17">
        <f t="shared" si="1"/>
        <v>187</v>
      </c>
      <c r="D191" s="34">
        <v>46084</v>
      </c>
      <c r="E191" s="35">
        <v>3.95</v>
      </c>
      <c r="F191" s="20" t="s">
        <v>22</v>
      </c>
      <c r="G191" s="356" t="s">
        <v>416</v>
      </c>
      <c r="H191" s="36" t="s">
        <v>19</v>
      </c>
      <c r="I191" s="36" t="s">
        <v>29</v>
      </c>
      <c r="J191" s="20"/>
      <c r="K191" s="36"/>
      <c r="L191" s="22">
        <f>IF(B191="","",IF(I191="CompteCourant",IF(IF(ISNA(VLOOKUP(B191,DATA!$A$1:$A$16,1,0)),"",VLOOKUP(B191,DATA!$A$1:$A$16,1,0))="",L190+E191,L190-E191),L190))</f>
        <v>9956.889999999994</v>
      </c>
      <c r="M191" s="23">
        <f>IF(B191="","",IF(I191="Coffre",IF(IF(ISNA(VLOOKUP(B191,DATA!$A$1:$A$16,1,0)),"",VLOOKUP(B191,DATA!$A$1:$A$16,1,0))="",M190+E191,M190-E191),M190))</f>
        <v>2242.2000000000003</v>
      </c>
      <c r="N191" s="23">
        <f>IF(B191="","",IF(I191="CompteEpargne",IF(IF(ISNA(VLOOKUP(B191,DATA!$A$1:$A$16,1,0)),"",VLOOKUP(B191,DATA!$A$1:$A$16,1,0))="",N190+E191,N190-E191),N190))</f>
        <v>42.64</v>
      </c>
      <c r="O191" s="32">
        <f>IF(B191="","",IF(J191="CompteEpargne",IF(IF(ISNA(VLOOKUP(B191,DATA!$A$1:$A$16,1,0)),"",VLOOKUP(B191,DATA!$A$1:$A$16,1,0))="",O190+E191,O190-E191),O190))</f>
        <v>42.64</v>
      </c>
      <c r="P191" s="22">
        <f t="shared" si="0"/>
        <v>12284.369999999994</v>
      </c>
      <c r="Q191" s="32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4.25" customHeight="1" x14ac:dyDescent="0.2">
      <c r="A192" s="1"/>
      <c r="B192" s="33" t="s">
        <v>161</v>
      </c>
      <c r="C192" s="17">
        <f t="shared" si="1"/>
        <v>188</v>
      </c>
      <c r="D192" s="34">
        <v>46084</v>
      </c>
      <c r="E192" s="35">
        <v>130.05000000000001</v>
      </c>
      <c r="F192" s="20" t="s">
        <v>420</v>
      </c>
      <c r="G192" s="20" t="s">
        <v>421</v>
      </c>
      <c r="H192" s="36" t="s">
        <v>19</v>
      </c>
      <c r="I192" s="36" t="s">
        <v>29</v>
      </c>
      <c r="J192" s="20" t="s">
        <v>395</v>
      </c>
      <c r="K192" s="36"/>
      <c r="L192" s="22">
        <f>IF(B192="","",IF(I192="CompteCourant",IF(IF(ISNA(VLOOKUP(B192,DATA!$A$1:$A$16,1,0)),"",VLOOKUP(B192,DATA!$A$1:$A$16,1,0))="",L191+E192,L191-E192),L191))</f>
        <v>9826.8399999999947</v>
      </c>
      <c r="M192" s="23">
        <f>IF(B192="","",IF(I192="Coffre",IF(IF(ISNA(VLOOKUP(B192,DATA!$A$1:$A$16,1,0)),"",VLOOKUP(B192,DATA!$A$1:$A$16,1,0))="",M191+E192,M191-E192),M191))</f>
        <v>2242.2000000000003</v>
      </c>
      <c r="N192" s="23">
        <f>IF(B192="","",IF(I192="CompteEpargne",IF(IF(ISNA(VLOOKUP(B192,DATA!$A$1:$A$16,1,0)),"",VLOOKUP(B192,DATA!$A$1:$A$16,1,0))="",N191+E192,N191-E192),N191))</f>
        <v>42.64</v>
      </c>
      <c r="O192" s="32">
        <f>IF(B192="","",IF(J192="CompteEpargne",IF(IF(ISNA(VLOOKUP(B192,DATA!$A$1:$A$16,1,0)),"",VLOOKUP(B192,DATA!$A$1:$A$16,1,0))="",O191+E192,O191-E192),O191))</f>
        <v>42.64</v>
      </c>
      <c r="P192" s="22">
        <f t="shared" si="0"/>
        <v>12154.319999999994</v>
      </c>
      <c r="Q192" s="32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4.25" customHeight="1" x14ac:dyDescent="0.2">
      <c r="A193" s="1"/>
      <c r="B193" s="33" t="s">
        <v>26</v>
      </c>
      <c r="C193" s="17">
        <f t="shared" si="1"/>
        <v>189</v>
      </c>
      <c r="D193" s="34">
        <v>46085</v>
      </c>
      <c r="E193" s="35">
        <v>1732.6</v>
      </c>
      <c r="F193" s="20" t="s">
        <v>422</v>
      </c>
      <c r="G193" s="20" t="s">
        <v>423</v>
      </c>
      <c r="H193" s="36" t="s">
        <v>19</v>
      </c>
      <c r="I193" s="36" t="s">
        <v>29</v>
      </c>
      <c r="J193" s="20" t="s">
        <v>158</v>
      </c>
      <c r="K193" s="36"/>
      <c r="L193" s="22">
        <f>IF(B193="","",IF(I193="CompteCourant",IF(IF(ISNA(VLOOKUP(B193,DATA!$A$1:$A$16,1,0)),"",VLOOKUP(B193,DATA!$A$1:$A$16,1,0))="",L192+E193,L192-E193),L192))</f>
        <v>8094.2399999999943</v>
      </c>
      <c r="M193" s="23">
        <f>IF(B193="","",IF(I193="Coffre",IF(IF(ISNA(VLOOKUP(B193,DATA!$A$1:$A$16,1,0)),"",VLOOKUP(B193,DATA!$A$1:$A$16,1,0))="",M192+E193,M192-E193),M192))</f>
        <v>2242.2000000000003</v>
      </c>
      <c r="N193" s="23">
        <f>IF(B193="","",IF(I193="CompteEpargne",IF(IF(ISNA(VLOOKUP(B193,DATA!$A$1:$A$16,1,0)),"",VLOOKUP(B193,DATA!$A$1:$A$16,1,0))="",N192+E193,N192-E193),N192))</f>
        <v>42.64</v>
      </c>
      <c r="O193" s="32">
        <f>IF(B193="","",IF(J193="CompteEpargne",IF(IF(ISNA(VLOOKUP(B193,DATA!$A$1:$A$16,1,0)),"",VLOOKUP(B193,DATA!$A$1:$A$16,1,0))="",O192+E193,O192-E193),O192))</f>
        <v>42.64</v>
      </c>
      <c r="P193" s="22">
        <f t="shared" si="0"/>
        <v>10421.719999999994</v>
      </c>
      <c r="Q193" s="32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4.25" customHeight="1" x14ac:dyDescent="0.2">
      <c r="A194" s="1"/>
      <c r="B194" s="33" t="s">
        <v>424</v>
      </c>
      <c r="C194" s="17">
        <f t="shared" si="1"/>
        <v>190</v>
      </c>
      <c r="D194" s="34">
        <v>46085</v>
      </c>
      <c r="E194" s="35">
        <v>100</v>
      </c>
      <c r="F194" s="20" t="s">
        <v>425</v>
      </c>
      <c r="G194" s="20" t="s">
        <v>426</v>
      </c>
      <c r="H194" s="36" t="s">
        <v>19</v>
      </c>
      <c r="I194" s="36" t="s">
        <v>29</v>
      </c>
      <c r="J194" s="20"/>
      <c r="K194" s="36"/>
      <c r="L194" s="22">
        <f>IF(B194="","",IF(I194="CompteCourant",IF(IF(ISNA(VLOOKUP(B194,DATA!$A$1:$A$16,1,0)),"",VLOOKUP(B194,DATA!$A$1:$A$16,1,0))="",L193+E194,L193-E194),L193))</f>
        <v>7994.2399999999943</v>
      </c>
      <c r="M194" s="23">
        <f>IF(B194="","",IF(I194="Coffre",IF(IF(ISNA(VLOOKUP(B194,DATA!$A$1:$A$16,1,0)),"",VLOOKUP(B194,DATA!$A$1:$A$16,1,0))="",M193+E194,M193-E194),M193))</f>
        <v>2242.2000000000003</v>
      </c>
      <c r="N194" s="23">
        <f>IF(B194="","",IF(I194="CompteEpargne",IF(IF(ISNA(VLOOKUP(B194,DATA!$A$1:$A$16,1,0)),"",VLOOKUP(B194,DATA!$A$1:$A$16,1,0))="",N193+E194,N193-E194),N193))</f>
        <v>42.64</v>
      </c>
      <c r="O194" s="32">
        <f>IF(B194="","",IF(J194="CompteEpargne",IF(IF(ISNA(VLOOKUP(B194,DATA!$A$1:$A$16,1,0)),"",VLOOKUP(B194,DATA!$A$1:$A$16,1,0))="",O193+E194,O193-E194),O193))</f>
        <v>42.64</v>
      </c>
      <c r="P194" s="22">
        <f t="shared" si="0"/>
        <v>10321.719999999994</v>
      </c>
      <c r="Q194" s="32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4.25" customHeight="1" x14ac:dyDescent="0.2">
      <c r="A195" s="1"/>
      <c r="B195" s="33" t="s">
        <v>26</v>
      </c>
      <c r="C195" s="17">
        <f t="shared" si="1"/>
        <v>191</v>
      </c>
      <c r="D195" s="34">
        <v>46085</v>
      </c>
      <c r="E195" s="35">
        <v>50.48</v>
      </c>
      <c r="F195" s="20" t="s">
        <v>186</v>
      </c>
      <c r="G195" s="356" t="s">
        <v>427</v>
      </c>
      <c r="H195" s="36" t="s">
        <v>19</v>
      </c>
      <c r="I195" s="36" t="s">
        <v>29</v>
      </c>
      <c r="J195" s="20"/>
      <c r="K195" s="36"/>
      <c r="L195" s="22">
        <f>IF(B195="","",IF(I195="CompteCourant",IF(IF(ISNA(VLOOKUP(B195,DATA!$A$1:$A$16,1,0)),"",VLOOKUP(B195,DATA!$A$1:$A$16,1,0))="",L194+E195,L194-E195),L194))</f>
        <v>7943.7599999999948</v>
      </c>
      <c r="M195" s="23">
        <f>IF(B195="","",IF(I195="Coffre",IF(IF(ISNA(VLOOKUP(B195,DATA!$A$1:$A$16,1,0)),"",VLOOKUP(B195,DATA!$A$1:$A$16,1,0))="",M194+E195,M194-E195),M194))</f>
        <v>2242.2000000000003</v>
      </c>
      <c r="N195" s="23">
        <f>IF(B195="","",IF(I195="CompteEpargne",IF(IF(ISNA(VLOOKUP(B195,DATA!$A$1:$A$16,1,0)),"",VLOOKUP(B195,DATA!$A$1:$A$16,1,0))="",N194+E195,N194-E195),N194))</f>
        <v>42.64</v>
      </c>
      <c r="O195" s="32">
        <f>IF(B195="","",IF(J195="CompteEpargne",IF(IF(ISNA(VLOOKUP(B195,DATA!$A$1:$A$16,1,0)),"",VLOOKUP(B195,DATA!$A$1:$A$16,1,0))="",O194+E195,O194-E195),O194))</f>
        <v>42.64</v>
      </c>
      <c r="P195" s="22">
        <f t="shared" si="0"/>
        <v>10271.239999999994</v>
      </c>
      <c r="Q195" s="32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4.25" customHeight="1" x14ac:dyDescent="0.2">
      <c r="A196" s="1"/>
      <c r="B196" s="357" t="s">
        <v>107</v>
      </c>
      <c r="C196" s="17">
        <f t="shared" si="1"/>
        <v>192</v>
      </c>
      <c r="D196" s="34">
        <v>46085</v>
      </c>
      <c r="E196" s="35">
        <v>40</v>
      </c>
      <c r="F196" s="20" t="s">
        <v>165</v>
      </c>
      <c r="G196" s="20" t="s">
        <v>144</v>
      </c>
      <c r="H196" s="36" t="s">
        <v>19</v>
      </c>
      <c r="I196" s="36" t="s">
        <v>29</v>
      </c>
      <c r="J196" s="20"/>
      <c r="K196" s="36"/>
      <c r="L196" s="22">
        <f>IF(B196="","",IF(I196="CompteCourant",IF(IF(ISNA(VLOOKUP(B196,DATA!$A$1:$A$16,1,0)),"",VLOOKUP(B196,DATA!$A$1:$A$16,1,0))="",L195+E196,L195-E196),L195))</f>
        <v>7903.7599999999948</v>
      </c>
      <c r="M196" s="23">
        <f>IF(B196="","",IF(I196="Coffre",IF(IF(ISNA(VLOOKUP(B196,DATA!$A$1:$A$16,1,0)),"",VLOOKUP(B196,DATA!$A$1:$A$16,1,0))="",M195+E196,M195-E196),M195))</f>
        <v>2242.2000000000003</v>
      </c>
      <c r="N196" s="23">
        <f>IF(B196="","",IF(I196="CompteEpargne",IF(IF(ISNA(VLOOKUP(B196,DATA!$A$1:$A$16,1,0)),"",VLOOKUP(B196,DATA!$A$1:$A$16,1,0))="",N195+E196,N195-E196),N195))</f>
        <v>42.64</v>
      </c>
      <c r="O196" s="32">
        <f>IF(B196="","",IF(J196="CompteEpargne",IF(IF(ISNA(VLOOKUP(B196,DATA!$A$1:$A$16,1,0)),"",VLOOKUP(B196,DATA!$A$1:$A$16,1,0))="",O195+E196,O195-E196),O195))</f>
        <v>42.64</v>
      </c>
      <c r="P196" s="22">
        <f t="shared" si="0"/>
        <v>10231.239999999994</v>
      </c>
      <c r="Q196" s="32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4.25" customHeight="1" x14ac:dyDescent="0.2">
      <c r="A197" s="1"/>
      <c r="B197" s="33" t="s">
        <v>107</v>
      </c>
      <c r="C197" s="17">
        <f t="shared" si="1"/>
        <v>193</v>
      </c>
      <c r="D197" s="34">
        <v>46086</v>
      </c>
      <c r="E197" s="35">
        <v>120</v>
      </c>
      <c r="F197" s="20" t="s">
        <v>413</v>
      </c>
      <c r="G197" s="20" t="s">
        <v>415</v>
      </c>
      <c r="H197" s="36" t="s">
        <v>19</v>
      </c>
      <c r="I197" s="36" t="s">
        <v>29</v>
      </c>
      <c r="J197" s="20" t="s">
        <v>78</v>
      </c>
      <c r="K197" s="36"/>
      <c r="L197" s="22">
        <f>IF(B197="","",IF(I197="CompteCourant",IF(IF(ISNA(VLOOKUP(B197,DATA!$A$1:$A$16,1,0)),"",VLOOKUP(B197,DATA!$A$1:$A$16,1,0))="",L196+E197,L196-E197),L196))</f>
        <v>7783.7599999999948</v>
      </c>
      <c r="M197" s="23">
        <f>IF(B197="","",IF(I197="Coffre",IF(IF(ISNA(VLOOKUP(B197,DATA!$A$1:$A$16,1,0)),"",VLOOKUP(B197,DATA!$A$1:$A$16,1,0))="",M196+E197,M196-E197),M196))</f>
        <v>2242.2000000000003</v>
      </c>
      <c r="N197" s="23">
        <f>IF(B197="","",IF(I197="CompteEpargne",IF(IF(ISNA(VLOOKUP(B197,DATA!$A$1:$A$16,1,0)),"",VLOOKUP(B197,DATA!$A$1:$A$16,1,0))="",N196+E197,N196-E197),N196))</f>
        <v>42.64</v>
      </c>
      <c r="O197" s="32">
        <f>IF(B197="","",IF(J197="CompteEpargne",IF(IF(ISNA(VLOOKUP(B197,DATA!$A$1:$A$16,1,0)),"",VLOOKUP(B197,DATA!$A$1:$A$16,1,0))="",O196+E197,O196-E197),O196))</f>
        <v>42.64</v>
      </c>
      <c r="P197" s="22">
        <f t="shared" si="0"/>
        <v>10111.239999999994</v>
      </c>
      <c r="Q197" s="32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4.25" customHeight="1" x14ac:dyDescent="0.2">
      <c r="A198" s="1"/>
      <c r="B198" s="33" t="s">
        <v>116</v>
      </c>
      <c r="C198" s="17">
        <f t="shared" si="1"/>
        <v>194</v>
      </c>
      <c r="D198" s="34">
        <v>46086</v>
      </c>
      <c r="E198" s="35">
        <v>8.8800000000000008</v>
      </c>
      <c r="F198" s="20" t="s">
        <v>22</v>
      </c>
      <c r="G198" s="20" t="s">
        <v>414</v>
      </c>
      <c r="H198" s="36" t="s">
        <v>19</v>
      </c>
      <c r="I198" s="36" t="s">
        <v>29</v>
      </c>
      <c r="J198" s="20" t="s">
        <v>78</v>
      </c>
      <c r="K198" s="36"/>
      <c r="L198" s="22">
        <f>IF(B198="","",IF(I198="CompteCourant",IF(IF(ISNA(VLOOKUP(B198,DATA!$A$1:$A$16,1,0)),"",VLOOKUP(B198,DATA!$A$1:$A$16,1,0))="",L197+E198,L197-E198),L197))</f>
        <v>7792.6399999999949</v>
      </c>
      <c r="M198" s="23">
        <f>IF(B198="","",IF(I198="Coffre",IF(IF(ISNA(VLOOKUP(B198,DATA!$A$1:$A$16,1,0)),"",VLOOKUP(B198,DATA!$A$1:$A$16,1,0))="",M197+E198,M197-E198),M197))</f>
        <v>2242.2000000000003</v>
      </c>
      <c r="N198" s="23">
        <f>IF(B198="","",IF(I198="CompteEpargne",IF(IF(ISNA(VLOOKUP(B198,DATA!$A$1:$A$16,1,0)),"",VLOOKUP(B198,DATA!$A$1:$A$16,1,0))="",N197+E198,N197-E198),N197))</f>
        <v>42.64</v>
      </c>
      <c r="O198" s="32">
        <f>IF(B198="","",IF(J198="CompteEpargne",IF(IF(ISNA(VLOOKUP(B198,DATA!$A$1:$A$16,1,0)),"",VLOOKUP(B198,DATA!$A$1:$A$16,1,0))="",O197+E198,O197-E198),O197))</f>
        <v>42.64</v>
      </c>
      <c r="P198" s="22">
        <f t="shared" si="0"/>
        <v>10120.119999999994</v>
      </c>
      <c r="Q198" s="32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4.25" customHeight="1" x14ac:dyDescent="0.2">
      <c r="A199" s="1"/>
      <c r="B199" s="33" t="s">
        <v>116</v>
      </c>
      <c r="C199" s="17">
        <f t="shared" si="1"/>
        <v>195</v>
      </c>
      <c r="D199" s="34">
        <v>46086</v>
      </c>
      <c r="E199" s="35">
        <v>88.81</v>
      </c>
      <c r="F199" s="20" t="s">
        <v>22</v>
      </c>
      <c r="G199" s="20" t="s">
        <v>414</v>
      </c>
      <c r="H199" s="36" t="s">
        <v>19</v>
      </c>
      <c r="I199" s="36" t="s">
        <v>29</v>
      </c>
      <c r="J199" s="20" t="s">
        <v>78</v>
      </c>
      <c r="K199" s="36"/>
      <c r="L199" s="22">
        <f>IF(B199="","",IF(I199="CompteCourant",IF(IF(ISNA(VLOOKUP(B199,DATA!$A$1:$A$16,1,0)),"",VLOOKUP(B199,DATA!$A$1:$A$16,1,0))="",L198+E199,L198-E199),L198))</f>
        <v>7881.4499999999953</v>
      </c>
      <c r="M199" s="23">
        <f>IF(B199="","",IF(I199="Coffre",IF(IF(ISNA(VLOOKUP(B199,DATA!$A$1:$A$16,1,0)),"",VLOOKUP(B199,DATA!$A$1:$A$16,1,0))="",M198+E199,M198-E199),M198))</f>
        <v>2242.2000000000003</v>
      </c>
      <c r="N199" s="23">
        <f>IF(B199="","",IF(I199="CompteEpargne",IF(IF(ISNA(VLOOKUP(B199,DATA!$A$1:$A$16,1,0)),"",VLOOKUP(B199,DATA!$A$1:$A$16,1,0))="",N198+E199,N198-E199),N198))</f>
        <v>42.64</v>
      </c>
      <c r="O199" s="32">
        <f>IF(B199="","",IF(J199="CompteEpargne",IF(IF(ISNA(VLOOKUP(B199,DATA!$A$1:$A$16,1,0)),"",VLOOKUP(B199,DATA!$A$1:$A$16,1,0))="",O198+E199,O198-E199),O198))</f>
        <v>42.64</v>
      </c>
      <c r="P199" s="22">
        <f t="shared" si="0"/>
        <v>10208.929999999995</v>
      </c>
      <c r="Q199" s="32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4.25" customHeight="1" x14ac:dyDescent="0.2">
      <c r="A200" s="1"/>
      <c r="B200" s="33" t="s">
        <v>116</v>
      </c>
      <c r="C200" s="17">
        <f t="shared" si="1"/>
        <v>196</v>
      </c>
      <c r="D200" s="34">
        <v>46086</v>
      </c>
      <c r="E200" s="35">
        <v>40.46</v>
      </c>
      <c r="F200" s="20" t="s">
        <v>22</v>
      </c>
      <c r="G200" s="20" t="s">
        <v>414</v>
      </c>
      <c r="H200" s="36" t="s">
        <v>19</v>
      </c>
      <c r="I200" s="36" t="s">
        <v>29</v>
      </c>
      <c r="J200" s="20" t="s">
        <v>78</v>
      </c>
      <c r="K200" s="36"/>
      <c r="L200" s="22">
        <f>IF(B200="","",IF(I200="CompteCourant",IF(IF(ISNA(VLOOKUP(B200,DATA!$A$1:$A$16,1,0)),"",VLOOKUP(B200,DATA!$A$1:$A$16,1,0))="",L199+E200,L199-E200),L199))</f>
        <v>7921.9099999999953</v>
      </c>
      <c r="M200" s="23">
        <f>IF(B200="","",IF(I200="Coffre",IF(IF(ISNA(VLOOKUP(B200,DATA!$A$1:$A$16,1,0)),"",VLOOKUP(B200,DATA!$A$1:$A$16,1,0))="",M199+E200,M199-E200),M199))</f>
        <v>2242.2000000000003</v>
      </c>
      <c r="N200" s="23">
        <f>IF(B200="","",IF(I200="CompteEpargne",IF(IF(ISNA(VLOOKUP(B200,DATA!$A$1:$A$16,1,0)),"",VLOOKUP(B200,DATA!$A$1:$A$16,1,0))="",N199+E200,N199-E200),N199))</f>
        <v>42.64</v>
      </c>
      <c r="O200" s="32">
        <f>IF(B200="","",IF(J200="CompteEpargne",IF(IF(ISNA(VLOOKUP(B200,DATA!$A$1:$A$16,1,0)),"",VLOOKUP(B200,DATA!$A$1:$A$16,1,0))="",O199+E200,O199-E200),O199))</f>
        <v>42.64</v>
      </c>
      <c r="P200" s="22">
        <f t="shared" si="0"/>
        <v>10249.389999999994</v>
      </c>
      <c r="Q200" s="32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4.25" customHeight="1" x14ac:dyDescent="0.2">
      <c r="A201" s="1"/>
      <c r="B201" s="33" t="s">
        <v>404</v>
      </c>
      <c r="C201" s="17">
        <f t="shared" si="1"/>
        <v>197</v>
      </c>
      <c r="D201" s="34">
        <v>46086</v>
      </c>
      <c r="E201" s="35">
        <v>1415</v>
      </c>
      <c r="F201" s="20" t="s">
        <v>428</v>
      </c>
      <c r="G201" s="20" t="s">
        <v>429</v>
      </c>
      <c r="H201" s="36" t="s">
        <v>19</v>
      </c>
      <c r="I201" s="36" t="s">
        <v>29</v>
      </c>
      <c r="J201" s="20" t="s">
        <v>395</v>
      </c>
      <c r="K201" s="36"/>
      <c r="L201" s="22">
        <f>IF(B201="","",IF(I201="CompteCourant",IF(IF(ISNA(VLOOKUP(B201,DATA!$A$1:$A$16,1,0)),"",VLOOKUP(B201,DATA!$A$1:$A$16,1,0))="",L200+E201,L200-E201),L200))</f>
        <v>6506.9099999999953</v>
      </c>
      <c r="M201" s="23">
        <f>IF(B201="","",IF(I201="Coffre",IF(IF(ISNA(VLOOKUP(B201,DATA!$A$1:$A$16,1,0)),"",VLOOKUP(B201,DATA!$A$1:$A$16,1,0))="",M200+E201,M200-E201),M200))</f>
        <v>2242.2000000000003</v>
      </c>
      <c r="N201" s="23">
        <f>IF(B201="","",IF(I201="CompteEpargne",IF(IF(ISNA(VLOOKUP(B201,DATA!$A$1:$A$16,1,0)),"",VLOOKUP(B201,DATA!$A$1:$A$16,1,0))="",N200+E201,N200-E201),N200))</f>
        <v>42.64</v>
      </c>
      <c r="O201" s="32">
        <f>IF(B201="","",IF(J201="CompteEpargne",IF(IF(ISNA(VLOOKUP(B201,DATA!$A$1:$A$16,1,0)),"",VLOOKUP(B201,DATA!$A$1:$A$16,1,0))="",O200+E201,O200-E201),O200))</f>
        <v>42.64</v>
      </c>
      <c r="P201" s="22">
        <f t="shared" si="0"/>
        <v>8834.389999999994</v>
      </c>
      <c r="Q201" s="32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4.25" customHeight="1" x14ac:dyDescent="0.2">
      <c r="A202" s="1"/>
      <c r="B202" s="33" t="s">
        <v>26</v>
      </c>
      <c r="C202" s="17">
        <f t="shared" si="1"/>
        <v>198</v>
      </c>
      <c r="D202" s="34">
        <v>46088</v>
      </c>
      <c r="E202" s="35">
        <v>11.95</v>
      </c>
      <c r="F202" s="20" t="s">
        <v>430</v>
      </c>
      <c r="G202" s="20" t="s">
        <v>431</v>
      </c>
      <c r="H202" s="36" t="s">
        <v>19</v>
      </c>
      <c r="I202" s="36" t="s">
        <v>29</v>
      </c>
      <c r="J202" s="20" t="s">
        <v>34</v>
      </c>
      <c r="K202" s="36"/>
      <c r="L202" s="22">
        <f>IF(B202="","",IF(I202="CompteCourant",IF(IF(ISNA(VLOOKUP(B202,DATA!$A$1:$A$16,1,0)),"",VLOOKUP(B202,DATA!$A$1:$A$16,1,0))="",L201+E202,L201-E202),L201))</f>
        <v>6494.9599999999955</v>
      </c>
      <c r="M202" s="23">
        <f>IF(B202="","",IF(I202="Coffre",IF(IF(ISNA(VLOOKUP(B202,DATA!$A$1:$A$16,1,0)),"",VLOOKUP(B202,DATA!$A$1:$A$16,1,0))="",M201+E202,M201-E202),M201))</f>
        <v>2242.2000000000003</v>
      </c>
      <c r="N202" s="23">
        <f>IF(B202="","",IF(I202="CompteEpargne",IF(IF(ISNA(VLOOKUP(B202,DATA!$A$1:$A$16,1,0)),"",VLOOKUP(B202,DATA!$A$1:$A$16,1,0))="",N201+E202,N201-E202),N201))</f>
        <v>42.64</v>
      </c>
      <c r="O202" s="32">
        <f>IF(B202="","",IF(J202="CompteEpargne",IF(IF(ISNA(VLOOKUP(B202,DATA!$A$1:$A$16,1,0)),"",VLOOKUP(B202,DATA!$A$1:$A$16,1,0))="",O201+E202,O201-E202),O201))</f>
        <v>42.64</v>
      </c>
      <c r="P202" s="22">
        <f t="shared" si="0"/>
        <v>8822.4399999999951</v>
      </c>
      <c r="Q202" s="32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4.25" customHeight="1" x14ac:dyDescent="0.2">
      <c r="A203" s="1"/>
      <c r="B203" s="33" t="s">
        <v>26</v>
      </c>
      <c r="C203" s="17">
        <f t="shared" si="1"/>
        <v>199</v>
      </c>
      <c r="D203" s="34">
        <v>46088</v>
      </c>
      <c r="E203" s="35">
        <v>190.55</v>
      </c>
      <c r="F203" s="20" t="s">
        <v>432</v>
      </c>
      <c r="G203" s="20" t="s">
        <v>431</v>
      </c>
      <c r="H203" s="36" t="s">
        <v>19</v>
      </c>
      <c r="I203" s="36" t="s">
        <v>29</v>
      </c>
      <c r="J203" s="20" t="s">
        <v>34</v>
      </c>
      <c r="K203" s="36"/>
      <c r="L203" s="22">
        <f>IF(B203="","",IF(I203="CompteCourant",IF(IF(ISNA(VLOOKUP(B203,DATA!$A$1:$A$16,1,0)),"",VLOOKUP(B203,DATA!$A$1:$A$16,1,0))="",L202+E203,L202-E203),L202))</f>
        <v>6304.4099999999953</v>
      </c>
      <c r="M203" s="23">
        <f>IF(B203="","",IF(I203="Coffre",IF(IF(ISNA(VLOOKUP(B203,DATA!$A$1:$A$16,1,0)),"",VLOOKUP(B203,DATA!$A$1:$A$16,1,0))="",M202+E203,M202-E203),M202))</f>
        <v>2242.2000000000003</v>
      </c>
      <c r="N203" s="23">
        <f>IF(B203="","",IF(I203="CompteEpargne",IF(IF(ISNA(VLOOKUP(B203,DATA!$A$1:$A$16,1,0)),"",VLOOKUP(B203,DATA!$A$1:$A$16,1,0))="",N202+E203,N202-E203),N202))</f>
        <v>42.64</v>
      </c>
      <c r="O203" s="32">
        <f>IF(B203="","",IF(J203="CompteEpargne",IF(IF(ISNA(VLOOKUP(B203,DATA!$A$1:$A$16,1,0)),"",VLOOKUP(B203,DATA!$A$1:$A$16,1,0))="",O202+E203,O202-E203),O202))</f>
        <v>42.64</v>
      </c>
      <c r="P203" s="22">
        <f t="shared" si="0"/>
        <v>8631.889999999994</v>
      </c>
      <c r="Q203" s="32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4.25" customHeight="1" x14ac:dyDescent="0.2">
      <c r="A204" s="1"/>
      <c r="B204" s="33" t="s">
        <v>26</v>
      </c>
      <c r="C204" s="17">
        <f t="shared" si="1"/>
        <v>200</v>
      </c>
      <c r="D204" s="34">
        <v>46088</v>
      </c>
      <c r="E204" s="35">
        <v>23.95</v>
      </c>
      <c r="F204" s="20" t="s">
        <v>433</v>
      </c>
      <c r="G204" s="20" t="s">
        <v>431</v>
      </c>
      <c r="H204" s="36" t="s">
        <v>19</v>
      </c>
      <c r="I204" s="36" t="s">
        <v>29</v>
      </c>
      <c r="J204" s="20" t="s">
        <v>34</v>
      </c>
      <c r="K204" s="36"/>
      <c r="L204" s="22">
        <f>IF(B204="","",IF(I204="CompteCourant",IF(IF(ISNA(VLOOKUP(B204,DATA!$A$1:$A$16,1,0)),"",VLOOKUP(B204,DATA!$A$1:$A$16,1,0))="",L203+E204,L203-E204),L203))</f>
        <v>6280.4599999999955</v>
      </c>
      <c r="M204" s="23">
        <f>IF(B204="","",IF(I204="Coffre",IF(IF(ISNA(VLOOKUP(B204,DATA!$A$1:$A$16,1,0)),"",VLOOKUP(B204,DATA!$A$1:$A$16,1,0))="",M203+E204,M203-E204),M203))</f>
        <v>2242.2000000000003</v>
      </c>
      <c r="N204" s="23">
        <f>IF(B204="","",IF(I204="CompteEpargne",IF(IF(ISNA(VLOOKUP(B204,DATA!$A$1:$A$16,1,0)),"",VLOOKUP(B204,DATA!$A$1:$A$16,1,0))="",N203+E204,N203-E204),N203))</f>
        <v>42.64</v>
      </c>
      <c r="O204" s="32">
        <f>IF(B204="","",IF(J204="CompteEpargne",IF(IF(ISNA(VLOOKUP(B204,DATA!$A$1:$A$16,1,0)),"",VLOOKUP(B204,DATA!$A$1:$A$16,1,0))="",O203+E204,O203-E204),O203))</f>
        <v>42.64</v>
      </c>
      <c r="P204" s="22">
        <f t="shared" si="0"/>
        <v>8607.9399999999951</v>
      </c>
      <c r="Q204" s="32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4.25" customHeight="1" x14ac:dyDescent="0.2">
      <c r="A205" s="1"/>
      <c r="B205" s="33" t="s">
        <v>26</v>
      </c>
      <c r="C205" s="17">
        <f t="shared" si="1"/>
        <v>201</v>
      </c>
      <c r="D205" s="34">
        <v>46088</v>
      </c>
      <c r="E205" s="35">
        <v>184.3</v>
      </c>
      <c r="F205" s="20" t="s">
        <v>434</v>
      </c>
      <c r="G205" s="20" t="s">
        <v>431</v>
      </c>
      <c r="H205" s="36" t="s">
        <v>19</v>
      </c>
      <c r="I205" s="36" t="s">
        <v>29</v>
      </c>
      <c r="J205" s="20" t="s">
        <v>34</v>
      </c>
      <c r="K205" s="36"/>
      <c r="L205" s="22">
        <f>IF(B205="","",IF(I205="CompteCourant",IF(IF(ISNA(VLOOKUP(B205,DATA!$A$1:$A$16,1,0)),"",VLOOKUP(B205,DATA!$A$1:$A$16,1,0))="",L204+E205,L204-E205),L204))</f>
        <v>6096.1599999999953</v>
      </c>
      <c r="M205" s="23">
        <f>IF(B205="","",IF(I205="Coffre",IF(IF(ISNA(VLOOKUP(B205,DATA!$A$1:$A$16,1,0)),"",VLOOKUP(B205,DATA!$A$1:$A$16,1,0))="",M204+E205,M204-E205),M204))</f>
        <v>2242.2000000000003</v>
      </c>
      <c r="N205" s="23">
        <f>IF(B205="","",IF(I205="CompteEpargne",IF(IF(ISNA(VLOOKUP(B205,DATA!$A$1:$A$16,1,0)),"",VLOOKUP(B205,DATA!$A$1:$A$16,1,0))="",N204+E205,N204-E205),N204))</f>
        <v>42.64</v>
      </c>
      <c r="O205" s="32">
        <f>IF(B205="","",IF(J205="CompteEpargne",IF(IF(ISNA(VLOOKUP(B205,DATA!$A$1:$A$16,1,0)),"",VLOOKUP(B205,DATA!$A$1:$A$16,1,0))="",O204+E205,O204-E205),O204))</f>
        <v>42.64</v>
      </c>
      <c r="P205" s="22">
        <f t="shared" si="0"/>
        <v>8423.639999999994</v>
      </c>
      <c r="Q205" s="32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4.25" customHeight="1" x14ac:dyDescent="0.2">
      <c r="A206" s="1"/>
      <c r="B206" s="33" t="s">
        <v>21</v>
      </c>
      <c r="C206" s="17">
        <f t="shared" si="1"/>
        <v>202</v>
      </c>
      <c r="D206" s="34">
        <v>46090</v>
      </c>
      <c r="E206" s="35">
        <v>42.45</v>
      </c>
      <c r="F206" s="20" t="s">
        <v>22</v>
      </c>
      <c r="G206" s="20" t="s">
        <v>435</v>
      </c>
      <c r="H206" s="36" t="s">
        <v>19</v>
      </c>
      <c r="I206" s="36" t="s">
        <v>29</v>
      </c>
      <c r="J206" s="20" t="s">
        <v>292</v>
      </c>
      <c r="K206" s="36"/>
      <c r="L206" s="22">
        <f>IF(B206="","",IF(I206="CompteCourant",IF(IF(ISNA(VLOOKUP(B206,DATA!$A$1:$A$16,1,0)),"",VLOOKUP(B206,DATA!$A$1:$A$16,1,0))="",L205+E206,L205-E206),L205))</f>
        <v>6138.6099999999951</v>
      </c>
      <c r="M206" s="23">
        <f>IF(B206="","",IF(I206="Coffre",IF(IF(ISNA(VLOOKUP(B206,DATA!$A$1:$A$16,1,0)),"",VLOOKUP(B206,DATA!$A$1:$A$16,1,0))="",M205+E206,M205-E206),M205))</f>
        <v>2242.2000000000003</v>
      </c>
      <c r="N206" s="23">
        <f>IF(B206="","",IF(I206="CompteEpargne",IF(IF(ISNA(VLOOKUP(B206,DATA!$A$1:$A$16,1,0)),"",VLOOKUP(B206,DATA!$A$1:$A$16,1,0))="",N205+E206,N205-E206),N205))</f>
        <v>42.64</v>
      </c>
      <c r="O206" s="32">
        <f>IF(B206="","",IF(J206="CompteEpargne",IF(IF(ISNA(VLOOKUP(B206,DATA!$A$1:$A$16,1,0)),"",VLOOKUP(B206,DATA!$A$1:$A$16,1,0))="",O205+E206,O205-E206),O205))</f>
        <v>42.64</v>
      </c>
      <c r="P206" s="22">
        <f t="shared" si="0"/>
        <v>8466.0899999999947</v>
      </c>
      <c r="Q206" s="32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4.25" customHeight="1" x14ac:dyDescent="0.2">
      <c r="A207" s="1"/>
      <c r="B207" s="33" t="s">
        <v>436</v>
      </c>
      <c r="C207" s="17">
        <f t="shared" si="1"/>
        <v>203</v>
      </c>
      <c r="D207" s="34">
        <v>46090</v>
      </c>
      <c r="E207" s="35">
        <v>702.75</v>
      </c>
      <c r="F207" s="20" t="s">
        <v>22</v>
      </c>
      <c r="G207" s="20" t="s">
        <v>437</v>
      </c>
      <c r="H207" s="36" t="s">
        <v>19</v>
      </c>
      <c r="I207" s="36" t="s">
        <v>29</v>
      </c>
      <c r="J207" s="20" t="s">
        <v>395</v>
      </c>
      <c r="K207" s="36"/>
      <c r="L207" s="22">
        <f>IF(B207="","",IF(I207="CompteCourant",IF(IF(ISNA(VLOOKUP(B207,DATA!$A$1:$A$16,1,0)),"",VLOOKUP(B207,DATA!$A$1:$A$16,1,0))="",L206+E207,L206-E207),L206))</f>
        <v>6841.3599999999951</v>
      </c>
      <c r="M207" s="23">
        <f>IF(B207="","",IF(I207="Coffre",IF(IF(ISNA(VLOOKUP(B207,DATA!$A$1:$A$16,1,0)),"",VLOOKUP(B207,DATA!$A$1:$A$16,1,0))="",M206+E207,M206-E207),M206))</f>
        <v>2242.2000000000003</v>
      </c>
      <c r="N207" s="23">
        <f>IF(B207="","",IF(I207="CompteEpargne",IF(IF(ISNA(VLOOKUP(B207,DATA!$A$1:$A$16,1,0)),"",VLOOKUP(B207,DATA!$A$1:$A$16,1,0))="",N206+E207,N206-E207),N206))</f>
        <v>42.64</v>
      </c>
      <c r="O207" s="32">
        <f>IF(B207="","",IF(J207="CompteEpargne",IF(IF(ISNA(VLOOKUP(B207,DATA!$A$1:$A$16,1,0)),"",VLOOKUP(B207,DATA!$A$1:$A$16,1,0))="",O206+E207,O206-E207),O206))</f>
        <v>42.64</v>
      </c>
      <c r="P207" s="22">
        <f t="shared" si="0"/>
        <v>9168.8399999999947</v>
      </c>
      <c r="Q207" s="32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4.25" customHeight="1" x14ac:dyDescent="0.2">
      <c r="A208" s="1"/>
      <c r="B208" s="357" t="s">
        <v>21</v>
      </c>
      <c r="C208" s="17">
        <f t="shared" si="1"/>
        <v>204</v>
      </c>
      <c r="D208" s="34">
        <v>46090</v>
      </c>
      <c r="E208" s="35">
        <v>65.14</v>
      </c>
      <c r="F208" s="20" t="s">
        <v>22</v>
      </c>
      <c r="G208" s="356" t="s">
        <v>438</v>
      </c>
      <c r="H208" s="36" t="s">
        <v>19</v>
      </c>
      <c r="I208" s="36" t="s">
        <v>29</v>
      </c>
      <c r="J208" s="20"/>
      <c r="K208" s="36"/>
      <c r="L208" s="22">
        <f>IF(B208="","",IF(I208="CompteCourant",IF(IF(ISNA(VLOOKUP(B208,DATA!$A$1:$A$16,1,0)),"",VLOOKUP(B208,DATA!$A$1:$A$16,1,0))="",L207+E208,L207-E208),L207))</f>
        <v>6906.4999999999955</v>
      </c>
      <c r="M208" s="23">
        <f>IF(B208="","",IF(I208="Coffre",IF(IF(ISNA(VLOOKUP(B208,DATA!$A$1:$A$16,1,0)),"",VLOOKUP(B208,DATA!$A$1:$A$16,1,0))="",M207+E208,M207-E208),M207))</f>
        <v>2242.2000000000003</v>
      </c>
      <c r="N208" s="23">
        <f>IF(B208="","",IF(I208="CompteEpargne",IF(IF(ISNA(VLOOKUP(B208,DATA!$A$1:$A$16,1,0)),"",VLOOKUP(B208,DATA!$A$1:$A$16,1,0))="",N207+E208,N207-E208),N207))</f>
        <v>42.64</v>
      </c>
      <c r="O208" s="32">
        <f>IF(B208="","",IF(J208="CompteEpargne",IF(IF(ISNA(VLOOKUP(B208,DATA!$A$1:$A$16,1,0)),"",VLOOKUP(B208,DATA!$A$1:$A$16,1,0))="",O207+E208,O207-E208),O207))</f>
        <v>42.64</v>
      </c>
      <c r="P208" s="22">
        <f t="shared" si="0"/>
        <v>9233.9799999999941</v>
      </c>
      <c r="Q208" s="32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4.25" customHeight="1" x14ac:dyDescent="0.2">
      <c r="A209" s="1"/>
      <c r="B209" s="357" t="s">
        <v>21</v>
      </c>
      <c r="C209" s="17">
        <f t="shared" si="1"/>
        <v>205</v>
      </c>
      <c r="D209" s="34">
        <v>46090</v>
      </c>
      <c r="E209" s="35">
        <v>498.33</v>
      </c>
      <c r="F209" s="20" t="s">
        <v>22</v>
      </c>
      <c r="G209" s="356" t="s">
        <v>438</v>
      </c>
      <c r="H209" s="36" t="s">
        <v>19</v>
      </c>
      <c r="I209" s="36" t="s">
        <v>29</v>
      </c>
      <c r="J209" s="20"/>
      <c r="K209" s="36"/>
      <c r="L209" s="22">
        <f>IF(B209="","",IF(I209="CompteCourant",IF(IF(ISNA(VLOOKUP(B209,DATA!$A$1:$A$16,1,0)),"",VLOOKUP(B209,DATA!$A$1:$A$16,1,0))="",L208+E209,L208-E209),L208))</f>
        <v>7404.8299999999954</v>
      </c>
      <c r="M209" s="23">
        <f>IF(B209="","",IF(I209="Coffre",IF(IF(ISNA(VLOOKUP(B209,DATA!$A$1:$A$16,1,0)),"",VLOOKUP(B209,DATA!$A$1:$A$16,1,0))="",M208+E209,M208-E209),M208))</f>
        <v>2242.2000000000003</v>
      </c>
      <c r="N209" s="23">
        <f>IF(B209="","",IF(I209="CompteEpargne",IF(IF(ISNA(VLOOKUP(B209,DATA!$A$1:$A$16,1,0)),"",VLOOKUP(B209,DATA!$A$1:$A$16,1,0))="",N208+E209,N208-E209),N208))</f>
        <v>42.64</v>
      </c>
      <c r="O209" s="32">
        <f>IF(B209="","",IF(J209="CompteEpargne",IF(IF(ISNA(VLOOKUP(B209,DATA!$A$1:$A$16,1,0)),"",VLOOKUP(B209,DATA!$A$1:$A$16,1,0))="",O208+E209,O208-E209),O208))</f>
        <v>42.64</v>
      </c>
      <c r="P209" s="22">
        <f t="shared" si="0"/>
        <v>9732.309999999994</v>
      </c>
      <c r="Q209" s="32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4.25" customHeight="1" x14ac:dyDescent="0.2">
      <c r="A210" s="1"/>
      <c r="B210" s="357" t="s">
        <v>21</v>
      </c>
      <c r="C210" s="17">
        <f t="shared" si="1"/>
        <v>206</v>
      </c>
      <c r="D210" s="34">
        <v>46091</v>
      </c>
      <c r="E210" s="35">
        <v>20.72</v>
      </c>
      <c r="F210" s="20" t="s">
        <v>22</v>
      </c>
      <c r="G210" s="356" t="s">
        <v>438</v>
      </c>
      <c r="H210" s="36" t="s">
        <v>19</v>
      </c>
      <c r="I210" s="36" t="s">
        <v>29</v>
      </c>
      <c r="J210" s="20"/>
      <c r="K210" s="36"/>
      <c r="L210" s="22">
        <f>IF(B210="","",IF(I210="CompteCourant",IF(IF(ISNA(VLOOKUP(B210,DATA!$A$1:$A$16,1,0)),"",VLOOKUP(B210,DATA!$A$1:$A$16,1,0))="",L209+E210,L209-E210),L209))</f>
        <v>7425.5499999999956</v>
      </c>
      <c r="M210" s="23">
        <f>IF(B210="","",IF(I210="Coffre",IF(IF(ISNA(VLOOKUP(B210,DATA!$A$1:$A$16,1,0)),"",VLOOKUP(B210,DATA!$A$1:$A$16,1,0))="",M209+E210,M209-E210),M209))</f>
        <v>2242.2000000000003</v>
      </c>
      <c r="N210" s="23">
        <f>IF(B210="","",IF(I210="CompteEpargne",IF(IF(ISNA(VLOOKUP(B210,DATA!$A$1:$A$16,1,0)),"",VLOOKUP(B210,DATA!$A$1:$A$16,1,0))="",N209+E210,N209-E210),N209))</f>
        <v>42.64</v>
      </c>
      <c r="O210" s="32">
        <f>IF(B210="","",IF(J210="CompteEpargne",IF(IF(ISNA(VLOOKUP(B210,DATA!$A$1:$A$16,1,0)),"",VLOOKUP(B210,DATA!$A$1:$A$16,1,0))="",O209+E210,O209-E210),O209))</f>
        <v>42.64</v>
      </c>
      <c r="P210" s="22">
        <f t="shared" si="0"/>
        <v>9753.0299999999952</v>
      </c>
      <c r="Q210" s="32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4.25" customHeight="1" x14ac:dyDescent="0.2">
      <c r="A211" s="1"/>
      <c r="B211" s="357" t="s">
        <v>21</v>
      </c>
      <c r="C211" s="17">
        <f t="shared" si="1"/>
        <v>207</v>
      </c>
      <c r="D211" s="34">
        <v>46091</v>
      </c>
      <c r="E211" s="35">
        <v>4.93</v>
      </c>
      <c r="F211" s="20" t="s">
        <v>22</v>
      </c>
      <c r="G211" s="356" t="s">
        <v>438</v>
      </c>
      <c r="H211" s="36" t="s">
        <v>19</v>
      </c>
      <c r="I211" s="36" t="s">
        <v>29</v>
      </c>
      <c r="J211" s="20"/>
      <c r="K211" s="36"/>
      <c r="L211" s="22">
        <f>IF(B211="","",IF(I211="CompteCourant",IF(IF(ISNA(VLOOKUP(B211,DATA!$A$1:$A$16,1,0)),"",VLOOKUP(B211,DATA!$A$1:$A$16,1,0))="",L210+E211,L210-E211),L210))</f>
        <v>7430.4799999999959</v>
      </c>
      <c r="M211" s="23">
        <f>IF(B211="","",IF(I211="Coffre",IF(IF(ISNA(VLOOKUP(B211,DATA!$A$1:$A$16,1,0)),"",VLOOKUP(B211,DATA!$A$1:$A$16,1,0))="",M210+E211,M210-E211),M210))</f>
        <v>2242.2000000000003</v>
      </c>
      <c r="N211" s="23">
        <f>IF(B211="","",IF(I211="CompteEpargne",IF(IF(ISNA(VLOOKUP(B211,DATA!$A$1:$A$16,1,0)),"",VLOOKUP(B211,DATA!$A$1:$A$16,1,0))="",N210+E211,N210-E211),N210))</f>
        <v>42.64</v>
      </c>
      <c r="O211" s="32">
        <f>IF(B211="","",IF(J211="CompteEpargne",IF(IF(ISNA(VLOOKUP(B211,DATA!$A$1:$A$16,1,0)),"",VLOOKUP(B211,DATA!$A$1:$A$16,1,0))="",O210+E211,O210-E211),O210))</f>
        <v>42.64</v>
      </c>
      <c r="P211" s="22">
        <f t="shared" si="0"/>
        <v>9757.9599999999955</v>
      </c>
      <c r="Q211" s="32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4.25" customHeight="1" x14ac:dyDescent="0.2">
      <c r="A212" s="1"/>
      <c r="B212" s="357" t="s">
        <v>21</v>
      </c>
      <c r="C212" s="17">
        <f t="shared" si="1"/>
        <v>208</v>
      </c>
      <c r="D212" s="34">
        <v>46092</v>
      </c>
      <c r="E212" s="35">
        <v>33.56</v>
      </c>
      <c r="F212" s="20" t="s">
        <v>22</v>
      </c>
      <c r="G212" s="356" t="s">
        <v>438</v>
      </c>
      <c r="H212" s="36" t="s">
        <v>19</v>
      </c>
      <c r="I212" s="36" t="s">
        <v>29</v>
      </c>
      <c r="J212" s="20"/>
      <c r="K212" s="36"/>
      <c r="L212" s="22">
        <f>IF(B212="","",IF(I212="CompteCourant",IF(IF(ISNA(VLOOKUP(B212,DATA!$A$1:$A$16,1,0)),"",VLOOKUP(B212,DATA!$A$1:$A$16,1,0))="",L211+E212,L211-E212),L211))</f>
        <v>7464.0399999999963</v>
      </c>
      <c r="M212" s="23">
        <f>IF(B212="","",IF(I212="Coffre",IF(IF(ISNA(VLOOKUP(B212,DATA!$A$1:$A$16,1,0)),"",VLOOKUP(B212,DATA!$A$1:$A$16,1,0))="",M211+E212,M211-E212),M211))</f>
        <v>2242.2000000000003</v>
      </c>
      <c r="N212" s="23">
        <f>IF(B212="","",IF(I212="CompteEpargne",IF(IF(ISNA(VLOOKUP(B212,DATA!$A$1:$A$16,1,0)),"",VLOOKUP(B212,DATA!$A$1:$A$16,1,0))="",N211+E212,N211-E212),N211))</f>
        <v>42.64</v>
      </c>
      <c r="O212" s="32">
        <f>IF(B212="","",IF(J212="CompteEpargne",IF(IF(ISNA(VLOOKUP(B212,DATA!$A$1:$A$16,1,0)),"",VLOOKUP(B212,DATA!$A$1:$A$16,1,0))="",O211+E212,O211-E212),O211))</f>
        <v>42.64</v>
      </c>
      <c r="P212" s="22">
        <f t="shared" si="0"/>
        <v>9791.519999999995</v>
      </c>
      <c r="Q212" s="32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4.25" customHeight="1" x14ac:dyDescent="0.2">
      <c r="A213" s="1"/>
      <c r="B213" s="357" t="s">
        <v>21</v>
      </c>
      <c r="C213" s="17">
        <f t="shared" si="1"/>
        <v>209</v>
      </c>
      <c r="D213" s="34">
        <v>46092</v>
      </c>
      <c r="E213" s="35">
        <v>59.22</v>
      </c>
      <c r="F213" s="20" t="s">
        <v>22</v>
      </c>
      <c r="G213" s="356" t="s">
        <v>438</v>
      </c>
      <c r="H213" s="36" t="s">
        <v>19</v>
      </c>
      <c r="I213" s="36" t="s">
        <v>29</v>
      </c>
      <c r="J213" s="20"/>
      <c r="K213" s="36"/>
      <c r="L213" s="22">
        <f>IF(B213="","",IF(I213="CompteCourant",IF(IF(ISNA(VLOOKUP(B213,DATA!$A$1:$A$16,1,0)),"",VLOOKUP(B213,DATA!$A$1:$A$16,1,0))="",L212+E213,L212-E213),L212))</f>
        <v>7523.2599999999966</v>
      </c>
      <c r="M213" s="23">
        <f>IF(B213="","",IF(I213="Coffre",IF(IF(ISNA(VLOOKUP(B213,DATA!$A$1:$A$16,1,0)),"",VLOOKUP(B213,DATA!$A$1:$A$16,1,0))="",M212+E213,M212-E213),M212))</f>
        <v>2242.2000000000003</v>
      </c>
      <c r="N213" s="23">
        <f>IF(B213="","",IF(I213="CompteEpargne",IF(IF(ISNA(VLOOKUP(B213,DATA!$A$1:$A$16,1,0)),"",VLOOKUP(B213,DATA!$A$1:$A$16,1,0))="",N212+E213,N212-E213),N212))</f>
        <v>42.64</v>
      </c>
      <c r="O213" s="32">
        <f>IF(B213="","",IF(J213="CompteEpargne",IF(IF(ISNA(VLOOKUP(B213,DATA!$A$1:$A$16,1,0)),"",VLOOKUP(B213,DATA!$A$1:$A$16,1,0))="",O212+E213,O212-E213),O212))</f>
        <v>42.64</v>
      </c>
      <c r="P213" s="22">
        <f t="shared" si="0"/>
        <v>9850.7399999999961</v>
      </c>
      <c r="Q213" s="32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4.25" customHeight="1" x14ac:dyDescent="0.2">
      <c r="A214" s="1"/>
      <c r="B214" s="357" t="s">
        <v>21</v>
      </c>
      <c r="C214" s="17">
        <f t="shared" si="1"/>
        <v>210</v>
      </c>
      <c r="D214" s="34">
        <v>46093</v>
      </c>
      <c r="E214" s="35">
        <v>17.77</v>
      </c>
      <c r="F214" s="20" t="s">
        <v>22</v>
      </c>
      <c r="G214" s="356" t="s">
        <v>438</v>
      </c>
      <c r="H214" s="36" t="s">
        <v>19</v>
      </c>
      <c r="I214" s="36" t="s">
        <v>29</v>
      </c>
      <c r="J214" s="20"/>
      <c r="K214" s="36"/>
      <c r="L214" s="22">
        <f>IF(B214="","",IF(I214="CompteCourant",IF(IF(ISNA(VLOOKUP(B214,DATA!$A$1:$A$16,1,0)),"",VLOOKUP(B214,DATA!$A$1:$A$16,1,0))="",L213+E214,L213-E214),L213))</f>
        <v>7541.029999999997</v>
      </c>
      <c r="M214" s="23">
        <f>IF(B214="","",IF(I214="Coffre",IF(IF(ISNA(VLOOKUP(B214,DATA!$A$1:$A$16,1,0)),"",VLOOKUP(B214,DATA!$A$1:$A$16,1,0))="",M213+E214,M213-E214),M213))</f>
        <v>2242.2000000000003</v>
      </c>
      <c r="N214" s="23">
        <f>IF(B214="","",IF(I214="CompteEpargne",IF(IF(ISNA(VLOOKUP(B214,DATA!$A$1:$A$16,1,0)),"",VLOOKUP(B214,DATA!$A$1:$A$16,1,0))="",N213+E214,N213-E214),N213))</f>
        <v>42.64</v>
      </c>
      <c r="O214" s="32">
        <f>IF(B214="","",IF(J214="CompteEpargne",IF(IF(ISNA(VLOOKUP(B214,DATA!$A$1:$A$16,1,0)),"",VLOOKUP(B214,DATA!$A$1:$A$16,1,0))="",O213+E214,O213-E214),O213))</f>
        <v>42.64</v>
      </c>
      <c r="P214" s="22">
        <f t="shared" si="0"/>
        <v>9868.5099999999966</v>
      </c>
      <c r="Q214" s="32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4.25" customHeight="1" x14ac:dyDescent="0.2">
      <c r="A215" s="1"/>
      <c r="B215" s="357" t="s">
        <v>21</v>
      </c>
      <c r="C215" s="17">
        <f t="shared" si="1"/>
        <v>211</v>
      </c>
      <c r="D215" s="34">
        <v>46093</v>
      </c>
      <c r="E215" s="35">
        <v>89.82</v>
      </c>
      <c r="F215" s="20" t="s">
        <v>22</v>
      </c>
      <c r="G215" s="356" t="s">
        <v>438</v>
      </c>
      <c r="H215" s="36" t="s">
        <v>19</v>
      </c>
      <c r="I215" s="36" t="s">
        <v>29</v>
      </c>
      <c r="J215" s="20"/>
      <c r="K215" s="36"/>
      <c r="L215" s="22">
        <f>IF(B215="","",IF(I215="CompteCourant",IF(IF(ISNA(VLOOKUP(B215,DATA!$A$1:$A$16,1,0)),"",VLOOKUP(B215,DATA!$A$1:$A$16,1,0))="",L214+E215,L214-E215),L214))</f>
        <v>7630.8499999999967</v>
      </c>
      <c r="M215" s="23">
        <f>IF(B215="","",IF(I215="Coffre",IF(IF(ISNA(VLOOKUP(B215,DATA!$A$1:$A$16,1,0)),"",VLOOKUP(B215,DATA!$A$1:$A$16,1,0))="",M214+E215,M214-E215),M214))</f>
        <v>2242.2000000000003</v>
      </c>
      <c r="N215" s="23">
        <f>IF(B215="","",IF(I215="CompteEpargne",IF(IF(ISNA(VLOOKUP(B215,DATA!$A$1:$A$16,1,0)),"",VLOOKUP(B215,DATA!$A$1:$A$16,1,0))="",N214+E215,N214-E215),N214))</f>
        <v>42.64</v>
      </c>
      <c r="O215" s="32">
        <f>IF(B215="","",IF(J215="CompteEpargne",IF(IF(ISNA(VLOOKUP(B215,DATA!$A$1:$A$16,1,0)),"",VLOOKUP(B215,DATA!$A$1:$A$16,1,0))="",O214+E215,O214-E215),O214))</f>
        <v>42.64</v>
      </c>
      <c r="P215" s="22">
        <f t="shared" si="0"/>
        <v>9958.3299999999963</v>
      </c>
      <c r="Q215" s="32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4.25" customHeight="1" x14ac:dyDescent="0.2">
      <c r="A216" s="1"/>
      <c r="B216" s="357" t="s">
        <v>21</v>
      </c>
      <c r="C216" s="17">
        <f t="shared" si="1"/>
        <v>212</v>
      </c>
      <c r="D216" s="34">
        <v>46093</v>
      </c>
      <c r="E216" s="35">
        <v>88.83</v>
      </c>
      <c r="F216" s="20" t="s">
        <v>22</v>
      </c>
      <c r="G216" s="356" t="s">
        <v>438</v>
      </c>
      <c r="H216" s="36" t="s">
        <v>19</v>
      </c>
      <c r="I216" s="36" t="s">
        <v>29</v>
      </c>
      <c r="J216" s="20"/>
      <c r="K216" s="36"/>
      <c r="L216" s="22">
        <f>IF(B216="","",IF(I216="CompteCourant",IF(IF(ISNA(VLOOKUP(B216,DATA!$A$1:$A$16,1,0)),"",VLOOKUP(B216,DATA!$A$1:$A$16,1,0))="",L215+E216,L215-E216),L215))</f>
        <v>7719.6799999999967</v>
      </c>
      <c r="M216" s="23">
        <f>IF(B216="","",IF(I216="Coffre",IF(IF(ISNA(VLOOKUP(B216,DATA!$A$1:$A$16,1,0)),"",VLOOKUP(B216,DATA!$A$1:$A$16,1,0))="",M215+E216,M215-E216),M215))</f>
        <v>2242.2000000000003</v>
      </c>
      <c r="N216" s="23">
        <f>IF(B216="","",IF(I216="CompteEpargne",IF(IF(ISNA(VLOOKUP(B216,DATA!$A$1:$A$16,1,0)),"",VLOOKUP(B216,DATA!$A$1:$A$16,1,0))="",N215+E216,N215-E216),N215))</f>
        <v>42.64</v>
      </c>
      <c r="O216" s="32">
        <f>IF(B216="","",IF(J216="CompteEpargne",IF(IF(ISNA(VLOOKUP(B216,DATA!$A$1:$A$16,1,0)),"",VLOOKUP(B216,DATA!$A$1:$A$16,1,0))="",O215+E216,O215-E216),O215))</f>
        <v>42.64</v>
      </c>
      <c r="P216" s="22">
        <f t="shared" si="0"/>
        <v>10047.159999999996</v>
      </c>
      <c r="Q216" s="32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4.25" customHeight="1" x14ac:dyDescent="0.2">
      <c r="A217" s="1"/>
      <c r="B217" s="357" t="s">
        <v>21</v>
      </c>
      <c r="C217" s="17">
        <f t="shared" si="1"/>
        <v>213</v>
      </c>
      <c r="D217" s="34">
        <v>46094</v>
      </c>
      <c r="E217" s="35">
        <v>223.07</v>
      </c>
      <c r="F217" s="20" t="s">
        <v>22</v>
      </c>
      <c r="G217" s="356" t="s">
        <v>438</v>
      </c>
      <c r="H217" s="36" t="s">
        <v>19</v>
      </c>
      <c r="I217" s="36" t="s">
        <v>29</v>
      </c>
      <c r="J217" s="20"/>
      <c r="K217" s="36"/>
      <c r="L217" s="22">
        <f>IF(B217="","",IF(I217="CompteCourant",IF(IF(ISNA(VLOOKUP(B217,DATA!$A$1:$A$16,1,0)),"",VLOOKUP(B217,DATA!$A$1:$A$16,1,0))="",L216+E217,L216-E217),L216))</f>
        <v>7942.7499999999964</v>
      </c>
      <c r="M217" s="23">
        <f>IF(B217="","",IF(I217="Coffre",IF(IF(ISNA(VLOOKUP(B217,DATA!$A$1:$A$16,1,0)),"",VLOOKUP(B217,DATA!$A$1:$A$16,1,0))="",M216+E217,M216-E217),M216))</f>
        <v>2242.2000000000003</v>
      </c>
      <c r="N217" s="23">
        <f>IF(B217="","",IF(I217="CompteEpargne",IF(IF(ISNA(VLOOKUP(B217,DATA!$A$1:$A$16,1,0)),"",VLOOKUP(B217,DATA!$A$1:$A$16,1,0))="",N216+E217,N216-E217),N216))</f>
        <v>42.64</v>
      </c>
      <c r="O217" s="32">
        <f>IF(B217="","",IF(J217="CompteEpargne",IF(IF(ISNA(VLOOKUP(B217,DATA!$A$1:$A$16,1,0)),"",VLOOKUP(B217,DATA!$A$1:$A$16,1,0))="",O216+E217,O216-E217),O216))</f>
        <v>42.64</v>
      </c>
      <c r="P217" s="22">
        <f t="shared" si="0"/>
        <v>10270.229999999996</v>
      </c>
      <c r="Q217" s="32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4.25" customHeight="1" x14ac:dyDescent="0.2">
      <c r="A218" s="1"/>
      <c r="B218" s="357" t="s">
        <v>21</v>
      </c>
      <c r="C218" s="17">
        <f t="shared" si="1"/>
        <v>214</v>
      </c>
      <c r="D218" s="34">
        <v>46094</v>
      </c>
      <c r="E218" s="35">
        <v>549.83000000000004</v>
      </c>
      <c r="F218" s="20" t="s">
        <v>22</v>
      </c>
      <c r="G218" s="356" t="s">
        <v>438</v>
      </c>
      <c r="H218" s="36" t="s">
        <v>19</v>
      </c>
      <c r="I218" s="36" t="s">
        <v>29</v>
      </c>
      <c r="J218" s="20"/>
      <c r="K218" s="36"/>
      <c r="L218" s="22">
        <f>IF(B218="","",IF(I218="CompteCourant",IF(IF(ISNA(VLOOKUP(B218,DATA!$A$1:$A$16,1,0)),"",VLOOKUP(B218,DATA!$A$1:$A$16,1,0))="",L217+E218,L217-E218),L217))</f>
        <v>8492.5799999999963</v>
      </c>
      <c r="M218" s="23">
        <f>IF(B218="","",IF(I218="Coffre",IF(IF(ISNA(VLOOKUP(B218,DATA!$A$1:$A$16,1,0)),"",VLOOKUP(B218,DATA!$A$1:$A$16,1,0))="",M217+E218,M217-E218),M217))</f>
        <v>2242.2000000000003</v>
      </c>
      <c r="N218" s="23">
        <f>IF(B218="","",IF(I218="CompteEpargne",IF(IF(ISNA(VLOOKUP(B218,DATA!$A$1:$A$16,1,0)),"",VLOOKUP(B218,DATA!$A$1:$A$16,1,0))="",N217+E218,N217-E218),N217))</f>
        <v>42.64</v>
      </c>
      <c r="O218" s="32">
        <f>IF(B218="","",IF(J218="CompteEpargne",IF(IF(ISNA(VLOOKUP(B218,DATA!$A$1:$A$16,1,0)),"",VLOOKUP(B218,DATA!$A$1:$A$16,1,0))="",O217+E218,O217-E218),O217))</f>
        <v>42.64</v>
      </c>
      <c r="P218" s="22">
        <f t="shared" si="0"/>
        <v>10820.059999999996</v>
      </c>
      <c r="Q218" s="32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4.25" customHeight="1" x14ac:dyDescent="0.2">
      <c r="A219" s="1"/>
      <c r="B219" s="357" t="s">
        <v>21</v>
      </c>
      <c r="C219" s="17">
        <f t="shared" si="1"/>
        <v>215</v>
      </c>
      <c r="D219" s="34">
        <v>46094</v>
      </c>
      <c r="E219" s="35">
        <v>49.35</v>
      </c>
      <c r="F219" s="20" t="s">
        <v>22</v>
      </c>
      <c r="G219" s="356" t="s">
        <v>438</v>
      </c>
      <c r="H219" s="36" t="s">
        <v>19</v>
      </c>
      <c r="I219" s="36" t="s">
        <v>29</v>
      </c>
      <c r="J219" s="20"/>
      <c r="K219" s="36"/>
      <c r="L219" s="22">
        <f>IF(B219="","",IF(I219="CompteCourant",IF(IF(ISNA(VLOOKUP(B219,DATA!$A$1:$A$16,1,0)),"",VLOOKUP(B219,DATA!$A$1:$A$16,1,0))="",L218+E219,L218-E219),L218))</f>
        <v>8541.9299999999967</v>
      </c>
      <c r="M219" s="23">
        <f>IF(B219="","",IF(I219="Coffre",IF(IF(ISNA(VLOOKUP(B219,DATA!$A$1:$A$16,1,0)),"",VLOOKUP(B219,DATA!$A$1:$A$16,1,0))="",M218+E219,M218-E219),M218))</f>
        <v>2242.2000000000003</v>
      </c>
      <c r="N219" s="23">
        <f>IF(B219="","",IF(I219="CompteEpargne",IF(IF(ISNA(VLOOKUP(B219,DATA!$A$1:$A$16,1,0)),"",VLOOKUP(B219,DATA!$A$1:$A$16,1,0))="",N218+E219,N218-E219),N218))</f>
        <v>42.64</v>
      </c>
      <c r="O219" s="32">
        <f>IF(B219="","",IF(J219="CompteEpargne",IF(IF(ISNA(VLOOKUP(B219,DATA!$A$1:$A$16,1,0)),"",VLOOKUP(B219,DATA!$A$1:$A$16,1,0))="",O218+E219,O218-E219),O218))</f>
        <v>42.64</v>
      </c>
      <c r="P219" s="22">
        <f t="shared" si="0"/>
        <v>10869.409999999996</v>
      </c>
      <c r="Q219" s="32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4.25" customHeight="1" x14ac:dyDescent="0.2">
      <c r="A220" s="1"/>
      <c r="B220" s="33"/>
      <c r="C220" s="17">
        <f t="shared" si="1"/>
        <v>216</v>
      </c>
      <c r="D220" s="34"/>
      <c r="E220" s="35"/>
      <c r="F220" s="20"/>
      <c r="G220" s="20"/>
      <c r="H220" s="36"/>
      <c r="I220" s="36"/>
      <c r="J220" s="20"/>
      <c r="K220" s="36"/>
      <c r="L220" s="22" t="str">
        <f>IF(B220="","",IF(I220="CompteCourant",IF(IF(ISNA(VLOOKUP(B220,DATA!$A$1:$A$16,1,0)),"",VLOOKUP(B220,DATA!$A$1:$A$16,1,0))="",L219+E220,L219-E220),L219))</f>
        <v/>
      </c>
      <c r="M220" s="23" t="str">
        <f>IF(B220="","",IF(I220="Coffre",IF(IF(ISNA(VLOOKUP(B220,DATA!$A$1:$A$16,1,0)),"",VLOOKUP(B220,DATA!$A$1:$A$16,1,0))="",M219+E220,M219-E220),M219))</f>
        <v/>
      </c>
      <c r="N220" s="23" t="str">
        <f>IF(B220="","",IF(I220="CompteEpargne",IF(IF(ISNA(VLOOKUP(B220,DATA!$A$1:$A$16,1,0)),"",VLOOKUP(B220,DATA!$A$1:$A$16,1,0))="",N219+E220,N219-E220),N219))</f>
        <v/>
      </c>
      <c r="O220" s="32" t="str">
        <f>IF(B220="","",IF(J220="CompteEpargne",IF(IF(ISNA(VLOOKUP(B220,DATA!$A$1:$A$16,1,0)),"",VLOOKUP(B220,DATA!$A$1:$A$16,1,0))="",O219+E220,O219-E220),O219))</f>
        <v/>
      </c>
      <c r="P220" s="22" t="str">
        <f t="shared" si="0"/>
        <v/>
      </c>
      <c r="Q220" s="32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4.25" customHeight="1" x14ac:dyDescent="0.2">
      <c r="A221" s="1"/>
      <c r="B221" s="33"/>
      <c r="C221" s="17">
        <f t="shared" si="1"/>
        <v>217</v>
      </c>
      <c r="D221" s="34"/>
      <c r="E221" s="35"/>
      <c r="F221" s="20"/>
      <c r="G221" s="20"/>
      <c r="H221" s="36"/>
      <c r="I221" s="36"/>
      <c r="J221" s="20"/>
      <c r="K221" s="36"/>
      <c r="L221" s="22" t="str">
        <f>IF(B221="","",IF(I221="CompteCourant",IF(IF(ISNA(VLOOKUP(B221,DATA!$A$1:$A$16,1,0)),"",VLOOKUP(B221,DATA!$A$1:$A$16,1,0))="",L220+E221,L220-E221),L220))</f>
        <v/>
      </c>
      <c r="M221" s="23" t="str">
        <f>IF(B221="","",IF(I221="Coffre",IF(IF(ISNA(VLOOKUP(B221,DATA!$A$1:$A$16,1,0)),"",VLOOKUP(B221,DATA!$A$1:$A$16,1,0))="",M220+E221,M220-E221),M220))</f>
        <v/>
      </c>
      <c r="N221" s="23" t="str">
        <f>IF(B221="","",IF(I221="CompteEpargne",IF(IF(ISNA(VLOOKUP(B221,DATA!$A$1:$A$16,1,0)),"",VLOOKUP(B221,DATA!$A$1:$A$16,1,0))="",N220+E221,N220-E221),N220))</f>
        <v/>
      </c>
      <c r="O221" s="32" t="str">
        <f>IF(B221="","",IF(J221="CompteEpargne",IF(IF(ISNA(VLOOKUP(B221,DATA!$A$1:$A$16,1,0)),"",VLOOKUP(B221,DATA!$A$1:$A$16,1,0))="",O220+E221,O220-E221),O220))</f>
        <v/>
      </c>
      <c r="P221" s="22" t="str">
        <f t="shared" si="0"/>
        <v/>
      </c>
      <c r="Q221" s="32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4.25" customHeight="1" x14ac:dyDescent="0.2">
      <c r="A222" s="1"/>
      <c r="B222" s="33"/>
      <c r="C222" s="17">
        <f t="shared" si="1"/>
        <v>218</v>
      </c>
      <c r="D222" s="34"/>
      <c r="E222" s="35"/>
      <c r="F222" s="20"/>
      <c r="G222" s="20"/>
      <c r="H222" s="36"/>
      <c r="I222" s="36"/>
      <c r="J222" s="20"/>
      <c r="K222" s="36"/>
      <c r="L222" s="22" t="str">
        <f>IF(B222="","",IF(I222="CompteCourant",IF(IF(ISNA(VLOOKUP(B222,DATA!$A$1:$A$16,1,0)),"",VLOOKUP(B222,DATA!$A$1:$A$16,1,0))="",L221+E222,L221-E222),L221))</f>
        <v/>
      </c>
      <c r="M222" s="23" t="str">
        <f>IF(B222="","",IF(I222="Coffre",IF(IF(ISNA(VLOOKUP(B222,DATA!$A$1:$A$16,1,0)),"",VLOOKUP(B222,DATA!$A$1:$A$16,1,0))="",M221+E222,M221-E222),M221))</f>
        <v/>
      </c>
      <c r="N222" s="23" t="str">
        <f>IF(B222="","",IF(I222="CompteEpargne",IF(IF(ISNA(VLOOKUP(B222,DATA!$A$1:$A$16,1,0)),"",VLOOKUP(B222,DATA!$A$1:$A$16,1,0))="",N221+E222,N221-E222),N221))</f>
        <v/>
      </c>
      <c r="O222" s="32" t="str">
        <f>IF(B222="","",IF(J222="CompteEpargne",IF(IF(ISNA(VLOOKUP(B222,DATA!$A$1:$A$16,1,0)),"",VLOOKUP(B222,DATA!$A$1:$A$16,1,0))="",O221+E222,O221-E222),O221))</f>
        <v/>
      </c>
      <c r="P222" s="22" t="str">
        <f t="shared" si="0"/>
        <v/>
      </c>
      <c r="Q222" s="32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4.25" customHeight="1" x14ac:dyDescent="0.2">
      <c r="A223" s="1"/>
      <c r="B223" s="33"/>
      <c r="C223" s="17">
        <f t="shared" si="1"/>
        <v>219</v>
      </c>
      <c r="D223" s="34"/>
      <c r="E223" s="35"/>
      <c r="F223" s="20"/>
      <c r="G223" s="20"/>
      <c r="H223" s="36"/>
      <c r="I223" s="36"/>
      <c r="J223" s="20"/>
      <c r="K223" s="36"/>
      <c r="L223" s="22" t="str">
        <f>IF(B223="","",IF(I223="CompteCourant",IF(IF(ISNA(VLOOKUP(B223,DATA!$A$1:$A$16,1,0)),"",VLOOKUP(B223,DATA!$A$1:$A$16,1,0))="",L222+E223,L222-E223),L222))</f>
        <v/>
      </c>
      <c r="M223" s="23" t="str">
        <f>IF(B223="","",IF(I223="Coffre",IF(IF(ISNA(VLOOKUP(B223,DATA!$A$1:$A$16,1,0)),"",VLOOKUP(B223,DATA!$A$1:$A$16,1,0))="",M222+E223,M222-E223),M222))</f>
        <v/>
      </c>
      <c r="N223" s="23" t="str">
        <f>IF(B223="","",IF(I223="CompteEpargne",IF(IF(ISNA(VLOOKUP(B223,DATA!$A$1:$A$16,1,0)),"",VLOOKUP(B223,DATA!$A$1:$A$16,1,0))="",N222+E223,N222-E223),N222))</f>
        <v/>
      </c>
      <c r="O223" s="32" t="str">
        <f>IF(B223="","",IF(J223="CompteEpargne",IF(IF(ISNA(VLOOKUP(B223,DATA!$A$1:$A$16,1,0)),"",VLOOKUP(B223,DATA!$A$1:$A$16,1,0))="",O222+E223,O222-E223),O222))</f>
        <v/>
      </c>
      <c r="P223" s="22" t="str">
        <f t="shared" si="0"/>
        <v/>
      </c>
      <c r="Q223" s="32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4.25" customHeight="1" x14ac:dyDescent="0.2">
      <c r="A224" s="1"/>
      <c r="B224" s="33"/>
      <c r="C224" s="17">
        <f t="shared" si="1"/>
        <v>220</v>
      </c>
      <c r="D224" s="34"/>
      <c r="E224" s="35"/>
      <c r="F224" s="20"/>
      <c r="G224" s="20"/>
      <c r="H224" s="36"/>
      <c r="I224" s="36"/>
      <c r="J224" s="20"/>
      <c r="K224" s="36"/>
      <c r="L224" s="22" t="str">
        <f>IF(B224="","",IF(I224="CompteCourant",IF(IF(ISNA(VLOOKUP(B224,DATA!$A$1:$A$16,1,0)),"",VLOOKUP(B224,DATA!$A$1:$A$16,1,0))="",L223+E224,L223-E224),L223))</f>
        <v/>
      </c>
      <c r="M224" s="23" t="str">
        <f>IF(B224="","",IF(I224="Coffre",IF(IF(ISNA(VLOOKUP(B224,DATA!$A$1:$A$16,1,0)),"",VLOOKUP(B224,DATA!$A$1:$A$16,1,0))="",M223+E224,M223-E224),M223))</f>
        <v/>
      </c>
      <c r="N224" s="23" t="str">
        <f>IF(B224="","",IF(I224="CompteEpargne",IF(IF(ISNA(VLOOKUP(B224,DATA!$A$1:$A$16,1,0)),"",VLOOKUP(B224,DATA!$A$1:$A$16,1,0))="",N223+E224,N223-E224),N223))</f>
        <v/>
      </c>
      <c r="O224" s="32" t="str">
        <f>IF(B224="","",IF(J224="CompteEpargne",IF(IF(ISNA(VLOOKUP(B224,DATA!$A$1:$A$16,1,0)),"",VLOOKUP(B224,DATA!$A$1:$A$16,1,0))="",O223+E224,O223-E224),O223))</f>
        <v/>
      </c>
      <c r="P224" s="22" t="str">
        <f t="shared" si="0"/>
        <v/>
      </c>
      <c r="Q224" s="32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4.25" customHeight="1" x14ac:dyDescent="0.2">
      <c r="A225" s="1"/>
      <c r="B225" s="33"/>
      <c r="C225" s="17">
        <f t="shared" si="1"/>
        <v>221</v>
      </c>
      <c r="D225" s="34"/>
      <c r="E225" s="35"/>
      <c r="F225" s="20"/>
      <c r="G225" s="20"/>
      <c r="H225" s="36"/>
      <c r="I225" s="36"/>
      <c r="J225" s="20"/>
      <c r="K225" s="36"/>
      <c r="L225" s="22" t="str">
        <f>IF(B225="","",IF(I225="CompteCourant",IF(IF(ISNA(VLOOKUP(B225,DATA!$A$1:$A$16,1,0)),"",VLOOKUP(B225,DATA!$A$1:$A$16,1,0))="",L224+E225,L224-E225),L224))</f>
        <v/>
      </c>
      <c r="M225" s="23" t="str">
        <f>IF(B225="","",IF(I225="Coffre",IF(IF(ISNA(VLOOKUP(B225,DATA!$A$1:$A$16,1,0)),"",VLOOKUP(B225,DATA!$A$1:$A$16,1,0))="",M224+E225,M224-E225),M224))</f>
        <v/>
      </c>
      <c r="N225" s="23" t="str">
        <f>IF(B225="","",IF(I225="CompteEpargne",IF(IF(ISNA(VLOOKUP(B225,DATA!$A$1:$A$16,1,0)),"",VLOOKUP(B225,DATA!$A$1:$A$16,1,0))="",N224+E225,N224-E225),N224))</f>
        <v/>
      </c>
      <c r="O225" s="32" t="str">
        <f>IF(B225="","",IF(J225="CompteEpargne",IF(IF(ISNA(VLOOKUP(B225,DATA!$A$1:$A$16,1,0)),"",VLOOKUP(B225,DATA!$A$1:$A$16,1,0))="",O224+E225,O224-E225),O224))</f>
        <v/>
      </c>
      <c r="P225" s="22" t="str">
        <f t="shared" si="0"/>
        <v/>
      </c>
      <c r="Q225" s="32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4.25" customHeight="1" x14ac:dyDescent="0.2">
      <c r="A226" s="1"/>
      <c r="B226" s="33"/>
      <c r="C226" s="17">
        <f t="shared" si="1"/>
        <v>222</v>
      </c>
      <c r="D226" s="34"/>
      <c r="E226" s="35"/>
      <c r="F226" s="20"/>
      <c r="G226" s="20"/>
      <c r="H226" s="36"/>
      <c r="I226" s="36"/>
      <c r="J226" s="20"/>
      <c r="K226" s="36"/>
      <c r="L226" s="22" t="str">
        <f>IF(B226="","",IF(I226="CompteCourant",IF(IF(ISNA(VLOOKUP(B226,DATA!$A$1:$A$16,1,0)),"",VLOOKUP(B226,DATA!$A$1:$A$16,1,0))="",L225+E226,L225-E226),L225))</f>
        <v/>
      </c>
      <c r="M226" s="23" t="str">
        <f>IF(B226="","",IF(I226="Coffre",IF(IF(ISNA(VLOOKUP(B226,DATA!$A$1:$A$16,1,0)),"",VLOOKUP(B226,DATA!$A$1:$A$16,1,0))="",M225+E226,M225-E226),M225))</f>
        <v/>
      </c>
      <c r="N226" s="23" t="str">
        <f>IF(B226="","",IF(I226="CompteEpargne",IF(IF(ISNA(VLOOKUP(B226,DATA!$A$1:$A$16,1,0)),"",VLOOKUP(B226,DATA!$A$1:$A$16,1,0))="",N225+E226,N225-E226),N225))</f>
        <v/>
      </c>
      <c r="O226" s="32" t="str">
        <f>IF(B226="","",IF(J226="CompteEpargne",IF(IF(ISNA(VLOOKUP(B226,DATA!$A$1:$A$16,1,0)),"",VLOOKUP(B226,DATA!$A$1:$A$16,1,0))="",O225+E226,O225-E226),O225))</f>
        <v/>
      </c>
      <c r="P226" s="22" t="str">
        <f t="shared" si="0"/>
        <v/>
      </c>
      <c r="Q226" s="32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4.25" customHeight="1" x14ac:dyDescent="0.2">
      <c r="A227" s="1"/>
      <c r="B227" s="33"/>
      <c r="C227" s="17">
        <f t="shared" si="1"/>
        <v>223</v>
      </c>
      <c r="D227" s="34"/>
      <c r="E227" s="35"/>
      <c r="F227" s="20"/>
      <c r="G227" s="20"/>
      <c r="H227" s="36"/>
      <c r="I227" s="36"/>
      <c r="J227" s="20"/>
      <c r="K227" s="36"/>
      <c r="L227" s="22" t="str">
        <f>IF(B227="","",IF(I227="CompteCourant",IF(IF(ISNA(VLOOKUP(B227,DATA!$A$1:$A$16,1,0)),"",VLOOKUP(B227,DATA!$A$1:$A$16,1,0))="",L226+E227,L226-E227),L226))</f>
        <v/>
      </c>
      <c r="M227" s="23" t="str">
        <f>IF(B227="","",IF(I227="Coffre",IF(IF(ISNA(VLOOKUP(B227,DATA!$A$1:$A$16,1,0)),"",VLOOKUP(B227,DATA!$A$1:$A$16,1,0))="",M226+E227,M226-E227),M226))</f>
        <v/>
      </c>
      <c r="N227" s="23" t="str">
        <f>IF(B227="","",IF(I227="CompteEpargne",IF(IF(ISNA(VLOOKUP(B227,DATA!$A$1:$A$16,1,0)),"",VLOOKUP(B227,DATA!$A$1:$A$16,1,0))="",N226+E227,N226-E227),N226))</f>
        <v/>
      </c>
      <c r="O227" s="32" t="str">
        <f>IF(B227="","",IF(J227="CompteEpargne",IF(IF(ISNA(VLOOKUP(B227,DATA!$A$1:$A$16,1,0)),"",VLOOKUP(B227,DATA!$A$1:$A$16,1,0))="",O226+E227,O226-E227),O226))</f>
        <v/>
      </c>
      <c r="P227" s="22" t="str">
        <f t="shared" si="0"/>
        <v/>
      </c>
      <c r="Q227" s="32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4.25" customHeight="1" x14ac:dyDescent="0.2">
      <c r="A228" s="1"/>
      <c r="B228" s="33"/>
      <c r="C228" s="17">
        <f t="shared" si="1"/>
        <v>224</v>
      </c>
      <c r="D228" s="34"/>
      <c r="E228" s="35"/>
      <c r="F228" s="20"/>
      <c r="G228" s="20"/>
      <c r="H228" s="36"/>
      <c r="I228" s="36"/>
      <c r="J228" s="20"/>
      <c r="K228" s="36"/>
      <c r="L228" s="22" t="str">
        <f>IF(B228="","",IF(I228="CompteCourant",IF(IF(ISNA(VLOOKUP(B228,DATA!$A$1:$A$16,1,0)),"",VLOOKUP(B228,DATA!$A$1:$A$16,1,0))="",L227+E228,L227-E228),L227))</f>
        <v/>
      </c>
      <c r="M228" s="23" t="str">
        <f>IF(B228="","",IF(I228="Coffre",IF(IF(ISNA(VLOOKUP(B228,DATA!$A$1:$A$16,1,0)),"",VLOOKUP(B228,DATA!$A$1:$A$16,1,0))="",M227+E228,M227-E228),M227))</f>
        <v/>
      </c>
      <c r="N228" s="23" t="str">
        <f>IF(B228="","",IF(I228="CompteEpargne",IF(IF(ISNA(VLOOKUP(B228,DATA!$A$1:$A$16,1,0)),"",VLOOKUP(B228,DATA!$A$1:$A$16,1,0))="",N227+E228,N227-E228),N227))</f>
        <v/>
      </c>
      <c r="O228" s="32" t="str">
        <f>IF(B228="","",IF(J228="CompteEpargne",IF(IF(ISNA(VLOOKUP(B228,DATA!$A$1:$A$16,1,0)),"",VLOOKUP(B228,DATA!$A$1:$A$16,1,0))="",O227+E228,O227-E228),O227))</f>
        <v/>
      </c>
      <c r="P228" s="22" t="str">
        <f t="shared" si="0"/>
        <v/>
      </c>
      <c r="Q228" s="32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4.25" customHeight="1" x14ac:dyDescent="0.2">
      <c r="A229" s="1"/>
      <c r="B229" s="33"/>
      <c r="C229" s="17">
        <f t="shared" si="1"/>
        <v>225</v>
      </c>
      <c r="D229" s="34"/>
      <c r="E229" s="35"/>
      <c r="F229" s="20"/>
      <c r="G229" s="20"/>
      <c r="H229" s="36"/>
      <c r="I229" s="36"/>
      <c r="J229" s="20"/>
      <c r="K229" s="36"/>
      <c r="L229" s="22" t="str">
        <f>IF(B229="","",IF(I229="CompteCourant",IF(IF(ISNA(VLOOKUP(B229,DATA!$A$1:$A$16,1,0)),"",VLOOKUP(B229,DATA!$A$1:$A$16,1,0))="",L228+E229,L228-E229),L228))</f>
        <v/>
      </c>
      <c r="M229" s="23" t="str">
        <f>IF(B229="","",IF(I229="Coffre",IF(IF(ISNA(VLOOKUP(B229,DATA!$A$1:$A$16,1,0)),"",VLOOKUP(B229,DATA!$A$1:$A$16,1,0))="",M228+E229,M228-E229),M228))</f>
        <v/>
      </c>
      <c r="N229" s="23" t="str">
        <f>IF(B229="","",IF(I229="CompteEpargne",IF(IF(ISNA(VLOOKUP(B229,DATA!$A$1:$A$16,1,0)),"",VLOOKUP(B229,DATA!$A$1:$A$16,1,0))="",N228+E229,N228-E229),N228))</f>
        <v/>
      </c>
      <c r="O229" s="32" t="str">
        <f>IF(B229="","",IF(J229="CompteEpargne",IF(IF(ISNA(VLOOKUP(B229,DATA!$A$1:$A$16,1,0)),"",VLOOKUP(B229,DATA!$A$1:$A$16,1,0))="",O228+E229,O228-E229),O228))</f>
        <v/>
      </c>
      <c r="P229" s="22" t="str">
        <f t="shared" si="0"/>
        <v/>
      </c>
      <c r="Q229" s="32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4.25" customHeight="1" x14ac:dyDescent="0.2">
      <c r="A230" s="1"/>
      <c r="B230" s="33"/>
      <c r="C230" s="17">
        <f t="shared" si="1"/>
        <v>226</v>
      </c>
      <c r="D230" s="34"/>
      <c r="E230" s="35"/>
      <c r="F230" s="20"/>
      <c r="G230" s="20"/>
      <c r="H230" s="36"/>
      <c r="I230" s="36"/>
      <c r="J230" s="20"/>
      <c r="K230" s="36"/>
      <c r="L230" s="22" t="str">
        <f>IF(B230="","",IF(I230="CompteCourant",IF(IF(ISNA(VLOOKUP(B230,DATA!$A$1:$A$16,1,0)),"",VLOOKUP(B230,DATA!$A$1:$A$16,1,0))="",L229+E230,L229-E230),L229))</f>
        <v/>
      </c>
      <c r="M230" s="23" t="str">
        <f>IF(B230="","",IF(I230="Coffre",IF(IF(ISNA(VLOOKUP(B230,DATA!$A$1:$A$16,1,0)),"",VLOOKUP(B230,DATA!$A$1:$A$16,1,0))="",M229+E230,M229-E230),M229))</f>
        <v/>
      </c>
      <c r="N230" s="23" t="str">
        <f>IF(B230="","",IF(I230="CompteEpargne",IF(IF(ISNA(VLOOKUP(B230,DATA!$A$1:$A$16,1,0)),"",VLOOKUP(B230,DATA!$A$1:$A$16,1,0))="",N229+E230,N229-E230),N229))</f>
        <v/>
      </c>
      <c r="O230" s="32" t="str">
        <f>IF(B230="","",IF(J230="CompteEpargne",IF(IF(ISNA(VLOOKUP(B230,DATA!$A$1:$A$16,1,0)),"",VLOOKUP(B230,DATA!$A$1:$A$16,1,0))="",O229+E230,O229-E230),O229))</f>
        <v/>
      </c>
      <c r="P230" s="22" t="str">
        <f t="shared" si="0"/>
        <v/>
      </c>
      <c r="Q230" s="32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4.25" customHeight="1" x14ac:dyDescent="0.2">
      <c r="A231" s="1"/>
      <c r="B231" s="33"/>
      <c r="C231" s="17">
        <f t="shared" si="1"/>
        <v>227</v>
      </c>
      <c r="D231" s="34"/>
      <c r="E231" s="35"/>
      <c r="F231" s="20"/>
      <c r="G231" s="20"/>
      <c r="H231" s="36"/>
      <c r="I231" s="36"/>
      <c r="J231" s="20"/>
      <c r="K231" s="36"/>
      <c r="L231" s="22" t="str">
        <f>IF(B231="","",IF(I231="CompteCourant",IF(IF(ISNA(VLOOKUP(B231,DATA!$A$1:$A$16,1,0)),"",VLOOKUP(B231,DATA!$A$1:$A$16,1,0))="",L230+E231,L230-E231),L230))</f>
        <v/>
      </c>
      <c r="M231" s="23" t="str">
        <f>IF(B231="","",IF(I231="Coffre",IF(IF(ISNA(VLOOKUP(B231,DATA!$A$1:$A$16,1,0)),"",VLOOKUP(B231,DATA!$A$1:$A$16,1,0))="",M230+E231,M230-E231),M230))</f>
        <v/>
      </c>
      <c r="N231" s="23" t="str">
        <f>IF(B231="","",IF(I231="CompteEpargne",IF(IF(ISNA(VLOOKUP(B231,DATA!$A$1:$A$16,1,0)),"",VLOOKUP(B231,DATA!$A$1:$A$16,1,0))="",N230+E231,N230-E231),N230))</f>
        <v/>
      </c>
      <c r="O231" s="32" t="str">
        <f>IF(B231="","",IF(J231="CompteEpargne",IF(IF(ISNA(VLOOKUP(B231,DATA!$A$1:$A$16,1,0)),"",VLOOKUP(B231,DATA!$A$1:$A$16,1,0))="",O230+E231,O230-E231),O230))</f>
        <v/>
      </c>
      <c r="P231" s="22" t="str">
        <f t="shared" si="0"/>
        <v/>
      </c>
      <c r="Q231" s="32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4.25" customHeight="1" x14ac:dyDescent="0.2">
      <c r="A232" s="1"/>
      <c r="B232" s="33"/>
      <c r="C232" s="17">
        <f t="shared" si="1"/>
        <v>228</v>
      </c>
      <c r="D232" s="34"/>
      <c r="E232" s="35"/>
      <c r="F232" s="20"/>
      <c r="G232" s="20"/>
      <c r="H232" s="36"/>
      <c r="I232" s="36"/>
      <c r="J232" s="20"/>
      <c r="K232" s="36"/>
      <c r="L232" s="22" t="str">
        <f>IF(B232="","",IF(I232="CompteCourant",IF(IF(ISNA(VLOOKUP(B232,DATA!$A$1:$A$16,1,0)),"",VLOOKUP(B232,DATA!$A$1:$A$16,1,0))="",L231+E232,L231-E232),L231))</f>
        <v/>
      </c>
      <c r="M232" s="23" t="str">
        <f>IF(B232="","",IF(I232="Coffre",IF(IF(ISNA(VLOOKUP(B232,DATA!$A$1:$A$16,1,0)),"",VLOOKUP(B232,DATA!$A$1:$A$16,1,0))="",M231+E232,M231-E232),M231))</f>
        <v/>
      </c>
      <c r="N232" s="23" t="str">
        <f>IF(B232="","",IF(I232="CompteEpargne",IF(IF(ISNA(VLOOKUP(B232,DATA!$A$1:$A$16,1,0)),"",VLOOKUP(B232,DATA!$A$1:$A$16,1,0))="",N231+E232,N231-E232),N231))</f>
        <v/>
      </c>
      <c r="O232" s="32" t="str">
        <f>IF(B232="","",IF(J232="CompteEpargne",IF(IF(ISNA(VLOOKUP(B232,DATA!$A$1:$A$16,1,0)),"",VLOOKUP(B232,DATA!$A$1:$A$16,1,0))="",O231+E232,O231-E232),O231))</f>
        <v/>
      </c>
      <c r="P232" s="22" t="str">
        <f t="shared" si="0"/>
        <v/>
      </c>
      <c r="Q232" s="32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4.25" customHeight="1" x14ac:dyDescent="0.2">
      <c r="A233" s="1"/>
      <c r="B233" s="33"/>
      <c r="C233" s="17">
        <f t="shared" si="1"/>
        <v>229</v>
      </c>
      <c r="D233" s="34"/>
      <c r="E233" s="35"/>
      <c r="F233" s="20"/>
      <c r="G233" s="20"/>
      <c r="H233" s="36"/>
      <c r="I233" s="36"/>
      <c r="J233" s="20"/>
      <c r="K233" s="36"/>
      <c r="L233" s="22" t="str">
        <f>IF(B233="","",IF(I233="CompteCourant",IF(IF(ISNA(VLOOKUP(B233,DATA!$A$1:$A$16,1,0)),"",VLOOKUP(B233,DATA!$A$1:$A$16,1,0))="",L232+E233,L232-E233),L232))</f>
        <v/>
      </c>
      <c r="M233" s="23" t="str">
        <f>IF(B233="","",IF(I233="Coffre",IF(IF(ISNA(VLOOKUP(B233,DATA!$A$1:$A$16,1,0)),"",VLOOKUP(B233,DATA!$A$1:$A$16,1,0))="",M232+E233,M232-E233),M232))</f>
        <v/>
      </c>
      <c r="N233" s="23" t="str">
        <f>IF(B233="","",IF(I233="CompteEpargne",IF(IF(ISNA(VLOOKUP(B233,DATA!$A$1:$A$16,1,0)),"",VLOOKUP(B233,DATA!$A$1:$A$16,1,0))="",N232+E233,N232-E233),N232))</f>
        <v/>
      </c>
      <c r="O233" s="32" t="str">
        <f>IF(B233="","",IF(J233="CompteEpargne",IF(IF(ISNA(VLOOKUP(B233,DATA!$A$1:$A$16,1,0)),"",VLOOKUP(B233,DATA!$A$1:$A$16,1,0))="",O232+E233,O232-E233),O232))</f>
        <v/>
      </c>
      <c r="P233" s="22" t="str">
        <f t="shared" si="0"/>
        <v/>
      </c>
      <c r="Q233" s="32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4.25" customHeight="1" x14ac:dyDescent="0.2">
      <c r="A234" s="1"/>
      <c r="B234" s="33"/>
      <c r="C234" s="17">
        <f t="shared" si="1"/>
        <v>230</v>
      </c>
      <c r="D234" s="34"/>
      <c r="E234" s="35"/>
      <c r="F234" s="20"/>
      <c r="G234" s="20"/>
      <c r="H234" s="36"/>
      <c r="I234" s="36"/>
      <c r="J234" s="20"/>
      <c r="K234" s="36"/>
      <c r="L234" s="22" t="str">
        <f>IF(B234="","",IF(I234="CompteCourant",IF(IF(ISNA(VLOOKUP(B234,DATA!$A$1:$A$16,1,0)),"",VLOOKUP(B234,DATA!$A$1:$A$16,1,0))="",L233+E234,L233-E234),L233))</f>
        <v/>
      </c>
      <c r="M234" s="23" t="str">
        <f>IF(B234="","",IF(I234="Coffre",IF(IF(ISNA(VLOOKUP(B234,DATA!$A$1:$A$16,1,0)),"",VLOOKUP(B234,DATA!$A$1:$A$16,1,0))="",M233+E234,M233-E234),M233))</f>
        <v/>
      </c>
      <c r="N234" s="23" t="str">
        <f>IF(B234="","",IF(I234="CompteEpargne",IF(IF(ISNA(VLOOKUP(B234,DATA!$A$1:$A$16,1,0)),"",VLOOKUP(B234,DATA!$A$1:$A$16,1,0))="",N233+E234,N233-E234),N233))</f>
        <v/>
      </c>
      <c r="O234" s="32" t="str">
        <f>IF(B234="","",IF(J234="CompteEpargne",IF(IF(ISNA(VLOOKUP(B234,DATA!$A$1:$A$16,1,0)),"",VLOOKUP(B234,DATA!$A$1:$A$16,1,0))="",O233+E234,O233-E234),O233))</f>
        <v/>
      </c>
      <c r="P234" s="22" t="str">
        <f t="shared" si="0"/>
        <v/>
      </c>
      <c r="Q234" s="32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4.25" customHeight="1" x14ac:dyDescent="0.2">
      <c r="A235" s="1"/>
      <c r="B235" s="33"/>
      <c r="C235" s="17">
        <f t="shared" si="1"/>
        <v>231</v>
      </c>
      <c r="D235" s="34"/>
      <c r="E235" s="35"/>
      <c r="F235" s="20"/>
      <c r="G235" s="20"/>
      <c r="H235" s="36"/>
      <c r="I235" s="36"/>
      <c r="J235" s="20"/>
      <c r="K235" s="36"/>
      <c r="L235" s="22" t="str">
        <f>IF(B235="","",IF(I235="CompteCourant",IF(IF(ISNA(VLOOKUP(B235,DATA!$A$1:$A$16,1,0)),"",VLOOKUP(B235,DATA!$A$1:$A$16,1,0))="",L234+E235,L234-E235),L234))</f>
        <v/>
      </c>
      <c r="M235" s="23" t="str">
        <f>IF(B235="","",IF(I235="Coffre",IF(IF(ISNA(VLOOKUP(B235,DATA!$A$1:$A$16,1,0)),"",VLOOKUP(B235,DATA!$A$1:$A$16,1,0))="",M234+E235,M234-E235),M234))</f>
        <v/>
      </c>
      <c r="N235" s="23" t="str">
        <f>IF(B235="","",IF(I235="CompteEpargne",IF(IF(ISNA(VLOOKUP(B235,DATA!$A$1:$A$16,1,0)),"",VLOOKUP(B235,DATA!$A$1:$A$16,1,0))="",N234+E235,N234-E235),N234))</f>
        <v/>
      </c>
      <c r="O235" s="32" t="str">
        <f>IF(B235="","",IF(J235="CompteEpargne",IF(IF(ISNA(VLOOKUP(B235,DATA!$A$1:$A$16,1,0)),"",VLOOKUP(B235,DATA!$A$1:$A$16,1,0))="",O234+E235,O234-E235),O234))</f>
        <v/>
      </c>
      <c r="P235" s="22" t="str">
        <f t="shared" si="0"/>
        <v/>
      </c>
      <c r="Q235" s="32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4.25" customHeight="1" x14ac:dyDescent="0.2">
      <c r="A236" s="1"/>
      <c r="B236" s="33"/>
      <c r="C236" s="17">
        <f t="shared" si="1"/>
        <v>232</v>
      </c>
      <c r="D236" s="34"/>
      <c r="E236" s="35"/>
      <c r="F236" s="20"/>
      <c r="G236" s="20"/>
      <c r="H236" s="36"/>
      <c r="I236" s="36"/>
      <c r="J236" s="20"/>
      <c r="K236" s="36"/>
      <c r="L236" s="22" t="str">
        <f>IF(B236="","",IF(I236="CompteCourant",IF(IF(ISNA(VLOOKUP(B236,DATA!$A$1:$A$16,1,0)),"",VLOOKUP(B236,DATA!$A$1:$A$16,1,0))="",L235+E236,L235-E236),L235))</f>
        <v/>
      </c>
      <c r="M236" s="23" t="str">
        <f>IF(B236="","",IF(I236="Coffre",IF(IF(ISNA(VLOOKUP(B236,DATA!$A$1:$A$16,1,0)),"",VLOOKUP(B236,DATA!$A$1:$A$16,1,0))="",M235+E236,M235-E236),M235))</f>
        <v/>
      </c>
      <c r="N236" s="23" t="str">
        <f>IF(B236="","",IF(I236="CompteEpargne",IF(IF(ISNA(VLOOKUP(B236,DATA!$A$1:$A$16,1,0)),"",VLOOKUP(B236,DATA!$A$1:$A$16,1,0))="",N235+E236,N235-E236),N235))</f>
        <v/>
      </c>
      <c r="O236" s="32" t="str">
        <f>IF(B236="","",IF(J236="CompteEpargne",IF(IF(ISNA(VLOOKUP(B236,DATA!$A$1:$A$16,1,0)),"",VLOOKUP(B236,DATA!$A$1:$A$16,1,0))="",O235+E236,O235-E236),O235))</f>
        <v/>
      </c>
      <c r="P236" s="22" t="str">
        <f t="shared" si="0"/>
        <v/>
      </c>
      <c r="Q236" s="32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4.25" customHeight="1" x14ac:dyDescent="0.2">
      <c r="A237" s="1"/>
      <c r="B237" s="33"/>
      <c r="C237" s="17">
        <f t="shared" si="1"/>
        <v>233</v>
      </c>
      <c r="D237" s="34"/>
      <c r="E237" s="35"/>
      <c r="F237" s="20"/>
      <c r="G237" s="20"/>
      <c r="H237" s="36"/>
      <c r="I237" s="36"/>
      <c r="J237" s="20"/>
      <c r="K237" s="36"/>
      <c r="L237" s="22" t="str">
        <f>IF(B237="","",IF(I237="CompteCourant",IF(IF(ISNA(VLOOKUP(B237,DATA!$A$1:$A$16,1,0)),"",VLOOKUP(B237,DATA!$A$1:$A$16,1,0))="",L236+E237,L236-E237),L236))</f>
        <v/>
      </c>
      <c r="M237" s="23" t="str">
        <f>IF(B237="","",IF(I237="Coffre",IF(IF(ISNA(VLOOKUP(B237,DATA!$A$1:$A$16,1,0)),"",VLOOKUP(B237,DATA!$A$1:$A$16,1,0))="",M236+E237,M236-E237),M236))</f>
        <v/>
      </c>
      <c r="N237" s="23" t="str">
        <f>IF(B237="","",IF(I237="CompteEpargne",IF(IF(ISNA(VLOOKUP(B237,DATA!$A$1:$A$16,1,0)),"",VLOOKUP(B237,DATA!$A$1:$A$16,1,0))="",N236+E237,N236-E237),N236))</f>
        <v/>
      </c>
      <c r="O237" s="32" t="str">
        <f>IF(B237="","",IF(J237="CompteEpargne",IF(IF(ISNA(VLOOKUP(B237,DATA!$A$1:$A$16,1,0)),"",VLOOKUP(B237,DATA!$A$1:$A$16,1,0))="",O236+E237,O236-E237),O236))</f>
        <v/>
      </c>
      <c r="P237" s="22" t="str">
        <f t="shared" si="0"/>
        <v/>
      </c>
      <c r="Q237" s="32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4.25" customHeight="1" x14ac:dyDescent="0.2">
      <c r="A238" s="1"/>
      <c r="B238" s="33"/>
      <c r="C238" s="17">
        <f t="shared" si="1"/>
        <v>234</v>
      </c>
      <c r="D238" s="34"/>
      <c r="E238" s="35"/>
      <c r="F238" s="20"/>
      <c r="G238" s="20"/>
      <c r="H238" s="36"/>
      <c r="I238" s="36"/>
      <c r="J238" s="20"/>
      <c r="K238" s="36"/>
      <c r="L238" s="22" t="str">
        <f>IF(B238="","",IF(I238="CompteCourant",IF(IF(ISNA(VLOOKUP(B238,DATA!$A$1:$A$16,1,0)),"",VLOOKUP(B238,DATA!$A$1:$A$16,1,0))="",L237+E238,L237-E238),L237))</f>
        <v/>
      </c>
      <c r="M238" s="23" t="str">
        <f>IF(B238="","",IF(I238="Coffre",IF(IF(ISNA(VLOOKUP(B238,DATA!$A$1:$A$16,1,0)),"",VLOOKUP(B238,DATA!$A$1:$A$16,1,0))="",M237+E238,M237-E238),M237))</f>
        <v/>
      </c>
      <c r="N238" s="23" t="str">
        <f>IF(B238="","",IF(I238="CompteEpargne",IF(IF(ISNA(VLOOKUP(B238,DATA!$A$1:$A$16,1,0)),"",VLOOKUP(B238,DATA!$A$1:$A$16,1,0))="",N237+E238,N237-E238),N237))</f>
        <v/>
      </c>
      <c r="O238" s="32" t="str">
        <f>IF(B238="","",IF(J238="CompteEpargne",IF(IF(ISNA(VLOOKUP(B238,DATA!$A$1:$A$16,1,0)),"",VLOOKUP(B238,DATA!$A$1:$A$16,1,0))="",O237+E238,O237-E238),O237))</f>
        <v/>
      </c>
      <c r="P238" s="22" t="str">
        <f t="shared" si="0"/>
        <v/>
      </c>
      <c r="Q238" s="32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4.25" customHeight="1" x14ac:dyDescent="0.2">
      <c r="A239" s="1"/>
      <c r="B239" s="33"/>
      <c r="C239" s="17">
        <f t="shared" si="1"/>
        <v>235</v>
      </c>
      <c r="D239" s="34"/>
      <c r="E239" s="35"/>
      <c r="F239" s="20"/>
      <c r="G239" s="20"/>
      <c r="H239" s="36"/>
      <c r="I239" s="36"/>
      <c r="J239" s="20"/>
      <c r="K239" s="36"/>
      <c r="L239" s="22" t="str">
        <f>IF(B239="","",IF(I239="CompteCourant",IF(IF(ISNA(VLOOKUP(B239,DATA!$A$1:$A$16,1,0)),"",VLOOKUP(B239,DATA!$A$1:$A$16,1,0))="",L238+E239,L238-E239),L238))</f>
        <v/>
      </c>
      <c r="M239" s="23" t="str">
        <f>IF(B239="","",IF(I239="Coffre",IF(IF(ISNA(VLOOKUP(B239,DATA!$A$1:$A$16,1,0)),"",VLOOKUP(B239,DATA!$A$1:$A$16,1,0))="",M238+E239,M238-E239),M238))</f>
        <v/>
      </c>
      <c r="N239" s="23" t="str">
        <f>IF(B239="","",IF(I239="CompteEpargne",IF(IF(ISNA(VLOOKUP(B239,DATA!$A$1:$A$16,1,0)),"",VLOOKUP(B239,DATA!$A$1:$A$16,1,0))="",N238+E239,N238-E239),N238))</f>
        <v/>
      </c>
      <c r="O239" s="32" t="str">
        <f>IF(B239="","",IF(J239="CompteEpargne",IF(IF(ISNA(VLOOKUP(B239,DATA!$A$1:$A$16,1,0)),"",VLOOKUP(B239,DATA!$A$1:$A$16,1,0))="",O238+E239,O238-E239),O238))</f>
        <v/>
      </c>
      <c r="P239" s="22" t="str">
        <f t="shared" si="0"/>
        <v/>
      </c>
      <c r="Q239" s="32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4.25" customHeight="1" x14ac:dyDescent="0.2">
      <c r="A240" s="1"/>
      <c r="B240" s="33"/>
      <c r="C240" s="17">
        <f t="shared" si="1"/>
        <v>236</v>
      </c>
      <c r="D240" s="34"/>
      <c r="E240" s="35"/>
      <c r="F240" s="20"/>
      <c r="G240" s="20"/>
      <c r="H240" s="36"/>
      <c r="I240" s="36"/>
      <c r="J240" s="20"/>
      <c r="K240" s="36"/>
      <c r="L240" s="22" t="str">
        <f>IF(B240="","",IF(I240="CompteCourant",IF(IF(ISNA(VLOOKUP(B240,DATA!$A$1:$A$16,1,0)),"",VLOOKUP(B240,DATA!$A$1:$A$16,1,0))="",L239+E240,L239-E240),L239))</f>
        <v/>
      </c>
      <c r="M240" s="23" t="str">
        <f>IF(B240="","",IF(I240="Coffre",IF(IF(ISNA(VLOOKUP(B240,DATA!$A$1:$A$16,1,0)),"",VLOOKUP(B240,DATA!$A$1:$A$16,1,0))="",M239+E240,M239-E240),M239))</f>
        <v/>
      </c>
      <c r="N240" s="23" t="str">
        <f>IF(B240="","",IF(I240="CompteEpargne",IF(IF(ISNA(VLOOKUP(B240,DATA!$A$1:$A$16,1,0)),"",VLOOKUP(B240,DATA!$A$1:$A$16,1,0))="",N239+E240,N239-E240),N239))</f>
        <v/>
      </c>
      <c r="O240" s="32" t="str">
        <f>IF(B240="","",IF(J240="CompteEpargne",IF(IF(ISNA(VLOOKUP(B240,DATA!$A$1:$A$16,1,0)),"",VLOOKUP(B240,DATA!$A$1:$A$16,1,0))="",O239+E240,O239-E240),O239))</f>
        <v/>
      </c>
      <c r="P240" s="22" t="str">
        <f t="shared" si="0"/>
        <v/>
      </c>
      <c r="Q240" s="32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4.25" customHeight="1" x14ac:dyDescent="0.2">
      <c r="A241" s="1"/>
      <c r="B241" s="33"/>
      <c r="C241" s="17">
        <f t="shared" si="1"/>
        <v>237</v>
      </c>
      <c r="D241" s="34"/>
      <c r="E241" s="35"/>
      <c r="F241" s="20"/>
      <c r="G241" s="20"/>
      <c r="H241" s="36"/>
      <c r="I241" s="36"/>
      <c r="J241" s="20"/>
      <c r="K241" s="36"/>
      <c r="L241" s="22" t="str">
        <f>IF(B241="","",IF(I241="CompteCourant",IF(IF(ISNA(VLOOKUP(B241,DATA!$A$1:$A$16,1,0)),"",VLOOKUP(B241,DATA!$A$1:$A$16,1,0))="",L240+E241,L240-E241),L240))</f>
        <v/>
      </c>
      <c r="M241" s="23" t="str">
        <f>IF(B241="","",IF(I241="Coffre",IF(IF(ISNA(VLOOKUP(B241,DATA!$A$1:$A$16,1,0)),"",VLOOKUP(B241,DATA!$A$1:$A$16,1,0))="",M240+E241,M240-E241),M240))</f>
        <v/>
      </c>
      <c r="N241" s="23" t="str">
        <f>IF(B241="","",IF(I241="CompteEpargne",IF(IF(ISNA(VLOOKUP(B241,DATA!$A$1:$A$16,1,0)),"",VLOOKUP(B241,DATA!$A$1:$A$16,1,0))="",N240+E241,N240-E241),N240))</f>
        <v/>
      </c>
      <c r="O241" s="32" t="str">
        <f>IF(B241="","",IF(J241="CompteEpargne",IF(IF(ISNA(VLOOKUP(B241,DATA!$A$1:$A$16,1,0)),"",VLOOKUP(B241,DATA!$A$1:$A$16,1,0))="",O240+E241,O240-E241),O240))</f>
        <v/>
      </c>
      <c r="P241" s="22" t="str">
        <f t="shared" si="0"/>
        <v/>
      </c>
      <c r="Q241" s="32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4.25" customHeight="1" x14ac:dyDescent="0.2">
      <c r="A242" s="1"/>
      <c r="B242" s="33"/>
      <c r="C242" s="17">
        <f t="shared" si="1"/>
        <v>238</v>
      </c>
      <c r="D242" s="34"/>
      <c r="E242" s="35"/>
      <c r="F242" s="20"/>
      <c r="G242" s="20"/>
      <c r="H242" s="36"/>
      <c r="I242" s="36"/>
      <c r="J242" s="20"/>
      <c r="K242" s="36"/>
      <c r="L242" s="22" t="str">
        <f>IF(B242="","",IF(I242="CompteCourant",IF(IF(ISNA(VLOOKUP(B242,DATA!$A$1:$A$16,1,0)),"",VLOOKUP(B242,DATA!$A$1:$A$16,1,0))="",L241+E242,L241-E242),L241))</f>
        <v/>
      </c>
      <c r="M242" s="23" t="str">
        <f>IF(B242="","",IF(I242="Coffre",IF(IF(ISNA(VLOOKUP(B242,DATA!$A$1:$A$16,1,0)),"",VLOOKUP(B242,DATA!$A$1:$A$16,1,0))="",M241+E242,M241-E242),M241))</f>
        <v/>
      </c>
      <c r="N242" s="23" t="str">
        <f>IF(B242="","",IF(I242="CompteEpargne",IF(IF(ISNA(VLOOKUP(B242,DATA!$A$1:$A$16,1,0)),"",VLOOKUP(B242,DATA!$A$1:$A$16,1,0))="",N241+E242,N241-E242),N241))</f>
        <v/>
      </c>
      <c r="O242" s="32" t="str">
        <f>IF(B242="","",IF(J242="CompteEpargne",IF(IF(ISNA(VLOOKUP(B242,DATA!$A$1:$A$16,1,0)),"",VLOOKUP(B242,DATA!$A$1:$A$16,1,0))="",O241+E242,O241-E242),O241))</f>
        <v/>
      </c>
      <c r="P242" s="22" t="str">
        <f t="shared" si="0"/>
        <v/>
      </c>
      <c r="Q242" s="32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4.25" customHeight="1" x14ac:dyDescent="0.2">
      <c r="A243" s="1"/>
      <c r="B243" s="33"/>
      <c r="C243" s="17">
        <f t="shared" si="1"/>
        <v>239</v>
      </c>
      <c r="D243" s="34"/>
      <c r="E243" s="35"/>
      <c r="F243" s="20"/>
      <c r="G243" s="20"/>
      <c r="H243" s="36"/>
      <c r="I243" s="36"/>
      <c r="J243" s="20"/>
      <c r="K243" s="36"/>
      <c r="L243" s="22" t="str">
        <f>IF(B243="","",IF(I243="CompteCourant",IF(IF(ISNA(VLOOKUP(B243,DATA!$A$1:$A$16,1,0)),"",VLOOKUP(B243,DATA!$A$1:$A$16,1,0))="",L242+E243,L242-E243),L242))</f>
        <v/>
      </c>
      <c r="M243" s="23" t="str">
        <f>IF(B243="","",IF(I243="Coffre",IF(IF(ISNA(VLOOKUP(B243,DATA!$A$1:$A$16,1,0)),"",VLOOKUP(B243,DATA!$A$1:$A$16,1,0))="",M242+E243,M242-E243),M242))</f>
        <v/>
      </c>
      <c r="N243" s="23" t="str">
        <f>IF(B243="","",IF(I243="CompteEpargne",IF(IF(ISNA(VLOOKUP(B243,DATA!$A$1:$A$16,1,0)),"",VLOOKUP(B243,DATA!$A$1:$A$16,1,0))="",N242+E243,N242-E243),N242))</f>
        <v/>
      </c>
      <c r="O243" s="32" t="str">
        <f>IF(B243="","",IF(J243="CompteEpargne",IF(IF(ISNA(VLOOKUP(B243,DATA!$A$1:$A$16,1,0)),"",VLOOKUP(B243,DATA!$A$1:$A$16,1,0))="",O242+E243,O242-E243),O242))</f>
        <v/>
      </c>
      <c r="P243" s="22" t="str">
        <f t="shared" si="0"/>
        <v/>
      </c>
      <c r="Q243" s="32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4.25" customHeight="1" x14ac:dyDescent="0.2">
      <c r="A244" s="1"/>
      <c r="B244" s="33"/>
      <c r="C244" s="17">
        <f t="shared" si="1"/>
        <v>240</v>
      </c>
      <c r="D244" s="34"/>
      <c r="E244" s="35"/>
      <c r="F244" s="20"/>
      <c r="G244" s="20"/>
      <c r="H244" s="36"/>
      <c r="I244" s="36"/>
      <c r="J244" s="20"/>
      <c r="K244" s="36"/>
      <c r="L244" s="22" t="str">
        <f>IF(B244="","",IF(I244="CompteCourant",IF(IF(ISNA(VLOOKUP(B244,DATA!$A$1:$A$16,1,0)),"",VLOOKUP(B244,DATA!$A$1:$A$16,1,0))="",L243+E244,L243-E244),L243))</f>
        <v/>
      </c>
      <c r="M244" s="23" t="str">
        <f>IF(B244="","",IF(I244="Coffre",IF(IF(ISNA(VLOOKUP(B244,DATA!$A$1:$A$16,1,0)),"",VLOOKUP(B244,DATA!$A$1:$A$16,1,0))="",M243+E244,M243-E244),M243))</f>
        <v/>
      </c>
      <c r="N244" s="23" t="str">
        <f>IF(B244="","",IF(I244="CompteEpargne",IF(IF(ISNA(VLOOKUP(B244,DATA!$A$1:$A$16,1,0)),"",VLOOKUP(B244,DATA!$A$1:$A$16,1,0))="",N243+E244,N243-E244),N243))</f>
        <v/>
      </c>
      <c r="O244" s="32" t="str">
        <f>IF(B244="","",IF(J244="CompteEpargne",IF(IF(ISNA(VLOOKUP(B244,DATA!$A$1:$A$16,1,0)),"",VLOOKUP(B244,DATA!$A$1:$A$16,1,0))="",O243+E244,O243-E244),O243))</f>
        <v/>
      </c>
      <c r="P244" s="22" t="str">
        <f t="shared" si="0"/>
        <v/>
      </c>
      <c r="Q244" s="32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4.25" customHeight="1" x14ac:dyDescent="0.2">
      <c r="A245" s="1"/>
      <c r="B245" s="33"/>
      <c r="C245" s="17">
        <f t="shared" si="1"/>
        <v>241</v>
      </c>
      <c r="D245" s="34"/>
      <c r="E245" s="35"/>
      <c r="F245" s="20"/>
      <c r="G245" s="20"/>
      <c r="H245" s="36"/>
      <c r="I245" s="36"/>
      <c r="J245" s="20"/>
      <c r="K245" s="36"/>
      <c r="L245" s="22" t="str">
        <f>IF(B245="","",IF(I245="CompteCourant",IF(IF(ISNA(VLOOKUP(B245,DATA!$A$1:$A$16,1,0)),"",VLOOKUP(B245,DATA!$A$1:$A$16,1,0))="",L244+E245,L244-E245),L244))</f>
        <v/>
      </c>
      <c r="M245" s="23" t="str">
        <f>IF(B245="","",IF(I245="Coffre",IF(IF(ISNA(VLOOKUP(B245,DATA!$A$1:$A$16,1,0)),"",VLOOKUP(B245,DATA!$A$1:$A$16,1,0))="",M244+E245,M244-E245),M244))</f>
        <v/>
      </c>
      <c r="N245" s="23" t="str">
        <f>IF(B245="","",IF(I245="CompteEpargne",IF(IF(ISNA(VLOOKUP(B245,DATA!$A$1:$A$16,1,0)),"",VLOOKUP(B245,DATA!$A$1:$A$16,1,0))="",N244+E245,N244-E245),N244))</f>
        <v/>
      </c>
      <c r="O245" s="32" t="str">
        <f>IF(B245="","",IF(J245="CompteEpargne",IF(IF(ISNA(VLOOKUP(B245,DATA!$A$1:$A$16,1,0)),"",VLOOKUP(B245,DATA!$A$1:$A$16,1,0))="",O244+E245,O244-E245),O244))</f>
        <v/>
      </c>
      <c r="P245" s="22" t="str">
        <f t="shared" si="0"/>
        <v/>
      </c>
      <c r="Q245" s="32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4.25" customHeight="1" x14ac:dyDescent="0.2">
      <c r="A246" s="1"/>
      <c r="B246" s="33"/>
      <c r="C246" s="17">
        <f t="shared" si="1"/>
        <v>242</v>
      </c>
      <c r="D246" s="34"/>
      <c r="E246" s="35"/>
      <c r="F246" s="20"/>
      <c r="G246" s="20"/>
      <c r="H246" s="36"/>
      <c r="I246" s="36"/>
      <c r="J246" s="20"/>
      <c r="K246" s="36"/>
      <c r="L246" s="22" t="str">
        <f>IF(B246="","",IF(I246="CompteCourant",IF(IF(ISNA(VLOOKUP(B246,DATA!$A$1:$A$16,1,0)),"",VLOOKUP(B246,DATA!$A$1:$A$16,1,0))="",L245+E246,L245-E246),L245))</f>
        <v/>
      </c>
      <c r="M246" s="23" t="str">
        <f>IF(B246="","",IF(I246="Coffre",IF(IF(ISNA(VLOOKUP(B246,DATA!$A$1:$A$16,1,0)),"",VLOOKUP(B246,DATA!$A$1:$A$16,1,0))="",M245+E246,M245-E246),M245))</f>
        <v/>
      </c>
      <c r="N246" s="23" t="str">
        <f>IF(B246="","",IF(I246="CompteEpargne",IF(IF(ISNA(VLOOKUP(B246,DATA!$A$1:$A$16,1,0)),"",VLOOKUP(B246,DATA!$A$1:$A$16,1,0))="",N245+E246,N245-E246),N245))</f>
        <v/>
      </c>
      <c r="O246" s="32" t="str">
        <f>IF(B246="","",IF(J246="CompteEpargne",IF(IF(ISNA(VLOOKUP(B246,DATA!$A$1:$A$16,1,0)),"",VLOOKUP(B246,DATA!$A$1:$A$16,1,0))="",O245+E246,O245-E246),O245))</f>
        <v/>
      </c>
      <c r="P246" s="22" t="str">
        <f t="shared" si="0"/>
        <v/>
      </c>
      <c r="Q246" s="32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4.25" customHeight="1" x14ac:dyDescent="0.2">
      <c r="A247" s="1"/>
      <c r="B247" s="33"/>
      <c r="C247" s="17">
        <f t="shared" si="1"/>
        <v>243</v>
      </c>
      <c r="D247" s="34"/>
      <c r="E247" s="35"/>
      <c r="F247" s="20"/>
      <c r="G247" s="20"/>
      <c r="H247" s="36"/>
      <c r="I247" s="36"/>
      <c r="J247" s="20"/>
      <c r="K247" s="36"/>
      <c r="L247" s="22" t="str">
        <f>IF(B247="","",IF(I247="CompteCourant",IF(IF(ISNA(VLOOKUP(B247,DATA!$A$1:$A$16,1,0)),"",VLOOKUP(B247,DATA!$A$1:$A$16,1,0))="",L246+E247,L246-E247),L246))</f>
        <v/>
      </c>
      <c r="M247" s="23" t="str">
        <f>IF(B247="","",IF(I247="Coffre",IF(IF(ISNA(VLOOKUP(B247,DATA!$A$1:$A$16,1,0)),"",VLOOKUP(B247,DATA!$A$1:$A$16,1,0))="",M246+E247,M246-E247),M246))</f>
        <v/>
      </c>
      <c r="N247" s="23" t="str">
        <f>IF(B247="","",IF(I247="CompteEpargne",IF(IF(ISNA(VLOOKUP(B247,DATA!$A$1:$A$16,1,0)),"",VLOOKUP(B247,DATA!$A$1:$A$16,1,0))="",N246+E247,N246-E247),N246))</f>
        <v/>
      </c>
      <c r="O247" s="32" t="str">
        <f>IF(B247="","",IF(J247="CompteEpargne",IF(IF(ISNA(VLOOKUP(B247,DATA!$A$1:$A$16,1,0)),"",VLOOKUP(B247,DATA!$A$1:$A$16,1,0))="",O246+E247,O246-E247),O246))</f>
        <v/>
      </c>
      <c r="P247" s="22" t="str">
        <f t="shared" si="0"/>
        <v/>
      </c>
      <c r="Q247" s="32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4.25" customHeight="1" x14ac:dyDescent="0.2">
      <c r="A248" s="1"/>
      <c r="B248" s="33"/>
      <c r="C248" s="17">
        <f t="shared" si="1"/>
        <v>244</v>
      </c>
      <c r="D248" s="34"/>
      <c r="E248" s="35"/>
      <c r="F248" s="20"/>
      <c r="G248" s="20"/>
      <c r="H248" s="36"/>
      <c r="I248" s="36"/>
      <c r="J248" s="20"/>
      <c r="K248" s="36"/>
      <c r="L248" s="22" t="str">
        <f>IF(B248="","",IF(I248="CompteCourant",IF(IF(ISNA(VLOOKUP(B248,DATA!$A$1:$A$16,1,0)),"",VLOOKUP(B248,DATA!$A$1:$A$16,1,0))="",L247+E248,L247-E248),L247))</f>
        <v/>
      </c>
      <c r="M248" s="23" t="str">
        <f>IF(B248="","",IF(I248="Coffre",IF(IF(ISNA(VLOOKUP(B248,DATA!$A$1:$A$16,1,0)),"",VLOOKUP(B248,DATA!$A$1:$A$16,1,0))="",M247+E248,M247-E248),M247))</f>
        <v/>
      </c>
      <c r="N248" s="23" t="str">
        <f>IF(B248="","",IF(I248="CompteEpargne",IF(IF(ISNA(VLOOKUP(B248,DATA!$A$1:$A$16,1,0)),"",VLOOKUP(B248,DATA!$A$1:$A$16,1,0))="",N247+E248,N247-E248),N247))</f>
        <v/>
      </c>
      <c r="O248" s="32" t="str">
        <f>IF(B248="","",IF(J248="CompteEpargne",IF(IF(ISNA(VLOOKUP(B248,DATA!$A$1:$A$16,1,0)),"",VLOOKUP(B248,DATA!$A$1:$A$16,1,0))="",O247+E248,O247-E248),O247))</f>
        <v/>
      </c>
      <c r="P248" s="22" t="str">
        <f t="shared" si="0"/>
        <v/>
      </c>
      <c r="Q248" s="32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4.25" customHeight="1" x14ac:dyDescent="0.2">
      <c r="A249" s="1"/>
      <c r="B249" s="33"/>
      <c r="C249" s="17">
        <f t="shared" si="1"/>
        <v>245</v>
      </c>
      <c r="D249" s="34"/>
      <c r="E249" s="35"/>
      <c r="F249" s="20"/>
      <c r="G249" s="20"/>
      <c r="H249" s="36"/>
      <c r="I249" s="36"/>
      <c r="J249" s="20"/>
      <c r="K249" s="36"/>
      <c r="L249" s="22" t="str">
        <f>IF(B249="","",IF(I249="CompteCourant",IF(IF(ISNA(VLOOKUP(B249,DATA!$A$1:$A$16,1,0)),"",VLOOKUP(B249,DATA!$A$1:$A$16,1,0))="",L248+E249,L248-E249),L248))</f>
        <v/>
      </c>
      <c r="M249" s="23" t="str">
        <f>IF(B249="","",IF(I249="Coffre",IF(IF(ISNA(VLOOKUP(B249,DATA!$A$1:$A$16,1,0)),"",VLOOKUP(B249,DATA!$A$1:$A$16,1,0))="",M248+E249,M248-E249),M248))</f>
        <v/>
      </c>
      <c r="N249" s="23" t="str">
        <f>IF(B249="","",IF(I249="CompteEpargne",IF(IF(ISNA(VLOOKUP(B249,DATA!$A$1:$A$16,1,0)),"",VLOOKUP(B249,DATA!$A$1:$A$16,1,0))="",N248+E249,N248-E249),N248))</f>
        <v/>
      </c>
      <c r="O249" s="32" t="str">
        <f>IF(B249="","",IF(J249="CompteEpargne",IF(IF(ISNA(VLOOKUP(B249,DATA!$A$1:$A$16,1,0)),"",VLOOKUP(B249,DATA!$A$1:$A$16,1,0))="",O248+E249,O248-E249),O248))</f>
        <v/>
      </c>
      <c r="P249" s="22" t="str">
        <f t="shared" si="0"/>
        <v/>
      </c>
      <c r="Q249" s="32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4.25" customHeight="1" x14ac:dyDescent="0.2">
      <c r="A250" s="1"/>
      <c r="B250" s="33"/>
      <c r="C250" s="17">
        <f t="shared" si="1"/>
        <v>246</v>
      </c>
      <c r="D250" s="34"/>
      <c r="E250" s="35"/>
      <c r="F250" s="20"/>
      <c r="G250" s="20"/>
      <c r="H250" s="36"/>
      <c r="I250" s="36"/>
      <c r="J250" s="20"/>
      <c r="K250" s="36"/>
      <c r="L250" s="22" t="str">
        <f>IF(B250="","",IF(I250="CompteCourant",IF(IF(ISNA(VLOOKUP(B250,DATA!$A$1:$A$16,1,0)),"",VLOOKUP(B250,DATA!$A$1:$A$16,1,0))="",L249+E250,L249-E250),L249))</f>
        <v/>
      </c>
      <c r="M250" s="23" t="str">
        <f>IF(B250="","",IF(I250="Coffre",IF(IF(ISNA(VLOOKUP(B250,DATA!$A$1:$A$16,1,0)),"",VLOOKUP(B250,DATA!$A$1:$A$16,1,0))="",M249+E250,M249-E250),M249))</f>
        <v/>
      </c>
      <c r="N250" s="23" t="str">
        <f>IF(B250="","",IF(I250="CompteEpargne",IF(IF(ISNA(VLOOKUP(B250,DATA!$A$1:$A$16,1,0)),"",VLOOKUP(B250,DATA!$A$1:$A$16,1,0))="",N249+E250,N249-E250),N249))</f>
        <v/>
      </c>
      <c r="O250" s="32" t="str">
        <f>IF(B250="","",IF(J250="CompteEpargne",IF(IF(ISNA(VLOOKUP(B250,DATA!$A$1:$A$16,1,0)),"",VLOOKUP(B250,DATA!$A$1:$A$16,1,0))="",O249+E250,O249-E250),O249))</f>
        <v/>
      </c>
      <c r="P250" s="22" t="str">
        <f t="shared" si="0"/>
        <v/>
      </c>
      <c r="Q250" s="32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4.25" customHeight="1" x14ac:dyDescent="0.2">
      <c r="A251" s="1"/>
      <c r="B251" s="33"/>
      <c r="C251" s="17">
        <f t="shared" si="1"/>
        <v>247</v>
      </c>
      <c r="D251" s="34"/>
      <c r="E251" s="35"/>
      <c r="F251" s="20"/>
      <c r="G251" s="20"/>
      <c r="H251" s="36"/>
      <c r="I251" s="36"/>
      <c r="J251" s="20"/>
      <c r="K251" s="36"/>
      <c r="L251" s="22" t="str">
        <f>IF(B251="","",IF(I251="CompteCourant",IF(IF(ISNA(VLOOKUP(B251,DATA!$A$1:$A$16,1,0)),"",VLOOKUP(B251,DATA!$A$1:$A$16,1,0))="",L250+E251,L250-E251),L250))</f>
        <v/>
      </c>
      <c r="M251" s="23" t="str">
        <f>IF(B251="","",IF(I251="Coffre",IF(IF(ISNA(VLOOKUP(B251,DATA!$A$1:$A$16,1,0)),"",VLOOKUP(B251,DATA!$A$1:$A$16,1,0))="",M250+E251,M250-E251),M250))</f>
        <v/>
      </c>
      <c r="N251" s="23" t="str">
        <f>IF(B251="","",IF(I251="CompteEpargne",IF(IF(ISNA(VLOOKUP(B251,DATA!$A$1:$A$16,1,0)),"",VLOOKUP(B251,DATA!$A$1:$A$16,1,0))="",N250+E251,N250-E251),N250))</f>
        <v/>
      </c>
      <c r="O251" s="32" t="str">
        <f>IF(B251="","",IF(J251="CompteEpargne",IF(IF(ISNA(VLOOKUP(B251,DATA!$A$1:$A$16,1,0)),"",VLOOKUP(B251,DATA!$A$1:$A$16,1,0))="",O250+E251,O250-E251),O250))</f>
        <v/>
      </c>
      <c r="P251" s="22" t="str">
        <f t="shared" si="0"/>
        <v/>
      </c>
      <c r="Q251" s="32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4.25" customHeight="1" x14ac:dyDescent="0.2">
      <c r="A252" s="1"/>
      <c r="B252" s="33"/>
      <c r="C252" s="17">
        <f t="shared" si="1"/>
        <v>248</v>
      </c>
      <c r="D252" s="34"/>
      <c r="E252" s="35"/>
      <c r="F252" s="20"/>
      <c r="G252" s="20"/>
      <c r="H252" s="36"/>
      <c r="I252" s="36"/>
      <c r="J252" s="20"/>
      <c r="K252" s="36"/>
      <c r="L252" s="22" t="str">
        <f>IF(B252="","",IF(I252="CompteCourant",IF(IF(ISNA(VLOOKUP(B252,DATA!$A$1:$A$16,1,0)),"",VLOOKUP(B252,DATA!$A$1:$A$16,1,0))="",L251+E252,L251-E252),L251))</f>
        <v/>
      </c>
      <c r="M252" s="23" t="str">
        <f>IF(B252="","",IF(I252="Coffre",IF(IF(ISNA(VLOOKUP(B252,DATA!$A$1:$A$16,1,0)),"",VLOOKUP(B252,DATA!$A$1:$A$16,1,0))="",M251+E252,M251-E252),M251))</f>
        <v/>
      </c>
      <c r="N252" s="23" t="str">
        <f>IF(B252="","",IF(I252="CompteEpargne",IF(IF(ISNA(VLOOKUP(B252,DATA!$A$1:$A$16,1,0)),"",VLOOKUP(B252,DATA!$A$1:$A$16,1,0))="",N251+E252,N251-E252),N251))</f>
        <v/>
      </c>
      <c r="O252" s="32" t="str">
        <f>IF(B252="","",IF(J252="CompteEpargne",IF(IF(ISNA(VLOOKUP(B252,DATA!$A$1:$A$16,1,0)),"",VLOOKUP(B252,DATA!$A$1:$A$16,1,0))="",O251+E252,O251-E252),O251))</f>
        <v/>
      </c>
      <c r="P252" s="22" t="str">
        <f t="shared" si="0"/>
        <v/>
      </c>
      <c r="Q252" s="32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4.25" customHeight="1" x14ac:dyDescent="0.2">
      <c r="A253" s="1"/>
      <c r="B253" s="33"/>
      <c r="C253" s="17">
        <f t="shared" si="1"/>
        <v>249</v>
      </c>
      <c r="D253" s="34"/>
      <c r="E253" s="35"/>
      <c r="F253" s="20"/>
      <c r="G253" s="20"/>
      <c r="H253" s="36"/>
      <c r="I253" s="36"/>
      <c r="J253" s="20"/>
      <c r="K253" s="36"/>
      <c r="L253" s="22" t="str">
        <f>IF(B253="","",IF(I253="CompteCourant",IF(IF(ISNA(VLOOKUP(B253,DATA!$A$1:$A$16,1,0)),"",VLOOKUP(B253,DATA!$A$1:$A$16,1,0))="",L252+E253,L252-E253),L252))</f>
        <v/>
      </c>
      <c r="M253" s="23" t="str">
        <f>IF(B253="","",IF(I253="Coffre",IF(IF(ISNA(VLOOKUP(B253,DATA!$A$1:$A$16,1,0)),"",VLOOKUP(B253,DATA!$A$1:$A$16,1,0))="",M252+E253,M252-E253),M252))</f>
        <v/>
      </c>
      <c r="N253" s="23" t="str">
        <f>IF(B253="","",IF(I253="CompteEpargne",IF(IF(ISNA(VLOOKUP(B253,DATA!$A$1:$A$16,1,0)),"",VLOOKUP(B253,DATA!$A$1:$A$16,1,0))="",N252+E253,N252-E253),N252))</f>
        <v/>
      </c>
      <c r="O253" s="32" t="str">
        <f>IF(B253="","",IF(J253="CompteEpargne",IF(IF(ISNA(VLOOKUP(B253,DATA!$A$1:$A$16,1,0)),"",VLOOKUP(B253,DATA!$A$1:$A$16,1,0))="",O252+E253,O252-E253),O252))</f>
        <v/>
      </c>
      <c r="P253" s="22" t="str">
        <f t="shared" si="0"/>
        <v/>
      </c>
      <c r="Q253" s="32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4.25" customHeight="1" x14ac:dyDescent="0.2">
      <c r="A254" s="1"/>
      <c r="B254" s="33"/>
      <c r="C254" s="17">
        <f t="shared" si="1"/>
        <v>250</v>
      </c>
      <c r="D254" s="34"/>
      <c r="E254" s="35"/>
      <c r="F254" s="20"/>
      <c r="G254" s="20"/>
      <c r="H254" s="36"/>
      <c r="I254" s="36"/>
      <c r="J254" s="20"/>
      <c r="K254" s="36"/>
      <c r="L254" s="22" t="str">
        <f>IF(B254="","",IF(I254="CompteCourant",IF(IF(ISNA(VLOOKUP(B254,DATA!$A$1:$A$16,1,0)),"",VLOOKUP(B254,DATA!$A$1:$A$16,1,0))="",L253+E254,L253-E254),L253))</f>
        <v/>
      </c>
      <c r="M254" s="23" t="str">
        <f>IF(B254="","",IF(I254="Coffre",IF(IF(ISNA(VLOOKUP(B254,DATA!$A$1:$A$16,1,0)),"",VLOOKUP(B254,DATA!$A$1:$A$16,1,0))="",M253+E254,M253-E254),M253))</f>
        <v/>
      </c>
      <c r="N254" s="23" t="str">
        <f>IF(B254="","",IF(I254="CompteEpargne",IF(IF(ISNA(VLOOKUP(B254,DATA!$A$1:$A$16,1,0)),"",VLOOKUP(B254,DATA!$A$1:$A$16,1,0))="",N253+E254,N253-E254),N253))</f>
        <v/>
      </c>
      <c r="O254" s="32" t="str">
        <f>IF(B254="","",IF(J254="CompteEpargne",IF(IF(ISNA(VLOOKUP(B254,DATA!$A$1:$A$16,1,0)),"",VLOOKUP(B254,DATA!$A$1:$A$16,1,0))="",O253+E254,O253-E254),O253))</f>
        <v/>
      </c>
      <c r="P254" s="22" t="str">
        <f t="shared" si="0"/>
        <v/>
      </c>
      <c r="Q254" s="32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4.25" customHeight="1" x14ac:dyDescent="0.2">
      <c r="A255" s="1"/>
      <c r="B255" s="33"/>
      <c r="C255" s="17">
        <f t="shared" si="1"/>
        <v>251</v>
      </c>
      <c r="D255" s="34"/>
      <c r="E255" s="35"/>
      <c r="F255" s="20"/>
      <c r="G255" s="20"/>
      <c r="H255" s="36"/>
      <c r="I255" s="36"/>
      <c r="J255" s="20"/>
      <c r="K255" s="36"/>
      <c r="L255" s="22" t="str">
        <f>IF(B255="","",IF(I255="CompteCourant",IF(IF(ISNA(VLOOKUP(B255,DATA!$A$1:$A$16,1,0)),"",VLOOKUP(B255,DATA!$A$1:$A$16,1,0))="",L254+E255,L254-E255),L254))</f>
        <v/>
      </c>
      <c r="M255" s="23" t="str">
        <f>IF(B255="","",IF(I255="Coffre",IF(IF(ISNA(VLOOKUP(B255,DATA!$A$1:$A$16,1,0)),"",VLOOKUP(B255,DATA!$A$1:$A$16,1,0))="",M254+E255,M254-E255),M254))</f>
        <v/>
      </c>
      <c r="N255" s="23" t="str">
        <f>IF(B255="","",IF(I255="CompteEpargne",IF(IF(ISNA(VLOOKUP(B255,DATA!$A$1:$A$16,1,0)),"",VLOOKUP(B255,DATA!$A$1:$A$16,1,0))="",N254+E255,N254-E255),N254))</f>
        <v/>
      </c>
      <c r="O255" s="32" t="str">
        <f>IF(B255="","",IF(J255="CompteEpargne",IF(IF(ISNA(VLOOKUP(B255,DATA!$A$1:$A$16,1,0)),"",VLOOKUP(B255,DATA!$A$1:$A$16,1,0))="",O254+E255,O254-E255),O254))</f>
        <v/>
      </c>
      <c r="P255" s="22" t="str">
        <f t="shared" si="0"/>
        <v/>
      </c>
      <c r="Q255" s="32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4.25" customHeight="1" x14ac:dyDescent="0.2">
      <c r="A256" s="1"/>
      <c r="B256" s="33"/>
      <c r="C256" s="17">
        <f t="shared" si="1"/>
        <v>252</v>
      </c>
      <c r="D256" s="34"/>
      <c r="E256" s="35"/>
      <c r="F256" s="20"/>
      <c r="G256" s="20"/>
      <c r="H256" s="36"/>
      <c r="I256" s="36"/>
      <c r="J256" s="20"/>
      <c r="K256" s="36"/>
      <c r="L256" s="22" t="str">
        <f>IF(B256="","",IF(I256="CompteCourant",IF(IF(ISNA(VLOOKUP(B256,DATA!$A$1:$A$16,1,0)),"",VLOOKUP(B256,DATA!$A$1:$A$16,1,0))="",L255+E256,L255-E256),L255))</f>
        <v/>
      </c>
      <c r="M256" s="23" t="str">
        <f>IF(B256="","",IF(I256="Coffre",IF(IF(ISNA(VLOOKUP(B256,DATA!$A$1:$A$16,1,0)),"",VLOOKUP(B256,DATA!$A$1:$A$16,1,0))="",M255+E256,M255-E256),M255))</f>
        <v/>
      </c>
      <c r="N256" s="23" t="str">
        <f>IF(B256="","",IF(I256="CompteEpargne",IF(IF(ISNA(VLOOKUP(B256,DATA!$A$1:$A$16,1,0)),"",VLOOKUP(B256,DATA!$A$1:$A$16,1,0))="",N255+E256,N255-E256),N255))</f>
        <v/>
      </c>
      <c r="O256" s="32" t="str">
        <f>IF(B256="","",IF(J256="CompteEpargne",IF(IF(ISNA(VLOOKUP(B256,DATA!$A$1:$A$16,1,0)),"",VLOOKUP(B256,DATA!$A$1:$A$16,1,0))="",O255+E256,O255-E256),O255))</f>
        <v/>
      </c>
      <c r="P256" s="22" t="str">
        <f t="shared" si="0"/>
        <v/>
      </c>
      <c r="Q256" s="32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4.25" customHeight="1" x14ac:dyDescent="0.2">
      <c r="A257" s="1"/>
      <c r="B257" s="33"/>
      <c r="C257" s="17">
        <f t="shared" si="1"/>
        <v>253</v>
      </c>
      <c r="D257" s="34"/>
      <c r="E257" s="35"/>
      <c r="F257" s="20"/>
      <c r="G257" s="20"/>
      <c r="H257" s="36"/>
      <c r="I257" s="36"/>
      <c r="J257" s="20"/>
      <c r="K257" s="36"/>
      <c r="L257" s="22" t="str">
        <f>IF(B257="","",IF(I257="CompteCourant",IF(IF(ISNA(VLOOKUP(B257,DATA!$A$1:$A$16,1,0)),"",VLOOKUP(B257,DATA!$A$1:$A$16,1,0))="",L256+E257,L256-E257),L256))</f>
        <v/>
      </c>
      <c r="M257" s="23" t="str">
        <f>IF(B257="","",IF(I257="Coffre",IF(IF(ISNA(VLOOKUP(B257,DATA!$A$1:$A$16,1,0)),"",VLOOKUP(B257,DATA!$A$1:$A$16,1,0))="",M256+E257,M256-E257),M256))</f>
        <v/>
      </c>
      <c r="N257" s="23" t="str">
        <f>IF(B257="","",IF(I257="CompteEpargne",IF(IF(ISNA(VLOOKUP(B257,DATA!$A$1:$A$16,1,0)),"",VLOOKUP(B257,DATA!$A$1:$A$16,1,0))="",N256+E257,N256-E257),N256))</f>
        <v/>
      </c>
      <c r="O257" s="32" t="str">
        <f>IF(B257="","",IF(J257="CompteEpargne",IF(IF(ISNA(VLOOKUP(B257,DATA!$A$1:$A$16,1,0)),"",VLOOKUP(B257,DATA!$A$1:$A$16,1,0))="",O256+E257,O256-E257),O256))</f>
        <v/>
      </c>
      <c r="P257" s="22" t="str">
        <f t="shared" si="0"/>
        <v/>
      </c>
      <c r="Q257" s="32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4.25" customHeight="1" x14ac:dyDescent="0.2">
      <c r="A258" s="1"/>
      <c r="B258" s="33"/>
      <c r="C258" s="17">
        <f t="shared" si="1"/>
        <v>254</v>
      </c>
      <c r="D258" s="34"/>
      <c r="E258" s="35"/>
      <c r="F258" s="20"/>
      <c r="G258" s="20"/>
      <c r="H258" s="36"/>
      <c r="I258" s="36"/>
      <c r="J258" s="20"/>
      <c r="K258" s="36"/>
      <c r="L258" s="22" t="str">
        <f>IF(B258="","",IF(I258="CompteCourant",IF(IF(ISNA(VLOOKUP(B258,DATA!$A$1:$A$16,1,0)),"",VLOOKUP(B258,DATA!$A$1:$A$16,1,0))="",L257+E258,L257-E258),L257))</f>
        <v/>
      </c>
      <c r="M258" s="23" t="str">
        <f>IF(B258="","",IF(I258="Coffre",IF(IF(ISNA(VLOOKUP(B258,DATA!$A$1:$A$16,1,0)),"",VLOOKUP(B258,DATA!$A$1:$A$16,1,0))="",M257+E258,M257-E258),M257))</f>
        <v/>
      </c>
      <c r="N258" s="23" t="str">
        <f>IF(B258="","",IF(I258="CompteEpargne",IF(IF(ISNA(VLOOKUP(B258,DATA!$A$1:$A$16,1,0)),"",VLOOKUP(B258,DATA!$A$1:$A$16,1,0))="",N257+E258,N257-E258),N257))</f>
        <v/>
      </c>
      <c r="O258" s="32" t="str">
        <f>IF(B258="","",IF(J258="CompteEpargne",IF(IF(ISNA(VLOOKUP(B258,DATA!$A$1:$A$16,1,0)),"",VLOOKUP(B258,DATA!$A$1:$A$16,1,0))="",O257+E258,O257-E258),O257))</f>
        <v/>
      </c>
      <c r="P258" s="22" t="str">
        <f t="shared" si="0"/>
        <v/>
      </c>
      <c r="Q258" s="32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4.25" customHeight="1" x14ac:dyDescent="0.2">
      <c r="A259" s="1"/>
      <c r="B259" s="33"/>
      <c r="C259" s="17">
        <f t="shared" si="1"/>
        <v>255</v>
      </c>
      <c r="D259" s="34"/>
      <c r="E259" s="35"/>
      <c r="F259" s="20"/>
      <c r="G259" s="20"/>
      <c r="H259" s="36"/>
      <c r="I259" s="36"/>
      <c r="J259" s="20"/>
      <c r="K259" s="36"/>
      <c r="L259" s="22" t="str">
        <f>IF(B259="","",IF(I259="CompteCourant",IF(IF(ISNA(VLOOKUP(B259,DATA!$A$1:$A$16,1,0)),"",VLOOKUP(B259,DATA!$A$1:$A$16,1,0))="",L258+E259,L258-E259),L258))</f>
        <v/>
      </c>
      <c r="M259" s="23" t="str">
        <f>IF(B259="","",IF(I259="Coffre",IF(IF(ISNA(VLOOKUP(B259,DATA!$A$1:$A$16,1,0)),"",VLOOKUP(B259,DATA!$A$1:$A$16,1,0))="",M258+E259,M258-E259),M258))</f>
        <v/>
      </c>
      <c r="N259" s="23" t="str">
        <f>IF(B259="","",IF(I259="CompteEpargne",IF(IF(ISNA(VLOOKUP(B259,DATA!$A$1:$A$16,1,0)),"",VLOOKUP(B259,DATA!$A$1:$A$16,1,0))="",N258+E259,N258-E259),N258))</f>
        <v/>
      </c>
      <c r="O259" s="32" t="str">
        <f>IF(B259="","",IF(J259="CompteEpargne",IF(IF(ISNA(VLOOKUP(B259,DATA!$A$1:$A$16,1,0)),"",VLOOKUP(B259,DATA!$A$1:$A$16,1,0))="",O258+E259,O258-E259),O258))</f>
        <v/>
      </c>
      <c r="P259" s="22" t="str">
        <f t="shared" ref="P259:P499" si="2">IF(L259="", "", SUM(L259,M259,N259,O259))</f>
        <v/>
      </c>
      <c r="Q259" s="32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4.25" customHeight="1" x14ac:dyDescent="0.2">
      <c r="A260" s="1"/>
      <c r="B260" s="33"/>
      <c r="C260" s="17">
        <f t="shared" ref="C260:C499" si="3">C259+1</f>
        <v>256</v>
      </c>
      <c r="D260" s="34"/>
      <c r="E260" s="35"/>
      <c r="F260" s="20"/>
      <c r="G260" s="20"/>
      <c r="H260" s="36"/>
      <c r="I260" s="36"/>
      <c r="J260" s="20"/>
      <c r="K260" s="32"/>
      <c r="L260" s="22" t="str">
        <f>IF(B260="","",IF(I260="CompteCourant",IF(IF(ISNA(VLOOKUP(B260,DATA!$A$1:$A$16,1,0)),"",VLOOKUP(B260,DATA!$A$1:$A$16,1,0))="",L259+E260,L259-E260),L259))</f>
        <v/>
      </c>
      <c r="M260" s="23" t="str">
        <f>IF(B260="","",IF(I260="Coffre",IF(IF(ISNA(VLOOKUP(B260,DATA!$A$1:$A$16,1,0)),"",VLOOKUP(B260,DATA!$A$1:$A$16,1,0))="",M259+E260,M259-E260),M259))</f>
        <v/>
      </c>
      <c r="N260" s="23" t="str">
        <f>IF(B260="","",IF(I260="CompteEpargne",IF(IF(ISNA(VLOOKUP(B260,DATA!$A$1:$A$16,1,0)),"",VLOOKUP(B260,DATA!$A$1:$A$16,1,0))="",N259+E260,N259-E260),N259))</f>
        <v/>
      </c>
      <c r="O260" s="32" t="str">
        <f>IF(B260="","",IF(J260="CompteEpargne",IF(IF(ISNA(VLOOKUP(B260,DATA!$A$1:$A$16,1,0)),"",VLOOKUP(B260,DATA!$A$1:$A$16,1,0))="",O259+E260,O259-E260),O259))</f>
        <v/>
      </c>
      <c r="P260" s="22" t="str">
        <f t="shared" si="2"/>
        <v/>
      </c>
      <c r="Q260" s="32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4.25" customHeight="1" x14ac:dyDescent="0.2">
      <c r="A261" s="1"/>
      <c r="B261" s="33"/>
      <c r="C261" s="17">
        <f t="shared" si="3"/>
        <v>257</v>
      </c>
      <c r="D261" s="34"/>
      <c r="E261" s="35"/>
      <c r="F261" s="20"/>
      <c r="G261" s="20"/>
      <c r="H261" s="36"/>
      <c r="I261" s="36"/>
      <c r="J261" s="20"/>
      <c r="K261" s="36"/>
      <c r="L261" s="22" t="str">
        <f>IF(B261="","",IF(I261="CompteCourant",IF(IF(ISNA(VLOOKUP(B261,DATA!$A$1:$A$16,1,0)),"",VLOOKUP(B261,DATA!$A$1:$A$16,1,0))="",L260+E261,L260-E261),L260))</f>
        <v/>
      </c>
      <c r="M261" s="23" t="str">
        <f>IF(B261="","",IF(I261="Coffre",IF(IF(ISNA(VLOOKUP(B261,DATA!$A$1:$A$16,1,0)),"",VLOOKUP(B261,DATA!$A$1:$A$16,1,0))="",M260+E261,M260-E261),M260))</f>
        <v/>
      </c>
      <c r="N261" s="23" t="str">
        <f>IF(B261="","",IF(I261="CompteEpargne",IF(IF(ISNA(VLOOKUP(B261,DATA!$A$1:$A$16,1,0)),"",VLOOKUP(B261,DATA!$A$1:$A$16,1,0))="",N260+E261,N260-E261),N260))</f>
        <v/>
      </c>
      <c r="O261" s="32" t="str">
        <f>IF(B261="","",IF(J261="CompteEpargne",IF(IF(ISNA(VLOOKUP(B261,DATA!$A$1:$A$16,1,0)),"",VLOOKUP(B261,DATA!$A$1:$A$16,1,0))="",O260+E261,O260-E261),O260))</f>
        <v/>
      </c>
      <c r="P261" s="22" t="str">
        <f t="shared" si="2"/>
        <v/>
      </c>
      <c r="Q261" s="32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4.25" customHeight="1" x14ac:dyDescent="0.2">
      <c r="A262" s="1"/>
      <c r="B262" s="33"/>
      <c r="C262" s="17">
        <f t="shared" si="3"/>
        <v>258</v>
      </c>
      <c r="D262" s="34"/>
      <c r="E262" s="35"/>
      <c r="F262" s="20"/>
      <c r="G262" s="20"/>
      <c r="H262" s="36"/>
      <c r="I262" s="36"/>
      <c r="J262" s="20"/>
      <c r="K262" s="36"/>
      <c r="L262" s="22" t="str">
        <f>IF(B262="","",IF(I262="CompteCourant",IF(IF(ISNA(VLOOKUP(B262,DATA!$A$1:$A$16,1,0)),"",VLOOKUP(B262,DATA!$A$1:$A$16,1,0))="",L261+E262,L261-E262),L261))</f>
        <v/>
      </c>
      <c r="M262" s="23" t="str">
        <f>IF(B262="","",IF(I262="Coffre",IF(IF(ISNA(VLOOKUP(B262,DATA!$A$1:$A$16,1,0)),"",VLOOKUP(B262,DATA!$A$1:$A$16,1,0))="",M261+E262,M261-E262),M261))</f>
        <v/>
      </c>
      <c r="N262" s="23" t="str">
        <f>IF(B262="","",IF(I262="CompteEpargne",IF(IF(ISNA(VLOOKUP(B262,DATA!$A$1:$A$16,1,0)),"",VLOOKUP(B262,DATA!$A$1:$A$16,1,0))="",N261+E262,N261-E262),N261))</f>
        <v/>
      </c>
      <c r="O262" s="32" t="str">
        <f>IF(B262="","",IF(J262="CompteEpargne",IF(IF(ISNA(VLOOKUP(B262,DATA!$A$1:$A$16,1,0)),"",VLOOKUP(B262,DATA!$A$1:$A$16,1,0))="",O261+E262,O261-E262),O261))</f>
        <v/>
      </c>
      <c r="P262" s="22" t="str">
        <f t="shared" si="2"/>
        <v/>
      </c>
      <c r="Q262" s="32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4.25" customHeight="1" x14ac:dyDescent="0.2">
      <c r="A263" s="1"/>
      <c r="B263" s="33"/>
      <c r="C263" s="17">
        <f t="shared" si="3"/>
        <v>259</v>
      </c>
      <c r="D263" s="34"/>
      <c r="E263" s="35"/>
      <c r="F263" s="20"/>
      <c r="G263" s="20"/>
      <c r="H263" s="36"/>
      <c r="I263" s="36"/>
      <c r="J263" s="20"/>
      <c r="K263" s="36"/>
      <c r="L263" s="22" t="str">
        <f>IF(B263="","",IF(I263="CompteCourant",IF(IF(ISNA(VLOOKUP(B263,DATA!$A$1:$A$16,1,0)),"",VLOOKUP(B263,DATA!$A$1:$A$16,1,0))="",L262+E263,L262-E263),L262))</f>
        <v/>
      </c>
      <c r="M263" s="23" t="str">
        <f>IF(B263="","",IF(I263="Coffre",IF(IF(ISNA(VLOOKUP(B263,DATA!$A$1:$A$16,1,0)),"",VLOOKUP(B263,DATA!$A$1:$A$16,1,0))="",M262+E263,M262-E263),M262))</f>
        <v/>
      </c>
      <c r="N263" s="23" t="str">
        <f>IF(B263="","",IF(I263="CompteEpargne",IF(IF(ISNA(VLOOKUP(B263,DATA!$A$1:$A$16,1,0)),"",VLOOKUP(B263,DATA!$A$1:$A$16,1,0))="",N262+E263,N262-E263),N262))</f>
        <v/>
      </c>
      <c r="O263" s="32" t="str">
        <f>IF(B263="","",IF(J263="CompteEpargne",IF(IF(ISNA(VLOOKUP(B263,DATA!$A$1:$A$16,1,0)),"",VLOOKUP(B263,DATA!$A$1:$A$16,1,0))="",O262+E263,O262-E263),O262))</f>
        <v/>
      </c>
      <c r="P263" s="22" t="str">
        <f t="shared" si="2"/>
        <v/>
      </c>
      <c r="Q263" s="32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4.25" customHeight="1" x14ac:dyDescent="0.2">
      <c r="A264" s="1"/>
      <c r="B264" s="33"/>
      <c r="C264" s="17">
        <f t="shared" si="3"/>
        <v>260</v>
      </c>
      <c r="D264" s="34"/>
      <c r="E264" s="35"/>
      <c r="F264" s="20"/>
      <c r="G264" s="20"/>
      <c r="H264" s="36"/>
      <c r="I264" s="36"/>
      <c r="J264" s="20"/>
      <c r="K264" s="36"/>
      <c r="L264" s="22" t="str">
        <f>IF(B264="","",IF(I264="CompteCourant",IF(IF(ISNA(VLOOKUP(B264,DATA!$A$1:$A$16,1,0)),"",VLOOKUP(B264,DATA!$A$1:$A$16,1,0))="",L263+E264,L263-E264),L263))</f>
        <v/>
      </c>
      <c r="M264" s="23" t="str">
        <f>IF(B264="","",IF(I264="Coffre",IF(IF(ISNA(VLOOKUP(B264,DATA!$A$1:$A$16,1,0)),"",VLOOKUP(B264,DATA!$A$1:$A$16,1,0))="",M263+E264,M263-E264),M263))</f>
        <v/>
      </c>
      <c r="N264" s="23" t="str">
        <f>IF(B264="","",IF(I264="CompteEpargne",IF(IF(ISNA(VLOOKUP(B264,DATA!$A$1:$A$16,1,0)),"",VLOOKUP(B264,DATA!$A$1:$A$16,1,0))="",N263+E264,N263-E264),N263))</f>
        <v/>
      </c>
      <c r="O264" s="32" t="str">
        <f>IF(B264="","",IF(J264="CompteEpargne",IF(IF(ISNA(VLOOKUP(B264,DATA!$A$1:$A$16,1,0)),"",VLOOKUP(B264,DATA!$A$1:$A$16,1,0))="",O263+E264,O263-E264),O263))</f>
        <v/>
      </c>
      <c r="P264" s="22" t="str">
        <f t="shared" si="2"/>
        <v/>
      </c>
      <c r="Q264" s="32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4.25" customHeight="1" x14ac:dyDescent="0.2">
      <c r="A265" s="1"/>
      <c r="B265" s="33"/>
      <c r="C265" s="17">
        <f t="shared" si="3"/>
        <v>261</v>
      </c>
      <c r="D265" s="34"/>
      <c r="E265" s="35"/>
      <c r="F265" s="20"/>
      <c r="G265" s="20"/>
      <c r="H265" s="36"/>
      <c r="I265" s="36"/>
      <c r="J265" s="20"/>
      <c r="K265" s="36"/>
      <c r="L265" s="22" t="str">
        <f>IF(B265="","",IF(I265="CompteCourant",IF(IF(ISNA(VLOOKUP(B265,DATA!$A$1:$A$16,1,0)),"",VLOOKUP(B265,DATA!$A$1:$A$16,1,0))="",L264+E265,L264-E265),L264))</f>
        <v/>
      </c>
      <c r="M265" s="23" t="str">
        <f>IF(B265="","",IF(I265="Coffre",IF(IF(ISNA(VLOOKUP(B265,DATA!$A$1:$A$16,1,0)),"",VLOOKUP(B265,DATA!$A$1:$A$16,1,0))="",M264+E265,M264-E265),M264))</f>
        <v/>
      </c>
      <c r="N265" s="23" t="str">
        <f>IF(B265="","",IF(I265="CompteEpargne",IF(IF(ISNA(VLOOKUP(B265,DATA!$A$1:$A$16,1,0)),"",VLOOKUP(B265,DATA!$A$1:$A$16,1,0))="",N264+E265,N264-E265),N264))</f>
        <v/>
      </c>
      <c r="O265" s="32" t="str">
        <f>IF(B265="","",IF(J265="CompteEpargne",IF(IF(ISNA(VLOOKUP(B265,DATA!$A$1:$A$16,1,0)),"",VLOOKUP(B265,DATA!$A$1:$A$16,1,0))="",O264+E265,O264-E265),O264))</f>
        <v/>
      </c>
      <c r="P265" s="22" t="str">
        <f t="shared" si="2"/>
        <v/>
      </c>
      <c r="Q265" s="32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4.25" customHeight="1" x14ac:dyDescent="0.2">
      <c r="A266" s="1"/>
      <c r="B266" s="33"/>
      <c r="C266" s="17">
        <f t="shared" si="3"/>
        <v>262</v>
      </c>
      <c r="D266" s="34"/>
      <c r="E266" s="35"/>
      <c r="F266" s="20"/>
      <c r="G266" s="20"/>
      <c r="H266" s="36"/>
      <c r="I266" s="36"/>
      <c r="J266" s="20"/>
      <c r="K266" s="36"/>
      <c r="L266" s="22" t="str">
        <f>IF(B266="","",IF(I266="CompteCourant",IF(IF(ISNA(VLOOKUP(B266,DATA!$A$1:$A$16,1,0)),"",VLOOKUP(B266,DATA!$A$1:$A$16,1,0))="",L265+E266,L265-E266),L265))</f>
        <v/>
      </c>
      <c r="M266" s="23" t="str">
        <f>IF(B266="","",IF(I266="Coffre",IF(IF(ISNA(VLOOKUP(B266,DATA!$A$1:$A$16,1,0)),"",VLOOKUP(B266,DATA!$A$1:$A$16,1,0))="",M265+E266,M265-E266),M265))</f>
        <v/>
      </c>
      <c r="N266" s="23" t="str">
        <f>IF(B266="","",IF(I266="CompteEpargne",IF(IF(ISNA(VLOOKUP(B266,DATA!$A$1:$A$16,1,0)),"",VLOOKUP(B266,DATA!$A$1:$A$16,1,0))="",N265+E266,N265-E266),N265))</f>
        <v/>
      </c>
      <c r="O266" s="32" t="str">
        <f>IF(B266="","",IF(J266="CompteEpargne",IF(IF(ISNA(VLOOKUP(B266,DATA!$A$1:$A$16,1,0)),"",VLOOKUP(B266,DATA!$A$1:$A$16,1,0))="",O265+E266,O265-E266),O265))</f>
        <v/>
      </c>
      <c r="P266" s="22" t="str">
        <f t="shared" si="2"/>
        <v/>
      </c>
      <c r="Q266" s="32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4.25" customHeight="1" x14ac:dyDescent="0.2">
      <c r="A267" s="1"/>
      <c r="B267" s="33"/>
      <c r="C267" s="17">
        <f t="shared" si="3"/>
        <v>263</v>
      </c>
      <c r="D267" s="34"/>
      <c r="E267" s="35"/>
      <c r="F267" s="20"/>
      <c r="G267" s="20"/>
      <c r="H267" s="36"/>
      <c r="I267" s="36"/>
      <c r="J267" s="20"/>
      <c r="K267" s="36"/>
      <c r="L267" s="22" t="str">
        <f>IF(B267="","",IF(I267="CompteCourant",IF(IF(ISNA(VLOOKUP(B267,DATA!$A$1:$A$16,1,0)),"",VLOOKUP(B267,DATA!$A$1:$A$16,1,0))="",L266+E267,L266-E267),L266))</f>
        <v/>
      </c>
      <c r="M267" s="23" t="str">
        <f>IF(B267="","",IF(I267="Coffre",IF(IF(ISNA(VLOOKUP(B267,DATA!$A$1:$A$16,1,0)),"",VLOOKUP(B267,DATA!$A$1:$A$16,1,0))="",M266+E267,M266-E267),M266))</f>
        <v/>
      </c>
      <c r="N267" s="23" t="str">
        <f>IF(B267="","",IF(I267="CompteEpargne",IF(IF(ISNA(VLOOKUP(B267,DATA!$A$1:$A$16,1,0)),"",VLOOKUP(B267,DATA!$A$1:$A$16,1,0))="",N266+E267,N266-E267),N266))</f>
        <v/>
      </c>
      <c r="O267" s="32" t="str">
        <f>IF(B267="","",IF(J267="CompteEpargne",IF(IF(ISNA(VLOOKUP(B267,DATA!$A$1:$A$16,1,0)),"",VLOOKUP(B267,DATA!$A$1:$A$16,1,0))="",O266+E267,O266-E267),O266))</f>
        <v/>
      </c>
      <c r="P267" s="22" t="str">
        <f t="shared" si="2"/>
        <v/>
      </c>
      <c r="Q267" s="32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4.25" customHeight="1" x14ac:dyDescent="0.2">
      <c r="A268" s="1"/>
      <c r="B268" s="33"/>
      <c r="C268" s="17">
        <f t="shared" si="3"/>
        <v>264</v>
      </c>
      <c r="D268" s="34"/>
      <c r="E268" s="35"/>
      <c r="F268" s="20"/>
      <c r="G268" s="20"/>
      <c r="H268" s="36"/>
      <c r="I268" s="36"/>
      <c r="J268" s="20"/>
      <c r="K268" s="36"/>
      <c r="L268" s="22" t="str">
        <f>IF(B268="","",IF(I268="CompteCourant",IF(IF(ISNA(VLOOKUP(B268,DATA!$A$1:$A$16,1,0)),"",VLOOKUP(B268,DATA!$A$1:$A$16,1,0))="",L267+E268,L267-E268),L267))</f>
        <v/>
      </c>
      <c r="M268" s="23" t="str">
        <f>IF(B268="","",IF(I268="Coffre",IF(IF(ISNA(VLOOKUP(B268,DATA!$A$1:$A$16,1,0)),"",VLOOKUP(B268,DATA!$A$1:$A$16,1,0))="",M267+E268,M267-E268),M267))</f>
        <v/>
      </c>
      <c r="N268" s="23" t="str">
        <f>IF(B268="","",IF(I268="CompteEpargne",IF(IF(ISNA(VLOOKUP(B268,DATA!$A$1:$A$16,1,0)),"",VLOOKUP(B268,DATA!$A$1:$A$16,1,0))="",N267+E268,N267-E268),N267))</f>
        <v/>
      </c>
      <c r="O268" s="32" t="str">
        <f>IF(B268="","",IF(J268="CompteEpargne",IF(IF(ISNA(VLOOKUP(B268,DATA!$A$1:$A$16,1,0)),"",VLOOKUP(B268,DATA!$A$1:$A$16,1,0))="",O267+E268,O267-E268),O267))</f>
        <v/>
      </c>
      <c r="P268" s="22" t="str">
        <f t="shared" si="2"/>
        <v/>
      </c>
      <c r="Q268" s="32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4.25" customHeight="1" x14ac:dyDescent="0.2">
      <c r="A269" s="1"/>
      <c r="B269" s="33"/>
      <c r="C269" s="17">
        <f t="shared" si="3"/>
        <v>265</v>
      </c>
      <c r="D269" s="34"/>
      <c r="E269" s="35"/>
      <c r="F269" s="20"/>
      <c r="G269" s="20"/>
      <c r="H269" s="36"/>
      <c r="I269" s="36"/>
      <c r="J269" s="20"/>
      <c r="K269" s="36"/>
      <c r="L269" s="22" t="str">
        <f>IF(B269="","",IF(I269="CompteCourant",IF(IF(ISNA(VLOOKUP(B269,DATA!$A$1:$A$16,1,0)),"",VLOOKUP(B269,DATA!$A$1:$A$16,1,0))="",L268+E269,L268-E269),L268))</f>
        <v/>
      </c>
      <c r="M269" s="23" t="str">
        <f>IF(B269="","",IF(I269="Coffre",IF(IF(ISNA(VLOOKUP(B269,DATA!$A$1:$A$16,1,0)),"",VLOOKUP(B269,DATA!$A$1:$A$16,1,0))="",M268+E269,M268-E269),M268))</f>
        <v/>
      </c>
      <c r="N269" s="23" t="str">
        <f>IF(B269="","",IF(I269="CompteEpargne",IF(IF(ISNA(VLOOKUP(B269,DATA!$A$1:$A$16,1,0)),"",VLOOKUP(B269,DATA!$A$1:$A$16,1,0))="",N268+E269,N268-E269),N268))</f>
        <v/>
      </c>
      <c r="O269" s="32" t="str">
        <f>IF(B269="","",IF(J269="CompteEpargne",IF(IF(ISNA(VLOOKUP(B269,DATA!$A$1:$A$16,1,0)),"",VLOOKUP(B269,DATA!$A$1:$A$16,1,0))="",O268+E269,O268-E269),O268))</f>
        <v/>
      </c>
      <c r="P269" s="22" t="str">
        <f t="shared" si="2"/>
        <v/>
      </c>
      <c r="Q269" s="32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4.25" customHeight="1" x14ac:dyDescent="0.2">
      <c r="A270" s="1"/>
      <c r="B270" s="33"/>
      <c r="C270" s="17">
        <f t="shared" si="3"/>
        <v>266</v>
      </c>
      <c r="D270" s="34"/>
      <c r="E270" s="35"/>
      <c r="F270" s="20"/>
      <c r="G270" s="20"/>
      <c r="H270" s="36"/>
      <c r="I270" s="36"/>
      <c r="J270" s="20"/>
      <c r="K270" s="36"/>
      <c r="L270" s="22" t="str">
        <f>IF(B270="","",IF(I270="CompteCourant",IF(IF(ISNA(VLOOKUP(B270,DATA!$A$1:$A$16,1,0)),"",VLOOKUP(B270,DATA!$A$1:$A$16,1,0))="",L269+E270,L269-E270),L269))</f>
        <v/>
      </c>
      <c r="M270" s="23" t="str">
        <f>IF(B270="","",IF(I270="Coffre",IF(IF(ISNA(VLOOKUP(B270,DATA!$A$1:$A$16,1,0)),"",VLOOKUP(B270,DATA!$A$1:$A$16,1,0))="",M269+E270,M269-E270),M269))</f>
        <v/>
      </c>
      <c r="N270" s="23" t="str">
        <f>IF(B270="","",IF(I270="CompteEpargne",IF(IF(ISNA(VLOOKUP(B270,DATA!$A$1:$A$16,1,0)),"",VLOOKUP(B270,DATA!$A$1:$A$16,1,0))="",N269+E270,N269-E270),N269))</f>
        <v/>
      </c>
      <c r="O270" s="32" t="str">
        <f>IF(B270="","",IF(J270="CompteEpargne",IF(IF(ISNA(VLOOKUP(B270,DATA!$A$1:$A$16,1,0)),"",VLOOKUP(B270,DATA!$A$1:$A$16,1,0))="",O269+E270,O269-E270),O269))</f>
        <v/>
      </c>
      <c r="P270" s="22" t="str">
        <f t="shared" si="2"/>
        <v/>
      </c>
      <c r="Q270" s="32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4.25" customHeight="1" x14ac:dyDescent="0.2">
      <c r="A271" s="1"/>
      <c r="B271" s="33"/>
      <c r="C271" s="17">
        <f t="shared" si="3"/>
        <v>267</v>
      </c>
      <c r="D271" s="34"/>
      <c r="E271" s="35"/>
      <c r="F271" s="20"/>
      <c r="G271" s="20"/>
      <c r="H271" s="36"/>
      <c r="I271" s="36"/>
      <c r="J271" s="20"/>
      <c r="K271" s="36"/>
      <c r="L271" s="22" t="str">
        <f>IF(B271="","",IF(I271="CompteCourant",IF(IF(ISNA(VLOOKUP(B271,DATA!$A$1:$A$16,1,0)),"",VLOOKUP(B271,DATA!$A$1:$A$16,1,0))="",L270+E271,L270-E271),L270))</f>
        <v/>
      </c>
      <c r="M271" s="23" t="str">
        <f>IF(B271="","",IF(I271="Coffre",IF(IF(ISNA(VLOOKUP(B271,DATA!$A$1:$A$16,1,0)),"",VLOOKUP(B271,DATA!$A$1:$A$16,1,0))="",M270+E271,M270-E271),M270))</f>
        <v/>
      </c>
      <c r="N271" s="23" t="str">
        <f>IF(B271="","",IF(I271="CompteEpargne",IF(IF(ISNA(VLOOKUP(B271,DATA!$A$1:$A$16,1,0)),"",VLOOKUP(B271,DATA!$A$1:$A$16,1,0))="",N270+E271,N270-E271),N270))</f>
        <v/>
      </c>
      <c r="O271" s="32" t="str">
        <f>IF(B271="","",IF(J271="CompteEpargne",IF(IF(ISNA(VLOOKUP(B271,DATA!$A$1:$A$16,1,0)),"",VLOOKUP(B271,DATA!$A$1:$A$16,1,0))="",O270+E271,O270-E271),O270))</f>
        <v/>
      </c>
      <c r="P271" s="22" t="str">
        <f t="shared" si="2"/>
        <v/>
      </c>
      <c r="Q271" s="32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4.25" customHeight="1" x14ac:dyDescent="0.2">
      <c r="A272" s="1"/>
      <c r="B272" s="33"/>
      <c r="C272" s="17">
        <f t="shared" si="3"/>
        <v>268</v>
      </c>
      <c r="D272" s="34"/>
      <c r="E272" s="35"/>
      <c r="F272" s="20"/>
      <c r="G272" s="20"/>
      <c r="H272" s="36"/>
      <c r="I272" s="36"/>
      <c r="J272" s="20"/>
      <c r="K272" s="36"/>
      <c r="L272" s="22" t="str">
        <f>IF(B272="","",IF(I272="CompteCourant",IF(IF(ISNA(VLOOKUP(B272,DATA!$A$1:$A$16,1,0)),"",VLOOKUP(B272,DATA!$A$1:$A$16,1,0))="",L271+E272,L271-E272),L271))</f>
        <v/>
      </c>
      <c r="M272" s="23" t="str">
        <f>IF(B272="","",IF(I272="Coffre",IF(IF(ISNA(VLOOKUP(B272,DATA!$A$1:$A$16,1,0)),"",VLOOKUP(B272,DATA!$A$1:$A$16,1,0))="",M271+E272,M271-E272),M271))</f>
        <v/>
      </c>
      <c r="N272" s="23" t="str">
        <f>IF(B272="","",IF(I272="CompteEpargne",IF(IF(ISNA(VLOOKUP(B272,DATA!$A$1:$A$16,1,0)),"",VLOOKUP(B272,DATA!$A$1:$A$16,1,0))="",N271+E272,N271-E272),N271))</f>
        <v/>
      </c>
      <c r="O272" s="32" t="str">
        <f>IF(B272="","",IF(J272="CompteEpargne",IF(IF(ISNA(VLOOKUP(B272,DATA!$A$1:$A$16,1,0)),"",VLOOKUP(B272,DATA!$A$1:$A$16,1,0))="",O271+E272,O271-E272),O271))</f>
        <v/>
      </c>
      <c r="P272" s="22" t="str">
        <f t="shared" si="2"/>
        <v/>
      </c>
      <c r="Q272" s="32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4.25" customHeight="1" x14ac:dyDescent="0.2">
      <c r="A273" s="1"/>
      <c r="B273" s="33"/>
      <c r="C273" s="17">
        <f t="shared" si="3"/>
        <v>269</v>
      </c>
      <c r="D273" s="34"/>
      <c r="E273" s="35"/>
      <c r="F273" s="20"/>
      <c r="G273" s="20"/>
      <c r="H273" s="36"/>
      <c r="I273" s="36"/>
      <c r="J273" s="20"/>
      <c r="K273" s="36"/>
      <c r="L273" s="22" t="str">
        <f>IF(B273="","",IF(I273="CompteCourant",IF(IF(ISNA(VLOOKUP(B273,DATA!$A$1:$A$16,1,0)),"",VLOOKUP(B273,DATA!$A$1:$A$16,1,0))="",L272+E273,L272-E273),L272))</f>
        <v/>
      </c>
      <c r="M273" s="23" t="str">
        <f>IF(B273="","",IF(I273="Coffre",IF(IF(ISNA(VLOOKUP(B273,DATA!$A$1:$A$16,1,0)),"",VLOOKUP(B273,DATA!$A$1:$A$16,1,0))="",M272+E273,M272-E273),M272))</f>
        <v/>
      </c>
      <c r="N273" s="23" t="str">
        <f>IF(B273="","",IF(I273="CompteEpargne",IF(IF(ISNA(VLOOKUP(B273,DATA!$A$1:$A$16,1,0)),"",VLOOKUP(B273,DATA!$A$1:$A$16,1,0))="",N272+E273,N272-E273),N272))</f>
        <v/>
      </c>
      <c r="O273" s="32" t="str">
        <f>IF(B273="","",IF(J273="CompteEpargne",IF(IF(ISNA(VLOOKUP(B273,DATA!$A$1:$A$16,1,0)),"",VLOOKUP(B273,DATA!$A$1:$A$16,1,0))="",O272+E273,O272-E273),O272))</f>
        <v/>
      </c>
      <c r="P273" s="22" t="str">
        <f t="shared" si="2"/>
        <v/>
      </c>
      <c r="Q273" s="32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4.25" customHeight="1" x14ac:dyDescent="0.2">
      <c r="A274" s="1"/>
      <c r="B274" s="33"/>
      <c r="C274" s="17">
        <f t="shared" si="3"/>
        <v>270</v>
      </c>
      <c r="D274" s="34"/>
      <c r="E274" s="35"/>
      <c r="F274" s="20"/>
      <c r="G274" s="20"/>
      <c r="H274" s="36"/>
      <c r="I274" s="36"/>
      <c r="J274" s="20"/>
      <c r="K274" s="36"/>
      <c r="L274" s="22" t="str">
        <f>IF(B274="","",IF(I274="CompteCourant",IF(IF(ISNA(VLOOKUP(B274,DATA!$A$1:$A$16,1,0)),"",VLOOKUP(B274,DATA!$A$1:$A$16,1,0))="",L273+E274,L273-E274),L273))</f>
        <v/>
      </c>
      <c r="M274" s="23" t="str">
        <f>IF(B274="","",IF(I274="Coffre",IF(IF(ISNA(VLOOKUP(B274,DATA!$A$1:$A$16,1,0)),"",VLOOKUP(B274,DATA!$A$1:$A$16,1,0))="",M273+E274,M273-E274),M273))</f>
        <v/>
      </c>
      <c r="N274" s="23" t="str">
        <f>IF(B274="","",IF(I274="CompteEpargne",IF(IF(ISNA(VLOOKUP(B274,DATA!$A$1:$A$16,1,0)),"",VLOOKUP(B274,DATA!$A$1:$A$16,1,0))="",N273+E274,N273-E274),N273))</f>
        <v/>
      </c>
      <c r="O274" s="32" t="str">
        <f>IF(B274="","",IF(J274="CompteEpargne",IF(IF(ISNA(VLOOKUP(B274,DATA!$A$1:$A$16,1,0)),"",VLOOKUP(B274,DATA!$A$1:$A$16,1,0))="",O273+E274,O273-E274),O273))</f>
        <v/>
      </c>
      <c r="P274" s="22" t="str">
        <f t="shared" si="2"/>
        <v/>
      </c>
      <c r="Q274" s="32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4.25" customHeight="1" x14ac:dyDescent="0.2">
      <c r="A275" s="1"/>
      <c r="B275" s="33"/>
      <c r="C275" s="17">
        <f t="shared" si="3"/>
        <v>271</v>
      </c>
      <c r="D275" s="34"/>
      <c r="E275" s="35"/>
      <c r="F275" s="20"/>
      <c r="G275" s="20"/>
      <c r="H275" s="36"/>
      <c r="I275" s="36"/>
      <c r="J275" s="20"/>
      <c r="K275" s="36"/>
      <c r="L275" s="22" t="str">
        <f>IF(B275="","",IF(I275="CompteCourant",IF(IF(ISNA(VLOOKUP(B275,DATA!$A$1:$A$16,1,0)),"",VLOOKUP(B275,DATA!$A$1:$A$16,1,0))="",L274+E275,L274-E275),L274))</f>
        <v/>
      </c>
      <c r="M275" s="23" t="str">
        <f>IF(B275="","",IF(I275="Coffre",IF(IF(ISNA(VLOOKUP(B275,DATA!$A$1:$A$16,1,0)),"",VLOOKUP(B275,DATA!$A$1:$A$16,1,0))="",M274+E275,M274-E275),M274))</f>
        <v/>
      </c>
      <c r="N275" s="23" t="str">
        <f>IF(B275="","",IF(I275="CompteEpargne",IF(IF(ISNA(VLOOKUP(B275,DATA!$A$1:$A$16,1,0)),"",VLOOKUP(B275,DATA!$A$1:$A$16,1,0))="",N274+E275,N274-E275),N274))</f>
        <v/>
      </c>
      <c r="O275" s="32" t="str">
        <f>IF(B275="","",IF(J275="CompteEpargne",IF(IF(ISNA(VLOOKUP(B275,DATA!$A$1:$A$16,1,0)),"",VLOOKUP(B275,DATA!$A$1:$A$16,1,0))="",O274+E275,O274-E275),O274))</f>
        <v/>
      </c>
      <c r="P275" s="22" t="str">
        <f t="shared" si="2"/>
        <v/>
      </c>
      <c r="Q275" s="32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4.25" customHeight="1" x14ac:dyDescent="0.2">
      <c r="A276" s="1"/>
      <c r="B276" s="33"/>
      <c r="C276" s="17">
        <f t="shared" si="3"/>
        <v>272</v>
      </c>
      <c r="D276" s="34"/>
      <c r="E276" s="35"/>
      <c r="F276" s="20"/>
      <c r="G276" s="20"/>
      <c r="H276" s="36"/>
      <c r="I276" s="36"/>
      <c r="J276" s="20"/>
      <c r="K276" s="36"/>
      <c r="L276" s="22" t="str">
        <f>IF(B276="","",IF(I276="CompteCourant",IF(IF(ISNA(VLOOKUP(B276,DATA!$A$1:$A$16,1,0)),"",VLOOKUP(B276,DATA!$A$1:$A$16,1,0))="",L275+E276,L275-E276),L275))</f>
        <v/>
      </c>
      <c r="M276" s="23" t="str">
        <f>IF(B276="","",IF(I276="Coffre",IF(IF(ISNA(VLOOKUP(B276,DATA!$A$1:$A$16,1,0)),"",VLOOKUP(B276,DATA!$A$1:$A$16,1,0))="",M275+E276,M275-E276),M275))</f>
        <v/>
      </c>
      <c r="N276" s="23" t="str">
        <f>IF(B276="","",IF(I276="CompteEpargne",IF(IF(ISNA(VLOOKUP(B276,DATA!$A$1:$A$16,1,0)),"",VLOOKUP(B276,DATA!$A$1:$A$16,1,0))="",N275+E276,N275-E276),N275))</f>
        <v/>
      </c>
      <c r="O276" s="32" t="str">
        <f>IF(B276="","",IF(J276="CompteEpargne",IF(IF(ISNA(VLOOKUP(B276,DATA!$A$1:$A$16,1,0)),"",VLOOKUP(B276,DATA!$A$1:$A$16,1,0))="",O275+E276,O275-E276),O275))</f>
        <v/>
      </c>
      <c r="P276" s="22" t="str">
        <f t="shared" si="2"/>
        <v/>
      </c>
      <c r="Q276" s="32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4.25" customHeight="1" x14ac:dyDescent="0.2">
      <c r="A277" s="1"/>
      <c r="B277" s="33"/>
      <c r="C277" s="17">
        <f t="shared" si="3"/>
        <v>273</v>
      </c>
      <c r="D277" s="34"/>
      <c r="E277" s="35"/>
      <c r="F277" s="20"/>
      <c r="G277" s="20"/>
      <c r="H277" s="36"/>
      <c r="I277" s="36"/>
      <c r="J277" s="20"/>
      <c r="K277" s="36"/>
      <c r="L277" s="22" t="str">
        <f>IF(B277="","",IF(I277="CompteCourant",IF(IF(ISNA(VLOOKUP(B277,DATA!$A$1:$A$16,1,0)),"",VLOOKUP(B277,DATA!$A$1:$A$16,1,0))="",L276+E277,L276-E277),L276))</f>
        <v/>
      </c>
      <c r="M277" s="23" t="str">
        <f>IF(B277="","",IF(I277="Coffre",IF(IF(ISNA(VLOOKUP(B277,DATA!$A$1:$A$16,1,0)),"",VLOOKUP(B277,DATA!$A$1:$A$16,1,0))="",M276+E277,M276-E277),M276))</f>
        <v/>
      </c>
      <c r="N277" s="23" t="str">
        <f>IF(B277="","",IF(I277="CompteEpargne",IF(IF(ISNA(VLOOKUP(B277,DATA!$A$1:$A$16,1,0)),"",VLOOKUP(B277,DATA!$A$1:$A$16,1,0))="",N276+E277,N276-E277),N276))</f>
        <v/>
      </c>
      <c r="O277" s="32" t="str">
        <f>IF(B277="","",IF(J277="CompteEpargne",IF(IF(ISNA(VLOOKUP(B277,DATA!$A$1:$A$16,1,0)),"",VLOOKUP(B277,DATA!$A$1:$A$16,1,0))="",O276+E277,O276-E277),O276))</f>
        <v/>
      </c>
      <c r="P277" s="22" t="str">
        <f t="shared" si="2"/>
        <v/>
      </c>
      <c r="Q277" s="32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4.25" customHeight="1" x14ac:dyDescent="0.2">
      <c r="A278" s="1"/>
      <c r="B278" s="33"/>
      <c r="C278" s="17">
        <f t="shared" si="3"/>
        <v>274</v>
      </c>
      <c r="D278" s="34"/>
      <c r="E278" s="35"/>
      <c r="F278" s="20"/>
      <c r="G278" s="20"/>
      <c r="H278" s="36"/>
      <c r="I278" s="36"/>
      <c r="J278" s="20"/>
      <c r="K278" s="36"/>
      <c r="L278" s="22" t="str">
        <f>IF(B278="","",IF(I278="CompteCourant",IF(IF(ISNA(VLOOKUP(B278,DATA!$A$1:$A$16,1,0)),"",VLOOKUP(B278,DATA!$A$1:$A$16,1,0))="",L277+E278,L277-E278),L277))</f>
        <v/>
      </c>
      <c r="M278" s="23" t="str">
        <f>IF(B278="","",IF(I278="Coffre",IF(IF(ISNA(VLOOKUP(B278,DATA!$A$1:$A$16,1,0)),"",VLOOKUP(B278,DATA!$A$1:$A$16,1,0))="",M277+E278,M277-E278),M277))</f>
        <v/>
      </c>
      <c r="N278" s="23" t="str">
        <f>IF(B278="","",IF(I278="CompteEpargne",IF(IF(ISNA(VLOOKUP(B278,DATA!$A$1:$A$16,1,0)),"",VLOOKUP(B278,DATA!$A$1:$A$16,1,0))="",N277+E278,N277-E278),N277))</f>
        <v/>
      </c>
      <c r="O278" s="32" t="str">
        <f>IF(B278="","",IF(J278="CompteEpargne",IF(IF(ISNA(VLOOKUP(B278,DATA!$A$1:$A$16,1,0)),"",VLOOKUP(B278,DATA!$A$1:$A$16,1,0))="",O277+E278,O277-E278),O277))</f>
        <v/>
      </c>
      <c r="P278" s="22" t="str">
        <f t="shared" si="2"/>
        <v/>
      </c>
      <c r="Q278" s="32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4.25" customHeight="1" x14ac:dyDescent="0.2">
      <c r="A279" s="1"/>
      <c r="B279" s="33"/>
      <c r="C279" s="17">
        <f t="shared" si="3"/>
        <v>275</v>
      </c>
      <c r="D279" s="34"/>
      <c r="E279" s="35"/>
      <c r="F279" s="20"/>
      <c r="G279" s="20"/>
      <c r="H279" s="36"/>
      <c r="I279" s="36"/>
      <c r="J279" s="20"/>
      <c r="K279" s="36"/>
      <c r="L279" s="22" t="str">
        <f>IF(B279="","",IF(I279="CompteCourant",IF(IF(ISNA(VLOOKUP(B279,DATA!$A$1:$A$16,1,0)),"",VLOOKUP(B279,DATA!$A$1:$A$16,1,0))="",L278+E279,L278-E279),L278))</f>
        <v/>
      </c>
      <c r="M279" s="23" t="str">
        <f>IF(B279="","",IF(I279="Coffre",IF(IF(ISNA(VLOOKUP(B279,DATA!$A$1:$A$16,1,0)),"",VLOOKUP(B279,DATA!$A$1:$A$16,1,0))="",M278+E279,M278-E279),M278))</f>
        <v/>
      </c>
      <c r="N279" s="23" t="str">
        <f>IF(B279="","",IF(I279="CompteEpargne",IF(IF(ISNA(VLOOKUP(B279,DATA!$A$1:$A$16,1,0)),"",VLOOKUP(B279,DATA!$A$1:$A$16,1,0))="",N278+E279,N278-E279),N278))</f>
        <v/>
      </c>
      <c r="O279" s="32" t="str">
        <f>IF(B279="","",IF(J279="CompteEpargne",IF(IF(ISNA(VLOOKUP(B279,DATA!$A$1:$A$16,1,0)),"",VLOOKUP(B279,DATA!$A$1:$A$16,1,0))="",O278+E279,O278-E279),O278))</f>
        <v/>
      </c>
      <c r="P279" s="22" t="str">
        <f t="shared" si="2"/>
        <v/>
      </c>
      <c r="Q279" s="32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4.25" customHeight="1" x14ac:dyDescent="0.2">
      <c r="A280" s="1"/>
      <c r="B280" s="33"/>
      <c r="C280" s="17">
        <f t="shared" si="3"/>
        <v>276</v>
      </c>
      <c r="D280" s="34"/>
      <c r="E280" s="35"/>
      <c r="F280" s="20"/>
      <c r="G280" s="20"/>
      <c r="H280" s="36"/>
      <c r="I280" s="36"/>
      <c r="J280" s="20"/>
      <c r="K280" s="36"/>
      <c r="L280" s="22" t="str">
        <f>IF(B280="","",IF(I280="CompteCourant",IF(IF(ISNA(VLOOKUP(B280,DATA!$A$1:$A$16,1,0)),"",VLOOKUP(B280,DATA!$A$1:$A$16,1,0))="",L279+E280,L279-E280),L279))</f>
        <v/>
      </c>
      <c r="M280" s="23" t="str">
        <f>IF(B280="","",IF(I280="Coffre",IF(IF(ISNA(VLOOKUP(B280,DATA!$A$1:$A$16,1,0)),"",VLOOKUP(B280,DATA!$A$1:$A$16,1,0))="",M279+E280,M279-E280),M279))</f>
        <v/>
      </c>
      <c r="N280" s="23" t="str">
        <f>IF(B280="","",IF(I280="CompteEpargne",IF(IF(ISNA(VLOOKUP(B280,DATA!$A$1:$A$16,1,0)),"",VLOOKUP(B280,DATA!$A$1:$A$16,1,0))="",N279+E280,N279-E280),N279))</f>
        <v/>
      </c>
      <c r="O280" s="32" t="str">
        <f>IF(B280="","",IF(J280="CompteEpargne",IF(IF(ISNA(VLOOKUP(B280,DATA!$A$1:$A$16,1,0)),"",VLOOKUP(B280,DATA!$A$1:$A$16,1,0))="",O279+E280,O279-E280),O279))</f>
        <v/>
      </c>
      <c r="P280" s="22" t="str">
        <f t="shared" si="2"/>
        <v/>
      </c>
      <c r="Q280" s="32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4.25" customHeight="1" x14ac:dyDescent="0.2">
      <c r="A281" s="1"/>
      <c r="B281" s="33"/>
      <c r="C281" s="17">
        <f t="shared" si="3"/>
        <v>277</v>
      </c>
      <c r="D281" s="34"/>
      <c r="E281" s="35"/>
      <c r="F281" s="20"/>
      <c r="G281" s="20"/>
      <c r="H281" s="36"/>
      <c r="I281" s="36"/>
      <c r="J281" s="20"/>
      <c r="K281" s="36"/>
      <c r="L281" s="22" t="str">
        <f>IF(B281="","",IF(I281="CompteCourant",IF(IF(ISNA(VLOOKUP(B281,DATA!$A$1:$A$16,1,0)),"",VLOOKUP(B281,DATA!$A$1:$A$16,1,0))="",L280+E281,L280-E281),L280))</f>
        <v/>
      </c>
      <c r="M281" s="23" t="str">
        <f>IF(B281="","",IF(I281="Coffre",IF(IF(ISNA(VLOOKUP(B281,DATA!$A$1:$A$16,1,0)),"",VLOOKUP(B281,DATA!$A$1:$A$16,1,0))="",M280+E281,M280-E281),M280))</f>
        <v/>
      </c>
      <c r="N281" s="23" t="str">
        <f>IF(B281="","",IF(I281="CompteEpargne",IF(IF(ISNA(VLOOKUP(B281,DATA!$A$1:$A$16,1,0)),"",VLOOKUP(B281,DATA!$A$1:$A$16,1,0))="",N280+E281,N280-E281),N280))</f>
        <v/>
      </c>
      <c r="O281" s="32" t="str">
        <f>IF(B281="","",IF(J281="CompteEpargne",IF(IF(ISNA(VLOOKUP(B281,DATA!$A$1:$A$16,1,0)),"",VLOOKUP(B281,DATA!$A$1:$A$16,1,0))="",O280+E281,O280-E281),O280))</f>
        <v/>
      </c>
      <c r="P281" s="22" t="str">
        <f t="shared" si="2"/>
        <v/>
      </c>
      <c r="Q281" s="32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4.25" customHeight="1" x14ac:dyDescent="0.2">
      <c r="A282" s="1"/>
      <c r="B282" s="33"/>
      <c r="C282" s="17">
        <f t="shared" si="3"/>
        <v>278</v>
      </c>
      <c r="D282" s="34"/>
      <c r="E282" s="35"/>
      <c r="F282" s="20"/>
      <c r="G282" s="20"/>
      <c r="H282" s="36"/>
      <c r="I282" s="36"/>
      <c r="J282" s="20"/>
      <c r="K282" s="36"/>
      <c r="L282" s="22" t="str">
        <f>IF(B282="","",IF(I282="CompteCourant",IF(IF(ISNA(VLOOKUP(B282,DATA!$A$1:$A$16,1,0)),"",VLOOKUP(B282,DATA!$A$1:$A$16,1,0))="",L281+E282,L281-E282),L281))</f>
        <v/>
      </c>
      <c r="M282" s="23" t="str">
        <f>IF(B282="","",IF(I282="Coffre",IF(IF(ISNA(VLOOKUP(B282,DATA!$A$1:$A$16,1,0)),"",VLOOKUP(B282,DATA!$A$1:$A$16,1,0))="",M281+E282,M281-E282),M281))</f>
        <v/>
      </c>
      <c r="N282" s="23" t="str">
        <f>IF(B282="","",IF(I282="CompteEpargne",IF(IF(ISNA(VLOOKUP(B282,DATA!$A$1:$A$16,1,0)),"",VLOOKUP(B282,DATA!$A$1:$A$16,1,0))="",N281+E282,N281-E282),N281))</f>
        <v/>
      </c>
      <c r="O282" s="32" t="str">
        <f>IF(B282="","",IF(J282="CompteEpargne",IF(IF(ISNA(VLOOKUP(B282,DATA!$A$1:$A$16,1,0)),"",VLOOKUP(B282,DATA!$A$1:$A$16,1,0))="",O281+E282,O281-E282),O281))</f>
        <v/>
      </c>
      <c r="P282" s="22" t="str">
        <f t="shared" si="2"/>
        <v/>
      </c>
      <c r="Q282" s="32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4.25" customHeight="1" x14ac:dyDescent="0.2">
      <c r="A283" s="1"/>
      <c r="B283" s="33"/>
      <c r="C283" s="17">
        <f t="shared" si="3"/>
        <v>279</v>
      </c>
      <c r="D283" s="34"/>
      <c r="E283" s="35"/>
      <c r="F283" s="20"/>
      <c r="G283" s="20"/>
      <c r="H283" s="36"/>
      <c r="I283" s="36"/>
      <c r="J283" s="20"/>
      <c r="K283" s="36"/>
      <c r="L283" s="22" t="str">
        <f>IF(B283="","",IF(I283="CompteCourant",IF(IF(ISNA(VLOOKUP(B283,DATA!$A$1:$A$16,1,0)),"",VLOOKUP(B283,DATA!$A$1:$A$16,1,0))="",L282+E283,L282-E283),L282))</f>
        <v/>
      </c>
      <c r="M283" s="23" t="str">
        <f>IF(B283="","",IF(I283="Coffre",IF(IF(ISNA(VLOOKUP(B283,DATA!$A$1:$A$16,1,0)),"",VLOOKUP(B283,DATA!$A$1:$A$16,1,0))="",M282+E283,M282-E283),M282))</f>
        <v/>
      </c>
      <c r="N283" s="23" t="str">
        <f>IF(B283="","",IF(I283="CompteEpargne",IF(IF(ISNA(VLOOKUP(B283,DATA!$A$1:$A$16,1,0)),"",VLOOKUP(B283,DATA!$A$1:$A$16,1,0))="",N282+E283,N282-E283),N282))</f>
        <v/>
      </c>
      <c r="O283" s="32" t="str">
        <f>IF(B283="","",IF(J283="CompteEpargne",IF(IF(ISNA(VLOOKUP(B283,DATA!$A$1:$A$16,1,0)),"",VLOOKUP(B283,DATA!$A$1:$A$16,1,0))="",O282+E283,O282-E283),O282))</f>
        <v/>
      </c>
      <c r="P283" s="22" t="str">
        <f t="shared" si="2"/>
        <v/>
      </c>
      <c r="Q283" s="32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4.25" customHeight="1" x14ac:dyDescent="0.2">
      <c r="A284" s="1"/>
      <c r="B284" s="33"/>
      <c r="C284" s="17">
        <f t="shared" si="3"/>
        <v>280</v>
      </c>
      <c r="D284" s="34"/>
      <c r="E284" s="35"/>
      <c r="F284" s="20"/>
      <c r="G284" s="20"/>
      <c r="H284" s="36"/>
      <c r="I284" s="36"/>
      <c r="J284" s="20"/>
      <c r="K284" s="36"/>
      <c r="L284" s="22" t="str">
        <f>IF(B284="","",IF(I284="CompteCourant",IF(IF(ISNA(VLOOKUP(B284,DATA!$A$1:$A$16,1,0)),"",VLOOKUP(B284,DATA!$A$1:$A$16,1,0))="",L283+E284,L283-E284),L283))</f>
        <v/>
      </c>
      <c r="M284" s="23" t="str">
        <f>IF(B284="","",IF(I284="Coffre",IF(IF(ISNA(VLOOKUP(B284,DATA!$A$1:$A$16,1,0)),"",VLOOKUP(B284,DATA!$A$1:$A$16,1,0))="",M283+E284,M283-E284),M283))</f>
        <v/>
      </c>
      <c r="N284" s="23" t="str">
        <f>IF(B284="","",IF(I284="CompteEpargne",IF(IF(ISNA(VLOOKUP(B284,DATA!$A$1:$A$16,1,0)),"",VLOOKUP(B284,DATA!$A$1:$A$16,1,0))="",N283+E284,N283-E284),N283))</f>
        <v/>
      </c>
      <c r="O284" s="32" t="str">
        <f>IF(B284="","",IF(J284="CompteEpargne",IF(IF(ISNA(VLOOKUP(B284,DATA!$A$1:$A$16,1,0)),"",VLOOKUP(B284,DATA!$A$1:$A$16,1,0))="",O283+E284,O283-E284),O283))</f>
        <v/>
      </c>
      <c r="P284" s="22" t="str">
        <f t="shared" si="2"/>
        <v/>
      </c>
      <c r="Q284" s="32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4.25" customHeight="1" x14ac:dyDescent="0.2">
      <c r="A285" s="1"/>
      <c r="B285" s="33"/>
      <c r="C285" s="17">
        <f t="shared" si="3"/>
        <v>281</v>
      </c>
      <c r="D285" s="34"/>
      <c r="E285" s="35"/>
      <c r="F285" s="20"/>
      <c r="G285" s="20"/>
      <c r="H285" s="36"/>
      <c r="I285" s="36"/>
      <c r="J285" s="20"/>
      <c r="K285" s="36"/>
      <c r="L285" s="22" t="str">
        <f>IF(B285="","",IF(I285="CompteCourant",IF(IF(ISNA(VLOOKUP(B285,DATA!$A$1:$A$16,1,0)),"",VLOOKUP(B285,DATA!$A$1:$A$16,1,0))="",L284+E285,L284-E285),L284))</f>
        <v/>
      </c>
      <c r="M285" s="23" t="str">
        <f>IF(B285="","",IF(I285="Coffre",IF(IF(ISNA(VLOOKUP(B285,DATA!$A$1:$A$16,1,0)),"",VLOOKUP(B285,DATA!$A$1:$A$16,1,0))="",M284+E285,M284-E285),M284))</f>
        <v/>
      </c>
      <c r="N285" s="23" t="str">
        <f>IF(B285="","",IF(I285="CompteEpargne",IF(IF(ISNA(VLOOKUP(B285,DATA!$A$1:$A$16,1,0)),"",VLOOKUP(B285,DATA!$A$1:$A$16,1,0))="",N284+E285,N284-E285),N284))</f>
        <v/>
      </c>
      <c r="O285" s="32" t="str">
        <f>IF(B285="","",IF(J285="CompteEpargne",IF(IF(ISNA(VLOOKUP(B285,DATA!$A$1:$A$16,1,0)),"",VLOOKUP(B285,DATA!$A$1:$A$16,1,0))="",O284+E285,O284-E285),O284))</f>
        <v/>
      </c>
      <c r="P285" s="22" t="str">
        <f t="shared" si="2"/>
        <v/>
      </c>
      <c r="Q285" s="32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4.25" customHeight="1" x14ac:dyDescent="0.2">
      <c r="A286" s="1"/>
      <c r="B286" s="33"/>
      <c r="C286" s="17">
        <f t="shared" si="3"/>
        <v>282</v>
      </c>
      <c r="D286" s="34"/>
      <c r="E286" s="35"/>
      <c r="F286" s="20"/>
      <c r="G286" s="20"/>
      <c r="H286" s="36"/>
      <c r="I286" s="36"/>
      <c r="J286" s="20"/>
      <c r="K286" s="36"/>
      <c r="L286" s="22" t="str">
        <f>IF(B286="","",IF(I286="CompteCourant",IF(IF(ISNA(VLOOKUP(B286,DATA!$A$1:$A$16,1,0)),"",VLOOKUP(B286,DATA!$A$1:$A$16,1,0))="",L285+E286,L285-E286),L285))</f>
        <v/>
      </c>
      <c r="M286" s="23" t="str">
        <f>IF(B286="","",IF(I286="Coffre",IF(IF(ISNA(VLOOKUP(B286,DATA!$A$1:$A$16,1,0)),"",VLOOKUP(B286,DATA!$A$1:$A$16,1,0))="",M285+E286,M285-E286),M285))</f>
        <v/>
      </c>
      <c r="N286" s="23" t="str">
        <f>IF(B286="","",IF(I286="CompteEpargne",IF(IF(ISNA(VLOOKUP(B286,DATA!$A$1:$A$16,1,0)),"",VLOOKUP(B286,DATA!$A$1:$A$16,1,0))="",N285+E286,N285-E286),N285))</f>
        <v/>
      </c>
      <c r="O286" s="32" t="str">
        <f>IF(B286="","",IF(J286="CompteEpargne",IF(IF(ISNA(VLOOKUP(B286,DATA!$A$1:$A$16,1,0)),"",VLOOKUP(B286,DATA!$A$1:$A$16,1,0))="",O285+E286,O285-E286),O285))</f>
        <v/>
      </c>
      <c r="P286" s="22" t="str">
        <f t="shared" si="2"/>
        <v/>
      </c>
      <c r="Q286" s="32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4.25" customHeight="1" x14ac:dyDescent="0.2">
      <c r="A287" s="1"/>
      <c r="B287" s="33"/>
      <c r="C287" s="17">
        <f t="shared" si="3"/>
        <v>283</v>
      </c>
      <c r="D287" s="34"/>
      <c r="E287" s="35"/>
      <c r="F287" s="20"/>
      <c r="G287" s="20"/>
      <c r="H287" s="36"/>
      <c r="I287" s="36"/>
      <c r="J287" s="20"/>
      <c r="K287" s="36"/>
      <c r="L287" s="22" t="str">
        <f>IF(B287="","",IF(I287="CompteCourant",IF(IF(ISNA(VLOOKUP(B287,DATA!$A$1:$A$16,1,0)),"",VLOOKUP(B287,DATA!$A$1:$A$16,1,0))="",L286+E287,L286-E287),L286))</f>
        <v/>
      </c>
      <c r="M287" s="23" t="str">
        <f>IF(B287="","",IF(I287="Coffre",IF(IF(ISNA(VLOOKUP(B287,DATA!$A$1:$A$16,1,0)),"",VLOOKUP(B287,DATA!$A$1:$A$16,1,0))="",M286+E287,M286-E287),M286))</f>
        <v/>
      </c>
      <c r="N287" s="23" t="str">
        <f>IF(B287="","",IF(I287="CompteEpargne",IF(IF(ISNA(VLOOKUP(B287,DATA!$A$1:$A$16,1,0)),"",VLOOKUP(B287,DATA!$A$1:$A$16,1,0))="",N286+E287,N286-E287),N286))</f>
        <v/>
      </c>
      <c r="O287" s="32" t="str">
        <f>IF(B287="","",IF(J287="CompteEpargne",IF(IF(ISNA(VLOOKUP(B287,DATA!$A$1:$A$16,1,0)),"",VLOOKUP(B287,DATA!$A$1:$A$16,1,0))="",O286+E287,O286-E287),O286))</f>
        <v/>
      </c>
      <c r="P287" s="22" t="str">
        <f t="shared" si="2"/>
        <v/>
      </c>
      <c r="Q287" s="32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4.25" customHeight="1" x14ac:dyDescent="0.2">
      <c r="A288" s="1"/>
      <c r="B288" s="33"/>
      <c r="C288" s="17">
        <f t="shared" si="3"/>
        <v>284</v>
      </c>
      <c r="D288" s="34"/>
      <c r="E288" s="35"/>
      <c r="F288" s="20"/>
      <c r="G288" s="20"/>
      <c r="H288" s="36"/>
      <c r="I288" s="36"/>
      <c r="J288" s="20"/>
      <c r="K288" s="36"/>
      <c r="L288" s="22" t="str">
        <f>IF(B288="","",IF(I288="CompteCourant",IF(IF(ISNA(VLOOKUP(B288,DATA!$A$1:$A$16,1,0)),"",VLOOKUP(B288,DATA!$A$1:$A$16,1,0))="",L287+E288,L287-E288),L287))</f>
        <v/>
      </c>
      <c r="M288" s="23" t="str">
        <f>IF(B288="","",IF(I288="Coffre",IF(IF(ISNA(VLOOKUP(B288,DATA!$A$1:$A$16,1,0)),"",VLOOKUP(B288,DATA!$A$1:$A$16,1,0))="",M287+E288,M287-E288),M287))</f>
        <v/>
      </c>
      <c r="N288" s="23" t="str">
        <f>IF(B288="","",IF(I288="CompteEpargne",IF(IF(ISNA(VLOOKUP(B288,DATA!$A$1:$A$16,1,0)),"",VLOOKUP(B288,DATA!$A$1:$A$16,1,0))="",N287+E288,N287-E288),N287))</f>
        <v/>
      </c>
      <c r="O288" s="32" t="str">
        <f>IF(B288="","",IF(J288="CompteEpargne",IF(IF(ISNA(VLOOKUP(B288,DATA!$A$1:$A$16,1,0)),"",VLOOKUP(B288,DATA!$A$1:$A$16,1,0))="",O287+E288,O287-E288),O287))</f>
        <v/>
      </c>
      <c r="P288" s="22" t="str">
        <f t="shared" si="2"/>
        <v/>
      </c>
      <c r="Q288" s="32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4.25" customHeight="1" x14ac:dyDescent="0.2">
      <c r="A289" s="1"/>
      <c r="B289" s="33"/>
      <c r="C289" s="17">
        <f t="shared" si="3"/>
        <v>285</v>
      </c>
      <c r="D289" s="34"/>
      <c r="E289" s="35"/>
      <c r="F289" s="20"/>
      <c r="G289" s="20"/>
      <c r="H289" s="36"/>
      <c r="I289" s="36"/>
      <c r="J289" s="20"/>
      <c r="K289" s="36"/>
      <c r="L289" s="22" t="str">
        <f>IF(B289="","",IF(I289="CompteCourant",IF(IF(ISNA(VLOOKUP(B289,DATA!$A$1:$A$16,1,0)),"",VLOOKUP(B289,DATA!$A$1:$A$16,1,0))="",L288+E289,L288-E289),L288))</f>
        <v/>
      </c>
      <c r="M289" s="23" t="str">
        <f>IF(B289="","",IF(I289="Coffre",IF(IF(ISNA(VLOOKUP(B289,DATA!$A$1:$A$16,1,0)),"",VLOOKUP(B289,DATA!$A$1:$A$16,1,0))="",M288+E289,M288-E289),M288))</f>
        <v/>
      </c>
      <c r="N289" s="23" t="str">
        <f>IF(B289="","",IF(I289="CompteEpargne",IF(IF(ISNA(VLOOKUP(B289,DATA!$A$1:$A$16,1,0)),"",VLOOKUP(B289,DATA!$A$1:$A$16,1,0))="",N288+E289,N288-E289),N288))</f>
        <v/>
      </c>
      <c r="O289" s="32" t="str">
        <f>IF(B289="","",IF(J289="CompteEpargne",IF(IF(ISNA(VLOOKUP(B289,DATA!$A$1:$A$16,1,0)),"",VLOOKUP(B289,DATA!$A$1:$A$16,1,0))="",O288+E289,O288-E289),O288))</f>
        <v/>
      </c>
      <c r="P289" s="22" t="str">
        <f t="shared" si="2"/>
        <v/>
      </c>
      <c r="Q289" s="32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4.25" customHeight="1" x14ac:dyDescent="0.2">
      <c r="A290" s="1"/>
      <c r="B290" s="33"/>
      <c r="C290" s="17">
        <f t="shared" si="3"/>
        <v>286</v>
      </c>
      <c r="D290" s="34"/>
      <c r="E290" s="35"/>
      <c r="F290" s="20"/>
      <c r="G290" s="20"/>
      <c r="H290" s="36"/>
      <c r="I290" s="36"/>
      <c r="J290" s="20"/>
      <c r="K290" s="36"/>
      <c r="L290" s="22" t="str">
        <f>IF(B290="","",IF(I290="CompteCourant",IF(IF(ISNA(VLOOKUP(B290,DATA!$A$1:$A$16,1,0)),"",VLOOKUP(B290,DATA!$A$1:$A$16,1,0))="",L289+E290,L289-E290),L289))</f>
        <v/>
      </c>
      <c r="M290" s="23" t="str">
        <f>IF(B290="","",IF(I290="Coffre",IF(IF(ISNA(VLOOKUP(B290,DATA!$A$1:$A$16,1,0)),"",VLOOKUP(B290,DATA!$A$1:$A$16,1,0))="",M289+E290,M289-E290),M289))</f>
        <v/>
      </c>
      <c r="N290" s="23" t="str">
        <f>IF(B290="","",IF(I290="CompteEpargne",IF(IF(ISNA(VLOOKUP(B290,DATA!$A$1:$A$16,1,0)),"",VLOOKUP(B290,DATA!$A$1:$A$16,1,0))="",N289+E290,N289-E290),N289))</f>
        <v/>
      </c>
      <c r="O290" s="32" t="str">
        <f>IF(B290="","",IF(J290="CompteEpargne",IF(IF(ISNA(VLOOKUP(B290,DATA!$A$1:$A$16,1,0)),"",VLOOKUP(B290,DATA!$A$1:$A$16,1,0))="",O289+E290,O289-E290),O289))</f>
        <v/>
      </c>
      <c r="P290" s="22" t="str">
        <f t="shared" si="2"/>
        <v/>
      </c>
      <c r="Q290" s="32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4.25" customHeight="1" x14ac:dyDescent="0.2">
      <c r="A291" s="1"/>
      <c r="B291" s="33"/>
      <c r="C291" s="17">
        <f t="shared" si="3"/>
        <v>287</v>
      </c>
      <c r="D291" s="34"/>
      <c r="E291" s="35"/>
      <c r="F291" s="20"/>
      <c r="G291" s="20"/>
      <c r="H291" s="36"/>
      <c r="I291" s="36"/>
      <c r="J291" s="20"/>
      <c r="K291" s="36"/>
      <c r="L291" s="22" t="str">
        <f>IF(B291="","",IF(I291="CompteCourant",IF(IF(ISNA(VLOOKUP(B291,DATA!$A$1:$A$16,1,0)),"",VLOOKUP(B291,DATA!$A$1:$A$16,1,0))="",L290+E291,L290-E291),L290))</f>
        <v/>
      </c>
      <c r="M291" s="23" t="str">
        <f>IF(B291="","",IF(I291="Coffre",IF(IF(ISNA(VLOOKUP(B291,DATA!$A$1:$A$16,1,0)),"",VLOOKUP(B291,DATA!$A$1:$A$16,1,0))="",M290+E291,M290-E291),M290))</f>
        <v/>
      </c>
      <c r="N291" s="23" t="str">
        <f>IF(B291="","",IF(I291="CompteEpargne",IF(IF(ISNA(VLOOKUP(B291,DATA!$A$1:$A$16,1,0)),"",VLOOKUP(B291,DATA!$A$1:$A$16,1,0))="",N290+E291,N290-E291),N290))</f>
        <v/>
      </c>
      <c r="O291" s="32" t="str">
        <f>IF(B291="","",IF(J291="CompteEpargne",IF(IF(ISNA(VLOOKUP(B291,DATA!$A$1:$A$16,1,0)),"",VLOOKUP(B291,DATA!$A$1:$A$16,1,0))="",O290+E291,O290-E291),O290))</f>
        <v/>
      </c>
      <c r="P291" s="22" t="str">
        <f t="shared" si="2"/>
        <v/>
      </c>
      <c r="Q291" s="32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4.25" customHeight="1" x14ac:dyDescent="0.2">
      <c r="A292" s="1"/>
      <c r="B292" s="33"/>
      <c r="C292" s="17">
        <f t="shared" si="3"/>
        <v>288</v>
      </c>
      <c r="D292" s="34"/>
      <c r="E292" s="35"/>
      <c r="F292" s="20"/>
      <c r="G292" s="20"/>
      <c r="H292" s="36"/>
      <c r="I292" s="36"/>
      <c r="J292" s="20"/>
      <c r="K292" s="36"/>
      <c r="L292" s="22" t="str">
        <f>IF(B292="","",IF(I292="CompteCourant",IF(IF(ISNA(VLOOKUP(B292,DATA!$A$1:$A$16,1,0)),"",VLOOKUP(B292,DATA!$A$1:$A$16,1,0))="",L291+E292,L291-E292),L291))</f>
        <v/>
      </c>
      <c r="M292" s="23" t="str">
        <f>IF(B292="","",IF(I292="Coffre",IF(IF(ISNA(VLOOKUP(B292,DATA!$A$1:$A$16,1,0)),"",VLOOKUP(B292,DATA!$A$1:$A$16,1,0))="",M291+E292,M291-E292),M291))</f>
        <v/>
      </c>
      <c r="N292" s="23" t="str">
        <f>IF(B292="","",IF(I292="CompteEpargne",IF(IF(ISNA(VLOOKUP(B292,DATA!$A$1:$A$16,1,0)),"",VLOOKUP(B292,DATA!$A$1:$A$16,1,0))="",N291+E292,N291-E292),N291))</f>
        <v/>
      </c>
      <c r="O292" s="32" t="str">
        <f>IF(B292="","",IF(J292="CompteEpargne",IF(IF(ISNA(VLOOKUP(B292,DATA!$A$1:$A$16,1,0)),"",VLOOKUP(B292,DATA!$A$1:$A$16,1,0))="",O291+E292,O291-E292),O291))</f>
        <v/>
      </c>
      <c r="P292" s="22" t="str">
        <f t="shared" si="2"/>
        <v/>
      </c>
      <c r="Q292" s="32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4.25" customHeight="1" x14ac:dyDescent="0.2">
      <c r="A293" s="1"/>
      <c r="B293" s="33"/>
      <c r="C293" s="17">
        <f t="shared" si="3"/>
        <v>289</v>
      </c>
      <c r="D293" s="34"/>
      <c r="E293" s="35"/>
      <c r="F293" s="20"/>
      <c r="G293" s="20"/>
      <c r="H293" s="36"/>
      <c r="I293" s="36"/>
      <c r="J293" s="20"/>
      <c r="K293" s="36"/>
      <c r="L293" s="22" t="str">
        <f>IF(B293="","",IF(I293="CompteCourant",IF(IF(ISNA(VLOOKUP(B293,DATA!$A$1:$A$16,1,0)),"",VLOOKUP(B293,DATA!$A$1:$A$16,1,0))="",L292+E293,L292-E293),L292))</f>
        <v/>
      </c>
      <c r="M293" s="23" t="str">
        <f>IF(B293="","",IF(I293="Coffre",IF(IF(ISNA(VLOOKUP(B293,DATA!$A$1:$A$16,1,0)),"",VLOOKUP(B293,DATA!$A$1:$A$16,1,0))="",M292+E293,M292-E293),M292))</f>
        <v/>
      </c>
      <c r="N293" s="23" t="str">
        <f>IF(B293="","",IF(I293="CompteEpargne",IF(IF(ISNA(VLOOKUP(B293,DATA!$A$1:$A$16,1,0)),"",VLOOKUP(B293,DATA!$A$1:$A$16,1,0))="",N292+E293,N292-E293),N292))</f>
        <v/>
      </c>
      <c r="O293" s="32" t="str">
        <f>IF(B293="","",IF(J293="CompteEpargne",IF(IF(ISNA(VLOOKUP(B293,DATA!$A$1:$A$16,1,0)),"",VLOOKUP(B293,DATA!$A$1:$A$16,1,0))="",O292+E293,O292-E293),O292))</f>
        <v/>
      </c>
      <c r="P293" s="22" t="str">
        <f t="shared" si="2"/>
        <v/>
      </c>
      <c r="Q293" s="32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4.25" customHeight="1" x14ac:dyDescent="0.2">
      <c r="A294" s="1"/>
      <c r="B294" s="33"/>
      <c r="C294" s="17">
        <f t="shared" si="3"/>
        <v>290</v>
      </c>
      <c r="D294" s="34"/>
      <c r="E294" s="35"/>
      <c r="F294" s="20"/>
      <c r="G294" s="20"/>
      <c r="H294" s="36"/>
      <c r="I294" s="36"/>
      <c r="J294" s="20"/>
      <c r="K294" s="36"/>
      <c r="L294" s="22" t="str">
        <f>IF(B294="","",IF(I294="CompteCourant",IF(IF(ISNA(VLOOKUP(B294,DATA!$A$1:$A$16,1,0)),"",VLOOKUP(B294,DATA!$A$1:$A$16,1,0))="",L293+E294,L293-E294),L293))</f>
        <v/>
      </c>
      <c r="M294" s="23" t="str">
        <f>IF(B294="","",IF(I294="Coffre",IF(IF(ISNA(VLOOKUP(B294,DATA!$A$1:$A$16,1,0)),"",VLOOKUP(B294,DATA!$A$1:$A$16,1,0))="",M293+E294,M293-E294),M293))</f>
        <v/>
      </c>
      <c r="N294" s="23" t="str">
        <f>IF(B294="","",IF(I294="CompteEpargne",IF(IF(ISNA(VLOOKUP(B294,DATA!$A$1:$A$16,1,0)),"",VLOOKUP(B294,DATA!$A$1:$A$16,1,0))="",N293+E294,N293-E294),N293))</f>
        <v/>
      </c>
      <c r="O294" s="32" t="str">
        <f>IF(B294="","",IF(J294="CompteEpargne",IF(IF(ISNA(VLOOKUP(B294,DATA!$A$1:$A$16,1,0)),"",VLOOKUP(B294,DATA!$A$1:$A$16,1,0))="",O293+E294,O293-E294),O293))</f>
        <v/>
      </c>
      <c r="P294" s="22" t="str">
        <f t="shared" si="2"/>
        <v/>
      </c>
      <c r="Q294" s="32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4.25" customHeight="1" x14ac:dyDescent="0.2">
      <c r="A295" s="1"/>
      <c r="B295" s="33"/>
      <c r="C295" s="17">
        <f t="shared" si="3"/>
        <v>291</v>
      </c>
      <c r="D295" s="34"/>
      <c r="E295" s="35"/>
      <c r="F295" s="20"/>
      <c r="G295" s="20"/>
      <c r="H295" s="36"/>
      <c r="I295" s="36"/>
      <c r="J295" s="20"/>
      <c r="K295" s="36"/>
      <c r="L295" s="22" t="str">
        <f>IF(B295="","",IF(I295="CompteCourant",IF(IF(ISNA(VLOOKUP(B295,DATA!$A$1:$A$16,1,0)),"",VLOOKUP(B295,DATA!$A$1:$A$16,1,0))="",L294+E295,L294-E295),L294))</f>
        <v/>
      </c>
      <c r="M295" s="23" t="str">
        <f>IF(B295="","",IF(I295="Coffre",IF(IF(ISNA(VLOOKUP(B295,DATA!$A$1:$A$16,1,0)),"",VLOOKUP(B295,DATA!$A$1:$A$16,1,0))="",M294+E295,M294-E295),M294))</f>
        <v/>
      </c>
      <c r="N295" s="23" t="str">
        <f>IF(B295="","",IF(I295="CompteEpargne",IF(IF(ISNA(VLOOKUP(B295,DATA!$A$1:$A$16,1,0)),"",VLOOKUP(B295,DATA!$A$1:$A$16,1,0))="",N294+E295,N294-E295),N294))</f>
        <v/>
      </c>
      <c r="O295" s="32" t="str">
        <f>IF(B295="","",IF(J295="CompteEpargne",IF(IF(ISNA(VLOOKUP(B295,DATA!$A$1:$A$16,1,0)),"",VLOOKUP(B295,DATA!$A$1:$A$16,1,0))="",O294+E295,O294-E295),O294))</f>
        <v/>
      </c>
      <c r="P295" s="22" t="str">
        <f t="shared" si="2"/>
        <v/>
      </c>
      <c r="Q295" s="32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4.25" customHeight="1" x14ac:dyDescent="0.2">
      <c r="A296" s="1"/>
      <c r="B296" s="33"/>
      <c r="C296" s="17">
        <f t="shared" si="3"/>
        <v>292</v>
      </c>
      <c r="D296" s="34"/>
      <c r="E296" s="35"/>
      <c r="F296" s="20"/>
      <c r="G296" s="20"/>
      <c r="H296" s="36"/>
      <c r="I296" s="36"/>
      <c r="J296" s="20"/>
      <c r="K296" s="36"/>
      <c r="L296" s="22" t="str">
        <f>IF(B296="","",IF(I296="CompteCourant",IF(IF(ISNA(VLOOKUP(B296,DATA!$A$1:$A$16,1,0)),"",VLOOKUP(B296,DATA!$A$1:$A$16,1,0))="",L295+E296,L295-E296),L295))</f>
        <v/>
      </c>
      <c r="M296" s="23" t="str">
        <f>IF(B296="","",IF(I296="Coffre",IF(IF(ISNA(VLOOKUP(B296,DATA!$A$1:$A$16,1,0)),"",VLOOKUP(B296,DATA!$A$1:$A$16,1,0))="",M295+E296,M295-E296),M295))</f>
        <v/>
      </c>
      <c r="N296" s="23" t="str">
        <f>IF(B296="","",IF(I296="CompteEpargne",IF(IF(ISNA(VLOOKUP(B296,DATA!$A$1:$A$16,1,0)),"",VLOOKUP(B296,DATA!$A$1:$A$16,1,0))="",N295+E296,N295-E296),N295))</f>
        <v/>
      </c>
      <c r="O296" s="32" t="str">
        <f>IF(B296="","",IF(J296="CompteEpargne",IF(IF(ISNA(VLOOKUP(B296,DATA!$A$1:$A$16,1,0)),"",VLOOKUP(B296,DATA!$A$1:$A$16,1,0))="",O295+E296,O295-E296),O295))</f>
        <v/>
      </c>
      <c r="P296" s="22" t="str">
        <f t="shared" si="2"/>
        <v/>
      </c>
      <c r="Q296" s="32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4.25" customHeight="1" x14ac:dyDescent="0.2">
      <c r="A297" s="1"/>
      <c r="B297" s="33"/>
      <c r="C297" s="17">
        <f t="shared" si="3"/>
        <v>293</v>
      </c>
      <c r="D297" s="34"/>
      <c r="E297" s="35"/>
      <c r="F297" s="20"/>
      <c r="G297" s="20"/>
      <c r="H297" s="36"/>
      <c r="I297" s="36"/>
      <c r="J297" s="20"/>
      <c r="K297" s="36"/>
      <c r="L297" s="22" t="str">
        <f>IF(B297="","",IF(I297="CompteCourant",IF(IF(ISNA(VLOOKUP(B297,DATA!$A$1:$A$16,1,0)),"",VLOOKUP(B297,DATA!$A$1:$A$16,1,0))="",L296+E297,L296-E297),L296))</f>
        <v/>
      </c>
      <c r="M297" s="23" t="str">
        <f>IF(B297="","",IF(I297="Coffre",IF(IF(ISNA(VLOOKUP(B297,DATA!$A$1:$A$16,1,0)),"",VLOOKUP(B297,DATA!$A$1:$A$16,1,0))="",M296+E297,M296-E297),M296))</f>
        <v/>
      </c>
      <c r="N297" s="23" t="str">
        <f>IF(B297="","",IF(I297="CompteEpargne",IF(IF(ISNA(VLOOKUP(B297,DATA!$A$1:$A$16,1,0)),"",VLOOKUP(B297,DATA!$A$1:$A$16,1,0))="",N296+E297,N296-E297),N296))</f>
        <v/>
      </c>
      <c r="O297" s="32" t="str">
        <f>IF(B297="","",IF(J297="CompteEpargne",IF(IF(ISNA(VLOOKUP(B297,DATA!$A$1:$A$16,1,0)),"",VLOOKUP(B297,DATA!$A$1:$A$16,1,0))="",O296+E297,O296-E297),O296))</f>
        <v/>
      </c>
      <c r="P297" s="22" t="str">
        <f t="shared" si="2"/>
        <v/>
      </c>
      <c r="Q297" s="32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4.25" customHeight="1" x14ac:dyDescent="0.2">
      <c r="A298" s="1"/>
      <c r="B298" s="33"/>
      <c r="C298" s="17">
        <f t="shared" si="3"/>
        <v>294</v>
      </c>
      <c r="D298" s="34"/>
      <c r="E298" s="35"/>
      <c r="F298" s="20"/>
      <c r="G298" s="20"/>
      <c r="H298" s="36"/>
      <c r="I298" s="36"/>
      <c r="J298" s="20"/>
      <c r="K298" s="36"/>
      <c r="L298" s="22" t="str">
        <f>IF(B298="","",IF(I298="CompteCourant",IF(IF(ISNA(VLOOKUP(B298,DATA!$A$1:$A$16,1,0)),"",VLOOKUP(B298,DATA!$A$1:$A$16,1,0))="",L297+E298,L297-E298),L297))</f>
        <v/>
      </c>
      <c r="M298" s="23" t="str">
        <f>IF(B298="","",IF(I298="Coffre",IF(IF(ISNA(VLOOKUP(B298,DATA!$A$1:$A$16,1,0)),"",VLOOKUP(B298,DATA!$A$1:$A$16,1,0))="",M297+E298,M297-E298),M297))</f>
        <v/>
      </c>
      <c r="N298" s="23" t="str">
        <f>IF(B298="","",IF(I298="CompteEpargne",IF(IF(ISNA(VLOOKUP(B298,DATA!$A$1:$A$16,1,0)),"",VLOOKUP(B298,DATA!$A$1:$A$16,1,0))="",N297+E298,N297-E298),N297))</f>
        <v/>
      </c>
      <c r="O298" s="32" t="str">
        <f>IF(B298="","",IF(J298="CompteEpargne",IF(IF(ISNA(VLOOKUP(B298,DATA!$A$1:$A$16,1,0)),"",VLOOKUP(B298,DATA!$A$1:$A$16,1,0))="",O297+E298,O297-E298),O297))</f>
        <v/>
      </c>
      <c r="P298" s="22" t="str">
        <f t="shared" si="2"/>
        <v/>
      </c>
      <c r="Q298" s="32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4.25" customHeight="1" x14ac:dyDescent="0.2">
      <c r="A299" s="1"/>
      <c r="B299" s="33"/>
      <c r="C299" s="17">
        <f t="shared" si="3"/>
        <v>295</v>
      </c>
      <c r="D299" s="34"/>
      <c r="E299" s="35"/>
      <c r="F299" s="20"/>
      <c r="G299" s="20"/>
      <c r="H299" s="36"/>
      <c r="I299" s="36"/>
      <c r="J299" s="20"/>
      <c r="K299" s="36"/>
      <c r="L299" s="22" t="str">
        <f>IF(B299="","",IF(I299="CompteCourant",IF(IF(ISNA(VLOOKUP(B299,DATA!$A$1:$A$16,1,0)),"",VLOOKUP(B299,DATA!$A$1:$A$16,1,0))="",L298+E299,L298-E299),L298))</f>
        <v/>
      </c>
      <c r="M299" s="23" t="str">
        <f>IF(B299="","",IF(I299="Coffre",IF(IF(ISNA(VLOOKUP(B299,DATA!$A$1:$A$16,1,0)),"",VLOOKUP(B299,DATA!$A$1:$A$16,1,0))="",M298+E299,M298-E299),M298))</f>
        <v/>
      </c>
      <c r="N299" s="23" t="str">
        <f>IF(B299="","",IF(I299="CompteEpargne",IF(IF(ISNA(VLOOKUP(B299,DATA!$A$1:$A$16,1,0)),"",VLOOKUP(B299,DATA!$A$1:$A$16,1,0))="",N298+E299,N298-E299),N298))</f>
        <v/>
      </c>
      <c r="O299" s="32" t="str">
        <f>IF(B299="","",IF(J299="CompteEpargne",IF(IF(ISNA(VLOOKUP(B299,DATA!$A$1:$A$16,1,0)),"",VLOOKUP(B299,DATA!$A$1:$A$16,1,0))="",O298+E299,O298-E299),O298))</f>
        <v/>
      </c>
      <c r="P299" s="22" t="str">
        <f t="shared" si="2"/>
        <v/>
      </c>
      <c r="Q299" s="32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4.25" customHeight="1" x14ac:dyDescent="0.2">
      <c r="A300" s="1"/>
      <c r="B300" s="33"/>
      <c r="C300" s="17">
        <f t="shared" si="3"/>
        <v>296</v>
      </c>
      <c r="D300" s="34"/>
      <c r="E300" s="35"/>
      <c r="F300" s="20"/>
      <c r="G300" s="20"/>
      <c r="H300" s="36"/>
      <c r="I300" s="36"/>
      <c r="J300" s="20"/>
      <c r="K300" s="36"/>
      <c r="L300" s="22" t="str">
        <f>IF(B300="","",IF(I300="CompteCourant",IF(IF(ISNA(VLOOKUP(B300,DATA!$A$1:$A$16,1,0)),"",VLOOKUP(B300,DATA!$A$1:$A$16,1,0))="",L299+E300,L299-E300),L299))</f>
        <v/>
      </c>
      <c r="M300" s="23" t="str">
        <f>IF(B300="","",IF(I300="Coffre",IF(IF(ISNA(VLOOKUP(B300,DATA!$A$1:$A$16,1,0)),"",VLOOKUP(B300,DATA!$A$1:$A$16,1,0))="",M299+E300,M299-E300),M299))</f>
        <v/>
      </c>
      <c r="N300" s="23" t="str">
        <f>IF(B300="","",IF(I300="CompteEpargne",IF(IF(ISNA(VLOOKUP(B300,DATA!$A$1:$A$16,1,0)),"",VLOOKUP(B300,DATA!$A$1:$A$16,1,0))="",N299+E300,N299-E300),N299))</f>
        <v/>
      </c>
      <c r="O300" s="32" t="str">
        <f>IF(B300="","",IF(J300="CompteEpargne",IF(IF(ISNA(VLOOKUP(B300,DATA!$A$1:$A$16,1,0)),"",VLOOKUP(B300,DATA!$A$1:$A$16,1,0))="",O299+E300,O299-E300),O299))</f>
        <v/>
      </c>
      <c r="P300" s="22" t="str">
        <f t="shared" si="2"/>
        <v/>
      </c>
      <c r="Q300" s="32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4.25" customHeight="1" x14ac:dyDescent="0.2">
      <c r="A301" s="1"/>
      <c r="B301" s="33"/>
      <c r="C301" s="17">
        <f t="shared" si="3"/>
        <v>297</v>
      </c>
      <c r="D301" s="34"/>
      <c r="E301" s="35"/>
      <c r="F301" s="20"/>
      <c r="G301" s="20"/>
      <c r="H301" s="36"/>
      <c r="I301" s="36"/>
      <c r="J301" s="20"/>
      <c r="K301" s="36"/>
      <c r="L301" s="22" t="str">
        <f>IF(B301="","",IF(I301="CompteCourant",IF(IF(ISNA(VLOOKUP(B301,DATA!$A$1:$A$16,1,0)),"",VLOOKUP(B301,DATA!$A$1:$A$16,1,0))="",L300+E301,L300-E301),L300))</f>
        <v/>
      </c>
      <c r="M301" s="23" t="str">
        <f>IF(B301="","",IF(I301="Coffre",IF(IF(ISNA(VLOOKUP(B301,DATA!$A$1:$A$16,1,0)),"",VLOOKUP(B301,DATA!$A$1:$A$16,1,0))="",M300+E301,M300-E301),M300))</f>
        <v/>
      </c>
      <c r="N301" s="23" t="str">
        <f>IF(B301="","",IF(I301="CompteEpargne",IF(IF(ISNA(VLOOKUP(B301,DATA!$A$1:$A$16,1,0)),"",VLOOKUP(B301,DATA!$A$1:$A$16,1,0))="",N300+E301,N300-E301),N300))</f>
        <v/>
      </c>
      <c r="O301" s="32" t="str">
        <f>IF(B301="","",IF(J301="CompteEpargne",IF(IF(ISNA(VLOOKUP(B301,DATA!$A$1:$A$16,1,0)),"",VLOOKUP(B301,DATA!$A$1:$A$16,1,0))="",O300+E301,O300-E301),O300))</f>
        <v/>
      </c>
      <c r="P301" s="22" t="str">
        <f t="shared" si="2"/>
        <v/>
      </c>
      <c r="Q301" s="32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4.25" customHeight="1" x14ac:dyDescent="0.2">
      <c r="A302" s="1"/>
      <c r="B302" s="33"/>
      <c r="C302" s="17">
        <f t="shared" si="3"/>
        <v>298</v>
      </c>
      <c r="D302" s="34"/>
      <c r="E302" s="35"/>
      <c r="F302" s="20"/>
      <c r="G302" s="20"/>
      <c r="H302" s="36"/>
      <c r="I302" s="36"/>
      <c r="J302" s="20"/>
      <c r="K302" s="36"/>
      <c r="L302" s="22" t="str">
        <f>IF(B302="","",IF(I302="CompteCourant",IF(IF(ISNA(VLOOKUP(B302,DATA!$A$1:$A$16,1,0)),"",VLOOKUP(B302,DATA!$A$1:$A$16,1,0))="",L301+E302,L301-E302),L301))</f>
        <v/>
      </c>
      <c r="M302" s="23" t="str">
        <f>IF(B302="","",IF(I302="Coffre",IF(IF(ISNA(VLOOKUP(B302,DATA!$A$1:$A$16,1,0)),"",VLOOKUP(B302,DATA!$A$1:$A$16,1,0))="",M301+E302,M301-E302),M301))</f>
        <v/>
      </c>
      <c r="N302" s="23" t="str">
        <f>IF(B302="","",IF(I302="CompteEpargne",IF(IF(ISNA(VLOOKUP(B302,DATA!$A$1:$A$16,1,0)),"",VLOOKUP(B302,DATA!$A$1:$A$16,1,0))="",N301+E302,N301-E302),N301))</f>
        <v/>
      </c>
      <c r="O302" s="32" t="str">
        <f>IF(B302="","",IF(J302="CompteEpargne",IF(IF(ISNA(VLOOKUP(B302,DATA!$A$1:$A$16,1,0)),"",VLOOKUP(B302,DATA!$A$1:$A$16,1,0))="",O301+E302,O301-E302),O301))</f>
        <v/>
      </c>
      <c r="P302" s="22" t="str">
        <f t="shared" si="2"/>
        <v/>
      </c>
      <c r="Q302" s="32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4.25" customHeight="1" x14ac:dyDescent="0.2">
      <c r="A303" s="1"/>
      <c r="B303" s="33"/>
      <c r="C303" s="17">
        <f t="shared" si="3"/>
        <v>299</v>
      </c>
      <c r="D303" s="34"/>
      <c r="E303" s="35"/>
      <c r="F303" s="20"/>
      <c r="G303" s="20"/>
      <c r="H303" s="36"/>
      <c r="I303" s="36"/>
      <c r="J303" s="20"/>
      <c r="K303" s="36"/>
      <c r="L303" s="22" t="str">
        <f>IF(B303="","",IF(I303="CompteCourant",IF(IF(ISNA(VLOOKUP(B303,DATA!$A$1:$A$16,1,0)),"",VLOOKUP(B303,DATA!$A$1:$A$16,1,0))="",L302+E303,L302-E303),L302))</f>
        <v/>
      </c>
      <c r="M303" s="23" t="str">
        <f>IF(B303="","",IF(I303="Coffre",IF(IF(ISNA(VLOOKUP(B303,DATA!$A$1:$A$16,1,0)),"",VLOOKUP(B303,DATA!$A$1:$A$16,1,0))="",M302+E303,M302-E303),M302))</f>
        <v/>
      </c>
      <c r="N303" s="23" t="str">
        <f>IF(B303="","",IF(I303="CompteEpargne",IF(IF(ISNA(VLOOKUP(B303,DATA!$A$1:$A$16,1,0)),"",VLOOKUP(B303,DATA!$A$1:$A$16,1,0))="",N302+E303,N302-E303),N302))</f>
        <v/>
      </c>
      <c r="O303" s="32" t="str">
        <f>IF(B303="","",IF(J303="CompteEpargne",IF(IF(ISNA(VLOOKUP(B303,DATA!$A$1:$A$16,1,0)),"",VLOOKUP(B303,DATA!$A$1:$A$16,1,0))="",O302+E303,O302-E303),O302))</f>
        <v/>
      </c>
      <c r="P303" s="22" t="str">
        <f t="shared" si="2"/>
        <v/>
      </c>
      <c r="Q303" s="32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4.25" customHeight="1" x14ac:dyDescent="0.2">
      <c r="A304" s="1"/>
      <c r="B304" s="33"/>
      <c r="C304" s="17">
        <f t="shared" si="3"/>
        <v>300</v>
      </c>
      <c r="D304" s="34"/>
      <c r="E304" s="35"/>
      <c r="F304" s="20"/>
      <c r="G304" s="20"/>
      <c r="H304" s="36"/>
      <c r="I304" s="36"/>
      <c r="J304" s="20"/>
      <c r="K304" s="36"/>
      <c r="L304" s="22" t="str">
        <f>IF(B304="","",IF(I304="CompteCourant",IF(IF(ISNA(VLOOKUP(B304,DATA!$A$1:$A$16,1,0)),"",VLOOKUP(B304,DATA!$A$1:$A$16,1,0))="",L303+E304,L303-E304),L303))</f>
        <v/>
      </c>
      <c r="M304" s="23" t="str">
        <f>IF(B304="","",IF(I304="Coffre",IF(IF(ISNA(VLOOKUP(B304,DATA!$A$1:$A$16,1,0)),"",VLOOKUP(B304,DATA!$A$1:$A$16,1,0))="",M303+E304,M303-E304),M303))</f>
        <v/>
      </c>
      <c r="N304" s="23" t="str">
        <f>IF(B304="","",IF(I304="CompteEpargne",IF(IF(ISNA(VLOOKUP(B304,DATA!$A$1:$A$16,1,0)),"",VLOOKUP(B304,DATA!$A$1:$A$16,1,0))="",N303+E304,N303-E304),N303))</f>
        <v/>
      </c>
      <c r="O304" s="32" t="str">
        <f>IF(B304="","",IF(J304="CompteEpargne",IF(IF(ISNA(VLOOKUP(B304,DATA!$A$1:$A$16,1,0)),"",VLOOKUP(B304,DATA!$A$1:$A$16,1,0))="",O303+E304,O303-E304),O303))</f>
        <v/>
      </c>
      <c r="P304" s="22" t="str">
        <f t="shared" si="2"/>
        <v/>
      </c>
      <c r="Q304" s="32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4.25" customHeight="1" x14ac:dyDescent="0.2">
      <c r="A305" s="1"/>
      <c r="B305" s="33"/>
      <c r="C305" s="17">
        <f t="shared" si="3"/>
        <v>301</v>
      </c>
      <c r="D305" s="34"/>
      <c r="E305" s="35"/>
      <c r="F305" s="20"/>
      <c r="G305" s="20"/>
      <c r="H305" s="36"/>
      <c r="I305" s="36"/>
      <c r="J305" s="20"/>
      <c r="K305" s="36"/>
      <c r="L305" s="22" t="str">
        <f>IF(B305="","",IF(I305="CompteCourant",IF(IF(ISNA(VLOOKUP(B305,DATA!$A$1:$A$16,1,0)),"",VLOOKUP(B305,DATA!$A$1:$A$16,1,0))="",L304+E305,L304-E305),L304))</f>
        <v/>
      </c>
      <c r="M305" s="23" t="str">
        <f>IF(B305="","",IF(I305="Coffre",IF(IF(ISNA(VLOOKUP(B305,DATA!$A$1:$A$16,1,0)),"",VLOOKUP(B305,DATA!$A$1:$A$16,1,0))="",M304+E305,M304-E305),M304))</f>
        <v/>
      </c>
      <c r="N305" s="23" t="str">
        <f>IF(B305="","",IF(I305="CompteEpargne",IF(IF(ISNA(VLOOKUP(B305,DATA!$A$1:$A$16,1,0)),"",VLOOKUP(B305,DATA!$A$1:$A$16,1,0))="",N304+E305,N304-E305),N304))</f>
        <v/>
      </c>
      <c r="O305" s="32" t="str">
        <f>IF(B305="","",IF(J305="CompteEpargne",IF(IF(ISNA(VLOOKUP(B305,DATA!$A$1:$A$16,1,0)),"",VLOOKUP(B305,DATA!$A$1:$A$16,1,0))="",O304+E305,O304-E305),O304))</f>
        <v/>
      </c>
      <c r="P305" s="22" t="str">
        <f t="shared" si="2"/>
        <v/>
      </c>
      <c r="Q305" s="32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4.25" customHeight="1" x14ac:dyDescent="0.2">
      <c r="A306" s="1"/>
      <c r="B306" s="33"/>
      <c r="C306" s="17">
        <f t="shared" si="3"/>
        <v>302</v>
      </c>
      <c r="D306" s="34"/>
      <c r="E306" s="35"/>
      <c r="F306" s="20"/>
      <c r="G306" s="20"/>
      <c r="H306" s="36"/>
      <c r="I306" s="36"/>
      <c r="J306" s="20"/>
      <c r="K306" s="36"/>
      <c r="L306" s="22" t="str">
        <f>IF(B306="","",IF(I306="CompteCourant",IF(IF(ISNA(VLOOKUP(B306,DATA!$A$1:$A$16,1,0)),"",VLOOKUP(B306,DATA!$A$1:$A$16,1,0))="",L305+E306,L305-E306),L305))</f>
        <v/>
      </c>
      <c r="M306" s="23" t="str">
        <f>IF(B306="","",IF(I306="Coffre",IF(IF(ISNA(VLOOKUP(B306,DATA!$A$1:$A$16,1,0)),"",VLOOKUP(B306,DATA!$A$1:$A$16,1,0))="",M305+E306,M305-E306),M305))</f>
        <v/>
      </c>
      <c r="N306" s="23" t="str">
        <f>IF(B306="","",IF(I306="CompteEpargne",IF(IF(ISNA(VLOOKUP(B306,DATA!$A$1:$A$16,1,0)),"",VLOOKUP(B306,DATA!$A$1:$A$16,1,0))="",N305+E306,N305-E306),N305))</f>
        <v/>
      </c>
      <c r="O306" s="32" t="str">
        <f>IF(B306="","",IF(J306="CompteEpargne",IF(IF(ISNA(VLOOKUP(B306,DATA!$A$1:$A$16,1,0)),"",VLOOKUP(B306,DATA!$A$1:$A$16,1,0))="",O305+E306,O305-E306),O305))</f>
        <v/>
      </c>
      <c r="P306" s="22" t="str">
        <f t="shared" si="2"/>
        <v/>
      </c>
      <c r="Q306" s="32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4.25" customHeight="1" x14ac:dyDescent="0.2">
      <c r="A307" s="1"/>
      <c r="B307" s="33"/>
      <c r="C307" s="17">
        <f t="shared" si="3"/>
        <v>303</v>
      </c>
      <c r="D307" s="34"/>
      <c r="E307" s="35"/>
      <c r="F307" s="20"/>
      <c r="G307" s="20"/>
      <c r="H307" s="36"/>
      <c r="I307" s="36"/>
      <c r="J307" s="20"/>
      <c r="K307" s="36"/>
      <c r="L307" s="22" t="str">
        <f>IF(B307="","",IF(I307="CompteCourant",IF(IF(ISNA(VLOOKUP(B307,DATA!$A$1:$A$16,1,0)),"",VLOOKUP(B307,DATA!$A$1:$A$16,1,0))="",L306+E307,L306-E307),L306))</f>
        <v/>
      </c>
      <c r="M307" s="23" t="str">
        <f>IF(B307="","",IF(I307="Coffre",IF(IF(ISNA(VLOOKUP(B307,DATA!$A$1:$A$16,1,0)),"",VLOOKUP(B307,DATA!$A$1:$A$16,1,0))="",M306+E307,M306-E307),M306))</f>
        <v/>
      </c>
      <c r="N307" s="23" t="str">
        <f>IF(B307="","",IF(I307="CompteEpargne",IF(IF(ISNA(VLOOKUP(B307,DATA!$A$1:$A$16,1,0)),"",VLOOKUP(B307,DATA!$A$1:$A$16,1,0))="",N306+E307,N306-E307),N306))</f>
        <v/>
      </c>
      <c r="O307" s="32" t="str">
        <f>IF(B307="","",IF(J307="CompteEpargne",IF(IF(ISNA(VLOOKUP(B307,DATA!$A$1:$A$16,1,0)),"",VLOOKUP(B307,DATA!$A$1:$A$16,1,0))="",O306+E307,O306-E307),O306))</f>
        <v/>
      </c>
      <c r="P307" s="22" t="str">
        <f t="shared" si="2"/>
        <v/>
      </c>
      <c r="Q307" s="32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4.25" customHeight="1" x14ac:dyDescent="0.2">
      <c r="A308" s="1"/>
      <c r="B308" s="33"/>
      <c r="C308" s="17">
        <f t="shared" si="3"/>
        <v>304</v>
      </c>
      <c r="D308" s="34"/>
      <c r="E308" s="35"/>
      <c r="F308" s="20"/>
      <c r="G308" s="20"/>
      <c r="H308" s="36"/>
      <c r="I308" s="36"/>
      <c r="J308" s="20"/>
      <c r="K308" s="36"/>
      <c r="L308" s="22" t="str">
        <f>IF(B308="","",IF(I308="CompteCourant",IF(IF(ISNA(VLOOKUP(B308,DATA!$A$1:$A$16,1,0)),"",VLOOKUP(B308,DATA!$A$1:$A$16,1,0))="",L307+E308,L307-E308),L307))</f>
        <v/>
      </c>
      <c r="M308" s="23" t="str">
        <f>IF(B308="","",IF(I308="Coffre",IF(IF(ISNA(VLOOKUP(B308,DATA!$A$1:$A$16,1,0)),"",VLOOKUP(B308,DATA!$A$1:$A$16,1,0))="",M307+E308,M307-E308),M307))</f>
        <v/>
      </c>
      <c r="N308" s="23" t="str">
        <f>IF(B308="","",IF(I308="CompteEpargne",IF(IF(ISNA(VLOOKUP(B308,DATA!$A$1:$A$16,1,0)),"",VLOOKUP(B308,DATA!$A$1:$A$16,1,0))="",N307+E308,N307-E308),N307))</f>
        <v/>
      </c>
      <c r="O308" s="32" t="str">
        <f>IF(B308="","",IF(J308="CompteEpargne",IF(IF(ISNA(VLOOKUP(B308,DATA!$A$1:$A$16,1,0)),"",VLOOKUP(B308,DATA!$A$1:$A$16,1,0))="",O307+E308,O307-E308),O307))</f>
        <v/>
      </c>
      <c r="P308" s="22" t="str">
        <f t="shared" si="2"/>
        <v/>
      </c>
      <c r="Q308" s="32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4.25" customHeight="1" x14ac:dyDescent="0.2">
      <c r="A309" s="1"/>
      <c r="B309" s="33"/>
      <c r="C309" s="17">
        <f t="shared" si="3"/>
        <v>305</v>
      </c>
      <c r="D309" s="34"/>
      <c r="E309" s="35"/>
      <c r="F309" s="20"/>
      <c r="G309" s="20"/>
      <c r="H309" s="36"/>
      <c r="I309" s="36"/>
      <c r="J309" s="20"/>
      <c r="K309" s="36"/>
      <c r="L309" s="22" t="str">
        <f>IF(B309="","",IF(I309="CompteCourant",IF(IF(ISNA(VLOOKUP(B309,DATA!$A$1:$A$16,1,0)),"",VLOOKUP(B309,DATA!$A$1:$A$16,1,0))="",L308+E309,L308-E309),L308))</f>
        <v/>
      </c>
      <c r="M309" s="23" t="str">
        <f>IF(B309="","",IF(I309="Coffre",IF(IF(ISNA(VLOOKUP(B309,DATA!$A$1:$A$16,1,0)),"",VLOOKUP(B309,DATA!$A$1:$A$16,1,0))="",M308+E309,M308-E309),M308))</f>
        <v/>
      </c>
      <c r="N309" s="23" t="str">
        <f>IF(B309="","",IF(I309="CompteEpargne",IF(IF(ISNA(VLOOKUP(B309,DATA!$A$1:$A$16,1,0)),"",VLOOKUP(B309,DATA!$A$1:$A$16,1,0))="",N308+E309,N308-E309),N308))</f>
        <v/>
      </c>
      <c r="O309" s="32" t="str">
        <f>IF(B309="","",IF(J309="CompteEpargne",IF(IF(ISNA(VLOOKUP(B309,DATA!$A$1:$A$16,1,0)),"",VLOOKUP(B309,DATA!$A$1:$A$16,1,0))="",O308+E309,O308-E309),O308))</f>
        <v/>
      </c>
      <c r="P309" s="22" t="str">
        <f t="shared" si="2"/>
        <v/>
      </c>
      <c r="Q309" s="32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4.25" customHeight="1" x14ac:dyDescent="0.2">
      <c r="A310" s="1"/>
      <c r="B310" s="33"/>
      <c r="C310" s="17">
        <f t="shared" si="3"/>
        <v>306</v>
      </c>
      <c r="D310" s="34"/>
      <c r="E310" s="35"/>
      <c r="F310" s="20"/>
      <c r="G310" s="20"/>
      <c r="H310" s="36"/>
      <c r="I310" s="36"/>
      <c r="J310" s="20"/>
      <c r="K310" s="36"/>
      <c r="L310" s="22" t="str">
        <f>IF(B310="","",IF(I310="CompteCourant",IF(IF(ISNA(VLOOKUP(B310,DATA!$A$1:$A$16,1,0)),"",VLOOKUP(B310,DATA!$A$1:$A$16,1,0))="",L309+E310,L309-E310),L309))</f>
        <v/>
      </c>
      <c r="M310" s="23" t="str">
        <f>IF(B310="","",IF(I310="Coffre",IF(IF(ISNA(VLOOKUP(B310,DATA!$A$1:$A$16,1,0)),"",VLOOKUP(B310,DATA!$A$1:$A$16,1,0))="",M309+E310,M309-E310),M309))</f>
        <v/>
      </c>
      <c r="N310" s="23" t="str">
        <f>IF(B310="","",IF(I310="CompteEpargne",IF(IF(ISNA(VLOOKUP(B310,DATA!$A$1:$A$16,1,0)),"",VLOOKUP(B310,DATA!$A$1:$A$16,1,0))="",N309+E310,N309-E310),N309))</f>
        <v/>
      </c>
      <c r="O310" s="32" t="str">
        <f>IF(B310="","",IF(J310="CompteEpargne",IF(IF(ISNA(VLOOKUP(B310,DATA!$A$1:$A$16,1,0)),"",VLOOKUP(B310,DATA!$A$1:$A$16,1,0))="",O309+E310,O309-E310),O309))</f>
        <v/>
      </c>
      <c r="P310" s="22" t="str">
        <f t="shared" si="2"/>
        <v/>
      </c>
      <c r="Q310" s="32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4.25" customHeight="1" x14ac:dyDescent="0.2">
      <c r="A311" s="1"/>
      <c r="B311" s="33"/>
      <c r="C311" s="17">
        <f t="shared" si="3"/>
        <v>307</v>
      </c>
      <c r="D311" s="34"/>
      <c r="E311" s="35"/>
      <c r="F311" s="20"/>
      <c r="G311" s="20"/>
      <c r="H311" s="36"/>
      <c r="I311" s="36"/>
      <c r="J311" s="20"/>
      <c r="K311" s="36"/>
      <c r="L311" s="22" t="str">
        <f>IF(B311="","",IF(I311="CompteCourant",IF(IF(ISNA(VLOOKUP(B311,DATA!$A$1:$A$16,1,0)),"",VLOOKUP(B311,DATA!$A$1:$A$16,1,0))="",L310+E311,L310-E311),L310))</f>
        <v/>
      </c>
      <c r="M311" s="23" t="str">
        <f>IF(B311="","",IF(I311="Coffre",IF(IF(ISNA(VLOOKUP(B311,DATA!$A$1:$A$16,1,0)),"",VLOOKUP(B311,DATA!$A$1:$A$16,1,0))="",M310+E311,M310-E311),M310))</f>
        <v/>
      </c>
      <c r="N311" s="23" t="str">
        <f>IF(B311="","",IF(I311="CompteEpargne",IF(IF(ISNA(VLOOKUP(B311,DATA!$A$1:$A$16,1,0)),"",VLOOKUP(B311,DATA!$A$1:$A$16,1,0))="",N310+E311,N310-E311),N310))</f>
        <v/>
      </c>
      <c r="O311" s="32" t="str">
        <f>IF(B311="","",IF(J311="CompteEpargne",IF(IF(ISNA(VLOOKUP(B311,DATA!$A$1:$A$16,1,0)),"",VLOOKUP(B311,DATA!$A$1:$A$16,1,0))="",O310+E311,O310-E311),O310))</f>
        <v/>
      </c>
      <c r="P311" s="22" t="str">
        <f t="shared" si="2"/>
        <v/>
      </c>
      <c r="Q311" s="32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4.25" customHeight="1" x14ac:dyDescent="0.2">
      <c r="A312" s="1"/>
      <c r="B312" s="33"/>
      <c r="C312" s="17">
        <f t="shared" si="3"/>
        <v>308</v>
      </c>
      <c r="D312" s="34"/>
      <c r="E312" s="35"/>
      <c r="F312" s="20"/>
      <c r="G312" s="20"/>
      <c r="H312" s="36"/>
      <c r="I312" s="36"/>
      <c r="J312" s="20"/>
      <c r="K312" s="36"/>
      <c r="L312" s="22" t="str">
        <f>IF(B312="","",IF(I312="CompteCourant",IF(IF(ISNA(VLOOKUP(B312,DATA!$A$1:$A$16,1,0)),"",VLOOKUP(B312,DATA!$A$1:$A$16,1,0))="",L311+E312,L311-E312),L311))</f>
        <v/>
      </c>
      <c r="M312" s="23" t="str">
        <f>IF(B312="","",IF(I312="Coffre",IF(IF(ISNA(VLOOKUP(B312,DATA!$A$1:$A$16,1,0)),"",VLOOKUP(B312,DATA!$A$1:$A$16,1,0))="",M311+E312,M311-E312),M311))</f>
        <v/>
      </c>
      <c r="N312" s="23" t="str">
        <f>IF(B312="","",IF(I312="CompteEpargne",IF(IF(ISNA(VLOOKUP(B312,DATA!$A$1:$A$16,1,0)),"",VLOOKUP(B312,DATA!$A$1:$A$16,1,0))="",N311+E312,N311-E312),N311))</f>
        <v/>
      </c>
      <c r="O312" s="32" t="str">
        <f>IF(B312="","",IF(J312="CompteEpargne",IF(IF(ISNA(VLOOKUP(B312,DATA!$A$1:$A$16,1,0)),"",VLOOKUP(B312,DATA!$A$1:$A$16,1,0))="",O311+E312,O311-E312),O311))</f>
        <v/>
      </c>
      <c r="P312" s="22" t="str">
        <f t="shared" si="2"/>
        <v/>
      </c>
      <c r="Q312" s="32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4.25" customHeight="1" x14ac:dyDescent="0.2">
      <c r="A313" s="1"/>
      <c r="B313" s="33"/>
      <c r="C313" s="17">
        <f t="shared" si="3"/>
        <v>309</v>
      </c>
      <c r="D313" s="34"/>
      <c r="E313" s="35"/>
      <c r="F313" s="20"/>
      <c r="G313" s="20"/>
      <c r="H313" s="36"/>
      <c r="I313" s="36"/>
      <c r="J313" s="20"/>
      <c r="K313" s="36"/>
      <c r="L313" s="22" t="str">
        <f>IF(B313="","",IF(I313="CompteCourant",IF(IF(ISNA(VLOOKUP(B313,DATA!$A$1:$A$16,1,0)),"",VLOOKUP(B313,DATA!$A$1:$A$16,1,0))="",L312+E313,L312-E313),L312))</f>
        <v/>
      </c>
      <c r="M313" s="23" t="str">
        <f>IF(B313="","",IF(I313="Coffre",IF(IF(ISNA(VLOOKUP(B313,DATA!$A$1:$A$16,1,0)),"",VLOOKUP(B313,DATA!$A$1:$A$16,1,0))="",M312+E313,M312-E313),M312))</f>
        <v/>
      </c>
      <c r="N313" s="23" t="str">
        <f>IF(B313="","",IF(I313="CompteEpargne",IF(IF(ISNA(VLOOKUP(B313,DATA!$A$1:$A$16,1,0)),"",VLOOKUP(B313,DATA!$A$1:$A$16,1,0))="",N312+E313,N312-E313),N312))</f>
        <v/>
      </c>
      <c r="O313" s="32" t="str">
        <f>IF(B313="","",IF(J313="CompteEpargne",IF(IF(ISNA(VLOOKUP(B313,DATA!$A$1:$A$16,1,0)),"",VLOOKUP(B313,DATA!$A$1:$A$16,1,0))="",O312+E313,O312-E313),O312))</f>
        <v/>
      </c>
      <c r="P313" s="22" t="str">
        <f t="shared" si="2"/>
        <v/>
      </c>
      <c r="Q313" s="32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4.25" customHeight="1" x14ac:dyDescent="0.2">
      <c r="A314" s="1"/>
      <c r="B314" s="33"/>
      <c r="C314" s="17">
        <f t="shared" si="3"/>
        <v>310</v>
      </c>
      <c r="D314" s="34"/>
      <c r="E314" s="35"/>
      <c r="F314" s="20"/>
      <c r="G314" s="20"/>
      <c r="H314" s="36"/>
      <c r="I314" s="36"/>
      <c r="J314" s="20"/>
      <c r="K314" s="36"/>
      <c r="L314" s="22" t="str">
        <f>IF(B314="","",IF(I314="CompteCourant",IF(IF(ISNA(VLOOKUP(B314,DATA!$A$1:$A$16,1,0)),"",VLOOKUP(B314,DATA!$A$1:$A$16,1,0))="",L313+E314,L313-E314),L313))</f>
        <v/>
      </c>
      <c r="M314" s="23" t="str">
        <f>IF(B314="","",IF(I314="Coffre",IF(IF(ISNA(VLOOKUP(B314,DATA!$A$1:$A$16,1,0)),"",VLOOKUP(B314,DATA!$A$1:$A$16,1,0))="",M313+E314,M313-E314),M313))</f>
        <v/>
      </c>
      <c r="N314" s="23" t="str">
        <f>IF(B314="","",IF(I314="CompteEpargne",IF(IF(ISNA(VLOOKUP(B314,DATA!$A$1:$A$16,1,0)),"",VLOOKUP(B314,DATA!$A$1:$A$16,1,0))="",N313+E314,N313-E314),N313))</f>
        <v/>
      </c>
      <c r="O314" s="32" t="str">
        <f>IF(B314="","",IF(J314="CompteEpargne",IF(IF(ISNA(VLOOKUP(B314,DATA!$A$1:$A$16,1,0)),"",VLOOKUP(B314,DATA!$A$1:$A$16,1,0))="",O313+E314,O313-E314),O313))</f>
        <v/>
      </c>
      <c r="P314" s="22" t="str">
        <f t="shared" si="2"/>
        <v/>
      </c>
      <c r="Q314" s="32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4.25" customHeight="1" x14ac:dyDescent="0.2">
      <c r="A315" s="1"/>
      <c r="B315" s="33"/>
      <c r="C315" s="17">
        <f t="shared" si="3"/>
        <v>311</v>
      </c>
      <c r="D315" s="34"/>
      <c r="E315" s="35"/>
      <c r="F315" s="20"/>
      <c r="G315" s="20"/>
      <c r="H315" s="36"/>
      <c r="I315" s="36"/>
      <c r="J315" s="20"/>
      <c r="K315" s="36"/>
      <c r="L315" s="22" t="str">
        <f>IF(B315="","",IF(I315="CompteCourant",IF(IF(ISNA(VLOOKUP(B315,DATA!$A$1:$A$16,1,0)),"",VLOOKUP(B315,DATA!$A$1:$A$16,1,0))="",L314+E315,L314-E315),L314))</f>
        <v/>
      </c>
      <c r="M315" s="23" t="str">
        <f>IF(B315="","",IF(I315="Coffre",IF(IF(ISNA(VLOOKUP(B315,DATA!$A$1:$A$16,1,0)),"",VLOOKUP(B315,DATA!$A$1:$A$16,1,0))="",M314+E315,M314-E315),M314))</f>
        <v/>
      </c>
      <c r="N315" s="23" t="str">
        <f>IF(B315="","",IF(I315="CompteEpargne",IF(IF(ISNA(VLOOKUP(B315,DATA!$A$1:$A$16,1,0)),"",VLOOKUP(B315,DATA!$A$1:$A$16,1,0))="",N314+E315,N314-E315),N314))</f>
        <v/>
      </c>
      <c r="O315" s="32" t="str">
        <f>IF(B315="","",IF(J315="CompteEpargne",IF(IF(ISNA(VLOOKUP(B315,DATA!$A$1:$A$16,1,0)),"",VLOOKUP(B315,DATA!$A$1:$A$16,1,0))="",O314+E315,O314-E315),O314))</f>
        <v/>
      </c>
      <c r="P315" s="22" t="str">
        <f t="shared" si="2"/>
        <v/>
      </c>
      <c r="Q315" s="32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4.25" customHeight="1" x14ac:dyDescent="0.2">
      <c r="A316" s="1"/>
      <c r="B316" s="33"/>
      <c r="C316" s="17">
        <f t="shared" si="3"/>
        <v>312</v>
      </c>
      <c r="D316" s="34"/>
      <c r="E316" s="35"/>
      <c r="F316" s="20"/>
      <c r="G316" s="20"/>
      <c r="H316" s="36"/>
      <c r="I316" s="36"/>
      <c r="J316" s="20"/>
      <c r="K316" s="36"/>
      <c r="L316" s="22" t="str">
        <f>IF(B316="","",IF(I316="CompteCourant",IF(IF(ISNA(VLOOKUP(B316,DATA!$A$1:$A$16,1,0)),"",VLOOKUP(B316,DATA!$A$1:$A$16,1,0))="",L315+E316,L315-E316),L315))</f>
        <v/>
      </c>
      <c r="M316" s="23" t="str">
        <f>IF(B316="","",IF(I316="Coffre",IF(IF(ISNA(VLOOKUP(B316,DATA!$A$1:$A$16,1,0)),"",VLOOKUP(B316,DATA!$A$1:$A$16,1,0))="",M315+E316,M315-E316),M315))</f>
        <v/>
      </c>
      <c r="N316" s="23" t="str">
        <f>IF(B316="","",IF(I316="CompteEpargne",IF(IF(ISNA(VLOOKUP(B316,DATA!$A$1:$A$16,1,0)),"",VLOOKUP(B316,DATA!$A$1:$A$16,1,0))="",N315+E316,N315-E316),N315))</f>
        <v/>
      </c>
      <c r="O316" s="32" t="str">
        <f>IF(B316="","",IF(J316="CompteEpargne",IF(IF(ISNA(VLOOKUP(B316,DATA!$A$1:$A$16,1,0)),"",VLOOKUP(B316,DATA!$A$1:$A$16,1,0))="",O315+E316,O315-E316),O315))</f>
        <v/>
      </c>
      <c r="P316" s="22" t="str">
        <f t="shared" si="2"/>
        <v/>
      </c>
      <c r="Q316" s="32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4.25" customHeight="1" x14ac:dyDescent="0.2">
      <c r="A317" s="1"/>
      <c r="B317" s="33"/>
      <c r="C317" s="17">
        <f t="shared" si="3"/>
        <v>313</v>
      </c>
      <c r="D317" s="34"/>
      <c r="E317" s="35"/>
      <c r="F317" s="20"/>
      <c r="G317" s="20"/>
      <c r="H317" s="36"/>
      <c r="I317" s="36"/>
      <c r="J317" s="20"/>
      <c r="K317" s="36"/>
      <c r="L317" s="22" t="str">
        <f>IF(B317="","",IF(I317="CompteCourant",IF(IF(ISNA(VLOOKUP(B317,DATA!$A$1:$A$16,1,0)),"",VLOOKUP(B317,DATA!$A$1:$A$16,1,0))="",L316+E317,L316-E317),L316))</f>
        <v/>
      </c>
      <c r="M317" s="23" t="str">
        <f>IF(B317="","",IF(I317="Coffre",IF(IF(ISNA(VLOOKUP(B317,DATA!$A$1:$A$16,1,0)),"",VLOOKUP(B317,DATA!$A$1:$A$16,1,0))="",M316+E317,M316-E317),M316))</f>
        <v/>
      </c>
      <c r="N317" s="23" t="str">
        <f>IF(B317="","",IF(I317="CompteEpargne",IF(IF(ISNA(VLOOKUP(B317,DATA!$A$1:$A$16,1,0)),"",VLOOKUP(B317,DATA!$A$1:$A$16,1,0))="",N316+E317,N316-E317),N316))</f>
        <v/>
      </c>
      <c r="O317" s="32" t="str">
        <f>IF(B317="","",IF(J317="CompteEpargne",IF(IF(ISNA(VLOOKUP(B317,DATA!$A$1:$A$16,1,0)),"",VLOOKUP(B317,DATA!$A$1:$A$16,1,0))="",O316+E317,O316-E317),O316))</f>
        <v/>
      </c>
      <c r="P317" s="22" t="str">
        <f t="shared" si="2"/>
        <v/>
      </c>
      <c r="Q317" s="32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4.25" customHeight="1" x14ac:dyDescent="0.2">
      <c r="A318" s="1"/>
      <c r="B318" s="33"/>
      <c r="C318" s="17">
        <f t="shared" si="3"/>
        <v>314</v>
      </c>
      <c r="D318" s="34"/>
      <c r="E318" s="35"/>
      <c r="F318" s="20"/>
      <c r="G318" s="20"/>
      <c r="H318" s="36"/>
      <c r="I318" s="36"/>
      <c r="J318" s="20"/>
      <c r="K318" s="36"/>
      <c r="L318" s="22" t="str">
        <f>IF(B318="","",IF(I318="CompteCourant",IF(IF(ISNA(VLOOKUP(B318,DATA!$A$1:$A$16,1,0)),"",VLOOKUP(B318,DATA!$A$1:$A$16,1,0))="",L317+E318,L317-E318),L317))</f>
        <v/>
      </c>
      <c r="M318" s="23" t="str">
        <f>IF(B318="","",IF(I318="Coffre",IF(IF(ISNA(VLOOKUP(B318,DATA!$A$1:$A$16,1,0)),"",VLOOKUP(B318,DATA!$A$1:$A$16,1,0))="",M317+E318,M317-E318),M317))</f>
        <v/>
      </c>
      <c r="N318" s="23" t="str">
        <f>IF(B318="","",IF(I318="CompteEpargne",IF(IF(ISNA(VLOOKUP(B318,DATA!$A$1:$A$16,1,0)),"",VLOOKUP(B318,DATA!$A$1:$A$16,1,0))="",N317+E318,N317-E318),N317))</f>
        <v/>
      </c>
      <c r="O318" s="32" t="str">
        <f>IF(B318="","",IF(J318="CompteEpargne",IF(IF(ISNA(VLOOKUP(B318,DATA!$A$1:$A$16,1,0)),"",VLOOKUP(B318,DATA!$A$1:$A$16,1,0))="",O317+E318,O317-E318),O317))</f>
        <v/>
      </c>
      <c r="P318" s="22" t="str">
        <f t="shared" si="2"/>
        <v/>
      </c>
      <c r="Q318" s="32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4.25" customHeight="1" x14ac:dyDescent="0.2">
      <c r="A319" s="1"/>
      <c r="B319" s="33"/>
      <c r="C319" s="17">
        <f t="shared" si="3"/>
        <v>315</v>
      </c>
      <c r="D319" s="34"/>
      <c r="E319" s="35"/>
      <c r="F319" s="20"/>
      <c r="G319" s="20"/>
      <c r="H319" s="36"/>
      <c r="I319" s="36"/>
      <c r="J319" s="20"/>
      <c r="K319" s="36"/>
      <c r="L319" s="22" t="str">
        <f>IF(B319="","",IF(I319="CompteCourant",IF(IF(ISNA(VLOOKUP(B319,DATA!$A$1:$A$16,1,0)),"",VLOOKUP(B319,DATA!$A$1:$A$16,1,0))="",L318+E319,L318-E319),L318))</f>
        <v/>
      </c>
      <c r="M319" s="23" t="str">
        <f>IF(B319="","",IF(I319="Coffre",IF(IF(ISNA(VLOOKUP(B319,DATA!$A$1:$A$16,1,0)),"",VLOOKUP(B319,DATA!$A$1:$A$16,1,0))="",M318+E319,M318-E319),M318))</f>
        <v/>
      </c>
      <c r="N319" s="23" t="str">
        <f>IF(B319="","",IF(I319="CompteEpargne",IF(IF(ISNA(VLOOKUP(B319,DATA!$A$1:$A$16,1,0)),"",VLOOKUP(B319,DATA!$A$1:$A$16,1,0))="",N318+E319,N318-E319),N318))</f>
        <v/>
      </c>
      <c r="O319" s="32" t="str">
        <f>IF(B319="","",IF(J319="CompteEpargne",IF(IF(ISNA(VLOOKUP(B319,DATA!$A$1:$A$16,1,0)),"",VLOOKUP(B319,DATA!$A$1:$A$16,1,0))="",O318+E319,O318-E319),O318))</f>
        <v/>
      </c>
      <c r="P319" s="22" t="str">
        <f t="shared" si="2"/>
        <v/>
      </c>
      <c r="Q319" s="32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4.25" customHeight="1" x14ac:dyDescent="0.2">
      <c r="A320" s="1"/>
      <c r="B320" s="33"/>
      <c r="C320" s="17">
        <f t="shared" si="3"/>
        <v>316</v>
      </c>
      <c r="D320" s="34"/>
      <c r="E320" s="35"/>
      <c r="F320" s="20"/>
      <c r="G320" s="20"/>
      <c r="H320" s="36"/>
      <c r="I320" s="36"/>
      <c r="J320" s="20"/>
      <c r="K320" s="36"/>
      <c r="L320" s="22" t="str">
        <f>IF(B320="","",IF(I320="CompteCourant",IF(IF(ISNA(VLOOKUP(B320,DATA!$A$1:$A$16,1,0)),"",VLOOKUP(B320,DATA!$A$1:$A$16,1,0))="",L319+E320,L319-E320),L319))</f>
        <v/>
      </c>
      <c r="M320" s="23" t="str">
        <f>IF(B320="","",IF(I320="Coffre",IF(IF(ISNA(VLOOKUP(B320,DATA!$A$1:$A$16,1,0)),"",VLOOKUP(B320,DATA!$A$1:$A$16,1,0))="",M319+E320,M319-E320),M319))</f>
        <v/>
      </c>
      <c r="N320" s="23" t="str">
        <f>IF(B320="","",IF(I320="CompteEpargne",IF(IF(ISNA(VLOOKUP(B320,DATA!$A$1:$A$16,1,0)),"",VLOOKUP(B320,DATA!$A$1:$A$16,1,0))="",N319+E320,N319-E320),N319))</f>
        <v/>
      </c>
      <c r="O320" s="32" t="str">
        <f>IF(B320="","",IF(J320="CompteEpargne",IF(IF(ISNA(VLOOKUP(B320,DATA!$A$1:$A$16,1,0)),"",VLOOKUP(B320,DATA!$A$1:$A$16,1,0))="",O319+E320,O319-E320),O319))</f>
        <v/>
      </c>
      <c r="P320" s="22" t="str">
        <f t="shared" si="2"/>
        <v/>
      </c>
      <c r="Q320" s="32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4.25" customHeight="1" x14ac:dyDescent="0.2">
      <c r="A321" s="1"/>
      <c r="B321" s="33"/>
      <c r="C321" s="17">
        <f t="shared" si="3"/>
        <v>317</v>
      </c>
      <c r="D321" s="34"/>
      <c r="E321" s="35"/>
      <c r="F321" s="20"/>
      <c r="G321" s="20"/>
      <c r="H321" s="36"/>
      <c r="I321" s="36"/>
      <c r="J321" s="20"/>
      <c r="K321" s="36"/>
      <c r="L321" s="22" t="str">
        <f>IF(B321="","",IF(I321="CompteCourant",IF(IF(ISNA(VLOOKUP(B321,DATA!$A$1:$A$16,1,0)),"",VLOOKUP(B321,DATA!$A$1:$A$16,1,0))="",L320+E321,L320-E321),L320))</f>
        <v/>
      </c>
      <c r="M321" s="23" t="str">
        <f>IF(B321="","",IF(I321="Coffre",IF(IF(ISNA(VLOOKUP(B321,DATA!$A$1:$A$16,1,0)),"",VLOOKUP(B321,DATA!$A$1:$A$16,1,0))="",M320+E321,M320-E321),M320))</f>
        <v/>
      </c>
      <c r="N321" s="23" t="str">
        <f>IF(B321="","",IF(I321="CompteEpargne",IF(IF(ISNA(VLOOKUP(B321,DATA!$A$1:$A$16,1,0)),"",VLOOKUP(B321,DATA!$A$1:$A$16,1,0))="",N320+E321,N320-E321),N320))</f>
        <v/>
      </c>
      <c r="O321" s="32" t="str">
        <f>IF(B321="","",IF(J321="CompteEpargne",IF(IF(ISNA(VLOOKUP(B321,DATA!$A$1:$A$16,1,0)),"",VLOOKUP(B321,DATA!$A$1:$A$16,1,0))="",O320+E321,O320-E321),O320))</f>
        <v/>
      </c>
      <c r="P321" s="22" t="str">
        <f t="shared" si="2"/>
        <v/>
      </c>
      <c r="Q321" s="32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4.25" customHeight="1" x14ac:dyDescent="0.2">
      <c r="A322" s="1"/>
      <c r="B322" s="33"/>
      <c r="C322" s="17">
        <f t="shared" si="3"/>
        <v>318</v>
      </c>
      <c r="D322" s="34"/>
      <c r="E322" s="35"/>
      <c r="F322" s="20"/>
      <c r="G322" s="20"/>
      <c r="H322" s="36"/>
      <c r="I322" s="36"/>
      <c r="J322" s="20"/>
      <c r="K322" s="36"/>
      <c r="L322" s="22" t="str">
        <f>IF(B322="","",IF(I322="CompteCourant",IF(IF(ISNA(VLOOKUP(B322,DATA!$A$1:$A$16,1,0)),"",VLOOKUP(B322,DATA!$A$1:$A$16,1,0))="",L321+E322,L321-E322),L321))</f>
        <v/>
      </c>
      <c r="M322" s="23" t="str">
        <f>IF(B322="","",IF(I322="Coffre",IF(IF(ISNA(VLOOKUP(B322,DATA!$A$1:$A$16,1,0)),"",VLOOKUP(B322,DATA!$A$1:$A$16,1,0))="",M321+E322,M321-E322),M321))</f>
        <v/>
      </c>
      <c r="N322" s="23" t="str">
        <f>IF(B322="","",IF(I322="CompteEpargne",IF(IF(ISNA(VLOOKUP(B322,DATA!$A$1:$A$16,1,0)),"",VLOOKUP(B322,DATA!$A$1:$A$16,1,0))="",N321+E322,N321-E322),N321))</f>
        <v/>
      </c>
      <c r="O322" s="32" t="str">
        <f>IF(B322="","",IF(J322="CompteEpargne",IF(IF(ISNA(VLOOKUP(B322,DATA!$A$1:$A$16,1,0)),"",VLOOKUP(B322,DATA!$A$1:$A$16,1,0))="",O321+E322,O321-E322),O321))</f>
        <v/>
      </c>
      <c r="P322" s="22" t="str">
        <f t="shared" si="2"/>
        <v/>
      </c>
      <c r="Q322" s="32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4.25" customHeight="1" x14ac:dyDescent="0.2">
      <c r="A323" s="1"/>
      <c r="B323" s="33"/>
      <c r="C323" s="17">
        <f t="shared" si="3"/>
        <v>319</v>
      </c>
      <c r="D323" s="34"/>
      <c r="E323" s="35"/>
      <c r="F323" s="20"/>
      <c r="G323" s="20"/>
      <c r="H323" s="36"/>
      <c r="I323" s="36"/>
      <c r="J323" s="20"/>
      <c r="K323" s="36"/>
      <c r="L323" s="22" t="str">
        <f>IF(B323="","",IF(I323="CompteCourant",IF(IF(ISNA(VLOOKUP(B323,DATA!$A$1:$A$16,1,0)),"",VLOOKUP(B323,DATA!$A$1:$A$16,1,0))="",L322+E323,L322-E323),L322))</f>
        <v/>
      </c>
      <c r="M323" s="23" t="str">
        <f>IF(B323="","",IF(I323="Coffre",IF(IF(ISNA(VLOOKUP(B323,DATA!$A$1:$A$16,1,0)),"",VLOOKUP(B323,DATA!$A$1:$A$16,1,0))="",M322+E323,M322-E323),M322))</f>
        <v/>
      </c>
      <c r="N323" s="23" t="str">
        <f>IF(B323="","",IF(I323="CompteEpargne",IF(IF(ISNA(VLOOKUP(B323,DATA!$A$1:$A$16,1,0)),"",VLOOKUP(B323,DATA!$A$1:$A$16,1,0))="",N322+E323,N322-E323),N322))</f>
        <v/>
      </c>
      <c r="O323" s="32" t="str">
        <f>IF(B323="","",IF(J323="CompteEpargne",IF(IF(ISNA(VLOOKUP(B323,DATA!$A$1:$A$16,1,0)),"",VLOOKUP(B323,DATA!$A$1:$A$16,1,0))="",O322+E323,O322-E323),O322))</f>
        <v/>
      </c>
      <c r="P323" s="22" t="str">
        <f t="shared" si="2"/>
        <v/>
      </c>
      <c r="Q323" s="32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4.25" customHeight="1" x14ac:dyDescent="0.2">
      <c r="A324" s="1"/>
      <c r="B324" s="33"/>
      <c r="C324" s="17">
        <f t="shared" si="3"/>
        <v>320</v>
      </c>
      <c r="D324" s="34"/>
      <c r="E324" s="35"/>
      <c r="F324" s="20"/>
      <c r="G324" s="20"/>
      <c r="H324" s="36"/>
      <c r="I324" s="36"/>
      <c r="J324" s="20"/>
      <c r="K324" s="36"/>
      <c r="L324" s="22" t="str">
        <f>IF(B324="","",IF(I324="CompteCourant",IF(IF(ISNA(VLOOKUP(B324,DATA!$A$1:$A$16,1,0)),"",VLOOKUP(B324,DATA!$A$1:$A$16,1,0))="",L323+E324,L323-E324),L323))</f>
        <v/>
      </c>
      <c r="M324" s="23" t="str">
        <f>IF(B324="","",IF(I324="Coffre",IF(IF(ISNA(VLOOKUP(B324,DATA!$A$1:$A$16,1,0)),"",VLOOKUP(B324,DATA!$A$1:$A$16,1,0))="",M323+E324,M323-E324),M323))</f>
        <v/>
      </c>
      <c r="N324" s="23" t="str">
        <f>IF(B324="","",IF(I324="CompteEpargne",IF(IF(ISNA(VLOOKUP(B324,DATA!$A$1:$A$16,1,0)),"",VLOOKUP(B324,DATA!$A$1:$A$16,1,0))="",N323+E324,N323-E324),N323))</f>
        <v/>
      </c>
      <c r="O324" s="32" t="str">
        <f>IF(B324="","",IF(J324="CompteEpargne",IF(IF(ISNA(VLOOKUP(B324,DATA!$A$1:$A$16,1,0)),"",VLOOKUP(B324,DATA!$A$1:$A$16,1,0))="",O323+E324,O323-E324),O323))</f>
        <v/>
      </c>
      <c r="P324" s="22" t="str">
        <f t="shared" si="2"/>
        <v/>
      </c>
      <c r="Q324" s="32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4.25" customHeight="1" x14ac:dyDescent="0.2">
      <c r="A325" s="1"/>
      <c r="B325" s="33"/>
      <c r="C325" s="17">
        <f t="shared" si="3"/>
        <v>321</v>
      </c>
      <c r="D325" s="34"/>
      <c r="E325" s="35"/>
      <c r="F325" s="20"/>
      <c r="G325" s="20"/>
      <c r="H325" s="36"/>
      <c r="I325" s="36"/>
      <c r="J325" s="20"/>
      <c r="K325" s="36"/>
      <c r="L325" s="22" t="str">
        <f>IF(B325="","",IF(I325="CompteCourant",IF(IF(ISNA(VLOOKUP(B325,DATA!$A$1:$A$16,1,0)),"",VLOOKUP(B325,DATA!$A$1:$A$16,1,0))="",L324+E325,L324-E325),L324))</f>
        <v/>
      </c>
      <c r="M325" s="23" t="str">
        <f>IF(B325="","",IF(I325="Coffre",IF(IF(ISNA(VLOOKUP(B325,DATA!$A$1:$A$16,1,0)),"",VLOOKUP(B325,DATA!$A$1:$A$16,1,0))="",M324+E325,M324-E325),M324))</f>
        <v/>
      </c>
      <c r="N325" s="23" t="str">
        <f>IF(B325="","",IF(I325="CompteEpargne",IF(IF(ISNA(VLOOKUP(B325,DATA!$A$1:$A$16,1,0)),"",VLOOKUP(B325,DATA!$A$1:$A$16,1,0))="",N324+E325,N324-E325),N324))</f>
        <v/>
      </c>
      <c r="O325" s="32" t="str">
        <f>IF(B325="","",IF(J325="CompteEpargne",IF(IF(ISNA(VLOOKUP(B325,DATA!$A$1:$A$16,1,0)),"",VLOOKUP(B325,DATA!$A$1:$A$16,1,0))="",O324+E325,O324-E325),O324))</f>
        <v/>
      </c>
      <c r="P325" s="22" t="str">
        <f t="shared" si="2"/>
        <v/>
      </c>
      <c r="Q325" s="32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4.25" customHeight="1" x14ac:dyDescent="0.2">
      <c r="A326" s="1"/>
      <c r="B326" s="33"/>
      <c r="C326" s="17">
        <f t="shared" si="3"/>
        <v>322</v>
      </c>
      <c r="D326" s="34"/>
      <c r="E326" s="35"/>
      <c r="F326" s="20"/>
      <c r="G326" s="20"/>
      <c r="H326" s="36"/>
      <c r="I326" s="36"/>
      <c r="J326" s="20"/>
      <c r="K326" s="36"/>
      <c r="L326" s="22" t="str">
        <f>IF(B326="","",IF(I326="CompteCourant",IF(IF(ISNA(VLOOKUP(B326,DATA!$A$1:$A$16,1,0)),"",VLOOKUP(B326,DATA!$A$1:$A$16,1,0))="",L325+E326,L325-E326),L325))</f>
        <v/>
      </c>
      <c r="M326" s="23" t="str">
        <f>IF(B326="","",IF(I326="Coffre",IF(IF(ISNA(VLOOKUP(B326,DATA!$A$1:$A$16,1,0)),"",VLOOKUP(B326,DATA!$A$1:$A$16,1,0))="",M325+E326,M325-E326),M325))</f>
        <v/>
      </c>
      <c r="N326" s="23" t="str">
        <f>IF(B326="","",IF(I326="CompteEpargne",IF(IF(ISNA(VLOOKUP(B326,DATA!$A$1:$A$16,1,0)),"",VLOOKUP(B326,DATA!$A$1:$A$16,1,0))="",N325+E326,N325-E326),N325))</f>
        <v/>
      </c>
      <c r="O326" s="32" t="str">
        <f>IF(B326="","",IF(J326="CompteEpargne",IF(IF(ISNA(VLOOKUP(B326,DATA!$A$1:$A$16,1,0)),"",VLOOKUP(B326,DATA!$A$1:$A$16,1,0))="",O325+E326,O325-E326),O325))</f>
        <v/>
      </c>
      <c r="P326" s="22" t="str">
        <f t="shared" si="2"/>
        <v/>
      </c>
      <c r="Q326" s="32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4.25" customHeight="1" x14ac:dyDescent="0.2">
      <c r="A327" s="1"/>
      <c r="B327" s="33"/>
      <c r="C327" s="17">
        <f t="shared" si="3"/>
        <v>323</v>
      </c>
      <c r="D327" s="34"/>
      <c r="E327" s="35"/>
      <c r="F327" s="20"/>
      <c r="G327" s="20"/>
      <c r="H327" s="36"/>
      <c r="I327" s="36"/>
      <c r="J327" s="20"/>
      <c r="K327" s="36"/>
      <c r="L327" s="22" t="str">
        <f>IF(B327="","",IF(I327="CompteCourant",IF(IF(ISNA(VLOOKUP(B327,DATA!$A$1:$A$16,1,0)),"",VLOOKUP(B327,DATA!$A$1:$A$16,1,0))="",L326+E327,L326-E327),L326))</f>
        <v/>
      </c>
      <c r="M327" s="23" t="str">
        <f>IF(B327="","",IF(I327="Coffre",IF(IF(ISNA(VLOOKUP(B327,DATA!$A$1:$A$16,1,0)),"",VLOOKUP(B327,DATA!$A$1:$A$16,1,0))="",M326+E327,M326-E327),M326))</f>
        <v/>
      </c>
      <c r="N327" s="23" t="str">
        <f>IF(B327="","",IF(I327="CompteEpargne",IF(IF(ISNA(VLOOKUP(B327,DATA!$A$1:$A$16,1,0)),"",VLOOKUP(B327,DATA!$A$1:$A$16,1,0))="",N326+E327,N326-E327),N326))</f>
        <v/>
      </c>
      <c r="O327" s="32" t="str">
        <f>IF(B327="","",IF(J327="CompteEpargne",IF(IF(ISNA(VLOOKUP(B327,DATA!$A$1:$A$16,1,0)),"",VLOOKUP(B327,DATA!$A$1:$A$16,1,0))="",O326+E327,O326-E327),O326))</f>
        <v/>
      </c>
      <c r="P327" s="22" t="str">
        <f t="shared" si="2"/>
        <v/>
      </c>
      <c r="Q327" s="32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4.25" customHeight="1" x14ac:dyDescent="0.2">
      <c r="A328" s="1"/>
      <c r="B328" s="33"/>
      <c r="C328" s="17">
        <f t="shared" si="3"/>
        <v>324</v>
      </c>
      <c r="D328" s="34"/>
      <c r="E328" s="35"/>
      <c r="F328" s="20"/>
      <c r="G328" s="20"/>
      <c r="H328" s="36"/>
      <c r="I328" s="36"/>
      <c r="J328" s="20"/>
      <c r="K328" s="36"/>
      <c r="L328" s="22" t="str">
        <f>IF(B328="","",IF(I328="CompteCourant",IF(IF(ISNA(VLOOKUP(B328,DATA!$A$1:$A$16,1,0)),"",VLOOKUP(B328,DATA!$A$1:$A$16,1,0))="",L327+E328,L327-E328),L327))</f>
        <v/>
      </c>
      <c r="M328" s="23" t="str">
        <f>IF(B328="","",IF(I328="Coffre",IF(IF(ISNA(VLOOKUP(B328,DATA!$A$1:$A$16,1,0)),"",VLOOKUP(B328,DATA!$A$1:$A$16,1,0))="",M327+E328,M327-E328),M327))</f>
        <v/>
      </c>
      <c r="N328" s="23" t="str">
        <f>IF(B328="","",IF(I328="CompteEpargne",IF(IF(ISNA(VLOOKUP(B328,DATA!$A$1:$A$16,1,0)),"",VLOOKUP(B328,DATA!$A$1:$A$16,1,0))="",N327+E328,N327-E328),N327))</f>
        <v/>
      </c>
      <c r="O328" s="32" t="str">
        <f>IF(B328="","",IF(J328="CompteEpargne",IF(IF(ISNA(VLOOKUP(B328,DATA!$A$1:$A$16,1,0)),"",VLOOKUP(B328,DATA!$A$1:$A$16,1,0))="",O327+E328,O327-E328),O327))</f>
        <v/>
      </c>
      <c r="P328" s="22" t="str">
        <f t="shared" si="2"/>
        <v/>
      </c>
      <c r="Q328" s="32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4.25" customHeight="1" x14ac:dyDescent="0.2">
      <c r="A329" s="1"/>
      <c r="B329" s="33"/>
      <c r="C329" s="17">
        <f t="shared" si="3"/>
        <v>325</v>
      </c>
      <c r="D329" s="34"/>
      <c r="E329" s="35"/>
      <c r="F329" s="20"/>
      <c r="G329" s="20"/>
      <c r="H329" s="36"/>
      <c r="I329" s="36"/>
      <c r="J329" s="20"/>
      <c r="K329" s="36"/>
      <c r="L329" s="22" t="str">
        <f>IF(B329="","",IF(I329="CompteCourant",IF(IF(ISNA(VLOOKUP(B329,DATA!$A$1:$A$16,1,0)),"",VLOOKUP(B329,DATA!$A$1:$A$16,1,0))="",L328+E329,L328-E329),L328))</f>
        <v/>
      </c>
      <c r="M329" s="23" t="str">
        <f>IF(B329="","",IF(I329="Coffre",IF(IF(ISNA(VLOOKUP(B329,DATA!$A$1:$A$16,1,0)),"",VLOOKUP(B329,DATA!$A$1:$A$16,1,0))="",M328+E329,M328-E329),M328))</f>
        <v/>
      </c>
      <c r="N329" s="23" t="str">
        <f>IF(B329="","",IF(I329="CompteEpargne",IF(IF(ISNA(VLOOKUP(B329,DATA!$A$1:$A$16,1,0)),"",VLOOKUP(B329,DATA!$A$1:$A$16,1,0))="",N328+E329,N328-E329),N328))</f>
        <v/>
      </c>
      <c r="O329" s="32" t="str">
        <f>IF(B329="","",IF(J329="CompteEpargne",IF(IF(ISNA(VLOOKUP(B329,DATA!$A$1:$A$16,1,0)),"",VLOOKUP(B329,DATA!$A$1:$A$16,1,0))="",O328+E329,O328-E329),O328))</f>
        <v/>
      </c>
      <c r="P329" s="22" t="str">
        <f t="shared" si="2"/>
        <v/>
      </c>
      <c r="Q329" s="32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4.25" customHeight="1" x14ac:dyDescent="0.2">
      <c r="A330" s="1"/>
      <c r="B330" s="33"/>
      <c r="C330" s="17">
        <f t="shared" si="3"/>
        <v>326</v>
      </c>
      <c r="D330" s="34"/>
      <c r="E330" s="35"/>
      <c r="F330" s="20"/>
      <c r="G330" s="20"/>
      <c r="H330" s="36"/>
      <c r="I330" s="36"/>
      <c r="J330" s="20"/>
      <c r="K330" s="36"/>
      <c r="L330" s="22" t="str">
        <f>IF(B330="","",IF(I330="CompteCourant",IF(IF(ISNA(VLOOKUP(B330,DATA!$A$1:$A$16,1,0)),"",VLOOKUP(B330,DATA!$A$1:$A$16,1,0))="",L329+E330,L329-E330),L329))</f>
        <v/>
      </c>
      <c r="M330" s="23" t="str">
        <f>IF(B330="","",IF(I330="Coffre",IF(IF(ISNA(VLOOKUP(B330,DATA!$A$1:$A$16,1,0)),"",VLOOKUP(B330,DATA!$A$1:$A$16,1,0))="",M329+E330,M329-E330),M329))</f>
        <v/>
      </c>
      <c r="N330" s="23" t="str">
        <f>IF(B330="","",IF(I330="CompteEpargne",IF(IF(ISNA(VLOOKUP(B330,DATA!$A$1:$A$16,1,0)),"",VLOOKUP(B330,DATA!$A$1:$A$16,1,0))="",N329+E330,N329-E330),N329))</f>
        <v/>
      </c>
      <c r="O330" s="32" t="str">
        <f>IF(B330="","",IF(J330="CompteEpargne",IF(IF(ISNA(VLOOKUP(B330,DATA!$A$1:$A$16,1,0)),"",VLOOKUP(B330,DATA!$A$1:$A$16,1,0))="",O329+E330,O329-E330),O329))</f>
        <v/>
      </c>
      <c r="P330" s="22" t="str">
        <f t="shared" si="2"/>
        <v/>
      </c>
      <c r="Q330" s="32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4.25" customHeight="1" x14ac:dyDescent="0.2">
      <c r="A331" s="1"/>
      <c r="B331" s="33"/>
      <c r="C331" s="17">
        <f t="shared" si="3"/>
        <v>327</v>
      </c>
      <c r="D331" s="34"/>
      <c r="E331" s="35"/>
      <c r="F331" s="20"/>
      <c r="G331" s="20"/>
      <c r="H331" s="36"/>
      <c r="I331" s="36"/>
      <c r="J331" s="20"/>
      <c r="K331" s="36"/>
      <c r="L331" s="22" t="str">
        <f>IF(B331="","",IF(I331="CompteCourant",IF(IF(ISNA(VLOOKUP(B331,DATA!$A$1:$A$16,1,0)),"",VLOOKUP(B331,DATA!$A$1:$A$16,1,0))="",L330+E331,L330-E331),L330))</f>
        <v/>
      </c>
      <c r="M331" s="23" t="str">
        <f>IF(B331="","",IF(I331="Coffre",IF(IF(ISNA(VLOOKUP(B331,DATA!$A$1:$A$16,1,0)),"",VLOOKUP(B331,DATA!$A$1:$A$16,1,0))="",M330+E331,M330-E331),M330))</f>
        <v/>
      </c>
      <c r="N331" s="23" t="str">
        <f>IF(B331="","",IF(I331="CompteEpargne",IF(IF(ISNA(VLOOKUP(B331,DATA!$A$1:$A$16,1,0)),"",VLOOKUP(B331,DATA!$A$1:$A$16,1,0))="",N330+E331,N330-E331),N330))</f>
        <v/>
      </c>
      <c r="O331" s="32" t="str">
        <f>IF(B331="","",IF(J331="CompteEpargne",IF(IF(ISNA(VLOOKUP(B331,DATA!$A$1:$A$16,1,0)),"",VLOOKUP(B331,DATA!$A$1:$A$16,1,0))="",O330+E331,O330-E331),O330))</f>
        <v/>
      </c>
      <c r="P331" s="22" t="str">
        <f t="shared" si="2"/>
        <v/>
      </c>
      <c r="Q331" s="32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4.25" customHeight="1" x14ac:dyDescent="0.2">
      <c r="A332" s="1"/>
      <c r="B332" s="33"/>
      <c r="C332" s="17">
        <f t="shared" si="3"/>
        <v>328</v>
      </c>
      <c r="D332" s="34"/>
      <c r="E332" s="35"/>
      <c r="F332" s="20"/>
      <c r="G332" s="20"/>
      <c r="H332" s="36"/>
      <c r="I332" s="36"/>
      <c r="J332" s="20"/>
      <c r="K332" s="36"/>
      <c r="L332" s="22" t="str">
        <f>IF(B332="","",IF(I332="CompteCourant",IF(IF(ISNA(VLOOKUP(B332,DATA!$A$1:$A$16,1,0)),"",VLOOKUP(B332,DATA!$A$1:$A$16,1,0))="",L331+E332,L331-E332),L331))</f>
        <v/>
      </c>
      <c r="M332" s="23" t="str">
        <f>IF(B332="","",IF(I332="Coffre",IF(IF(ISNA(VLOOKUP(B332,DATA!$A$1:$A$16,1,0)),"",VLOOKUP(B332,DATA!$A$1:$A$16,1,0))="",M331+E332,M331-E332),M331))</f>
        <v/>
      </c>
      <c r="N332" s="23" t="str">
        <f>IF(B332="","",IF(I332="CompteEpargne",IF(IF(ISNA(VLOOKUP(B332,DATA!$A$1:$A$16,1,0)),"",VLOOKUP(B332,DATA!$A$1:$A$16,1,0))="",N331+E332,N331-E332),N331))</f>
        <v/>
      </c>
      <c r="O332" s="32" t="str">
        <f>IF(B332="","",IF(J332="CompteEpargne",IF(IF(ISNA(VLOOKUP(B332,DATA!$A$1:$A$16,1,0)),"",VLOOKUP(B332,DATA!$A$1:$A$16,1,0))="",O331+E332,O331-E332),O331))</f>
        <v/>
      </c>
      <c r="P332" s="22" t="str">
        <f t="shared" si="2"/>
        <v/>
      </c>
      <c r="Q332" s="32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4.25" customHeight="1" x14ac:dyDescent="0.2">
      <c r="A333" s="1"/>
      <c r="B333" s="33"/>
      <c r="C333" s="17">
        <f t="shared" si="3"/>
        <v>329</v>
      </c>
      <c r="D333" s="34"/>
      <c r="E333" s="35"/>
      <c r="F333" s="20"/>
      <c r="G333" s="20"/>
      <c r="H333" s="36"/>
      <c r="I333" s="36"/>
      <c r="J333" s="20"/>
      <c r="K333" s="36"/>
      <c r="L333" s="22" t="str">
        <f>IF(B333="","",IF(I333="CompteCourant",IF(IF(ISNA(VLOOKUP(B333,DATA!$A$1:$A$16,1,0)),"",VLOOKUP(B333,DATA!$A$1:$A$16,1,0))="",L332+E333,L332-E333),L332))</f>
        <v/>
      </c>
      <c r="M333" s="23" t="str">
        <f>IF(B333="","",IF(I333="Coffre",IF(IF(ISNA(VLOOKUP(B333,DATA!$A$1:$A$16,1,0)),"",VLOOKUP(B333,DATA!$A$1:$A$16,1,0))="",M332+E333,M332-E333),M332))</f>
        <v/>
      </c>
      <c r="N333" s="23" t="str">
        <f>IF(B333="","",IF(I333="CompteEpargne",IF(IF(ISNA(VLOOKUP(B333,DATA!$A$1:$A$16,1,0)),"",VLOOKUP(B333,DATA!$A$1:$A$16,1,0))="",N332+E333,N332-E333),N332))</f>
        <v/>
      </c>
      <c r="O333" s="32" t="str">
        <f>IF(B333="","",IF(J333="CompteEpargne",IF(IF(ISNA(VLOOKUP(B333,DATA!$A$1:$A$16,1,0)),"",VLOOKUP(B333,DATA!$A$1:$A$16,1,0))="",O332+E333,O332-E333),O332))</f>
        <v/>
      </c>
      <c r="P333" s="22" t="str">
        <f t="shared" si="2"/>
        <v/>
      </c>
      <c r="Q333" s="32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4.25" customHeight="1" x14ac:dyDescent="0.2">
      <c r="A334" s="1"/>
      <c r="B334" s="33"/>
      <c r="C334" s="17">
        <f t="shared" si="3"/>
        <v>330</v>
      </c>
      <c r="D334" s="34"/>
      <c r="E334" s="35"/>
      <c r="F334" s="20"/>
      <c r="G334" s="20"/>
      <c r="H334" s="36"/>
      <c r="I334" s="36"/>
      <c r="J334" s="20"/>
      <c r="K334" s="36"/>
      <c r="L334" s="22" t="str">
        <f>IF(B334="","",IF(I334="CompteCourant",IF(IF(ISNA(VLOOKUP(B334,DATA!$A$1:$A$16,1,0)),"",VLOOKUP(B334,DATA!$A$1:$A$16,1,0))="",L333+E334,L333-E334),L333))</f>
        <v/>
      </c>
      <c r="M334" s="23" t="str">
        <f>IF(B334="","",IF(I334="Coffre",IF(IF(ISNA(VLOOKUP(B334,DATA!$A$1:$A$16,1,0)),"",VLOOKUP(B334,DATA!$A$1:$A$16,1,0))="",M333+E334,M333-E334),M333))</f>
        <v/>
      </c>
      <c r="N334" s="23" t="str">
        <f>IF(B334="","",IF(I334="CompteEpargne",IF(IF(ISNA(VLOOKUP(B334,DATA!$A$1:$A$16,1,0)),"",VLOOKUP(B334,DATA!$A$1:$A$16,1,0))="",N333+E334,N333-E334),N333))</f>
        <v/>
      </c>
      <c r="O334" s="32" t="str">
        <f>IF(B334="","",IF(J334="CompteEpargne",IF(IF(ISNA(VLOOKUP(B334,DATA!$A$1:$A$16,1,0)),"",VLOOKUP(B334,DATA!$A$1:$A$16,1,0))="",O333+E334,O333-E334),O333))</f>
        <v/>
      </c>
      <c r="P334" s="22" t="str">
        <f t="shared" si="2"/>
        <v/>
      </c>
      <c r="Q334" s="32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4.25" customHeight="1" x14ac:dyDescent="0.2">
      <c r="A335" s="1"/>
      <c r="B335" s="33"/>
      <c r="C335" s="17">
        <f t="shared" si="3"/>
        <v>331</v>
      </c>
      <c r="D335" s="34"/>
      <c r="E335" s="35"/>
      <c r="F335" s="20"/>
      <c r="G335" s="20"/>
      <c r="H335" s="36"/>
      <c r="I335" s="36"/>
      <c r="J335" s="20"/>
      <c r="K335" s="36"/>
      <c r="L335" s="22" t="str">
        <f>IF(B335="","",IF(I335="CompteCourant",IF(IF(ISNA(VLOOKUP(B335,DATA!$A$1:$A$16,1,0)),"",VLOOKUP(B335,DATA!$A$1:$A$16,1,0))="",L334+E335,L334-E335),L334))</f>
        <v/>
      </c>
      <c r="M335" s="23" t="str">
        <f>IF(B335="","",IF(I335="Coffre",IF(IF(ISNA(VLOOKUP(B335,DATA!$A$1:$A$16,1,0)),"",VLOOKUP(B335,DATA!$A$1:$A$16,1,0))="",M334+E335,M334-E335),M334))</f>
        <v/>
      </c>
      <c r="N335" s="23" t="str">
        <f>IF(B335="","",IF(I335="CompteEpargne",IF(IF(ISNA(VLOOKUP(B335,DATA!$A$1:$A$16,1,0)),"",VLOOKUP(B335,DATA!$A$1:$A$16,1,0))="",N334+E335,N334-E335),N334))</f>
        <v/>
      </c>
      <c r="O335" s="32" t="str">
        <f>IF(B335="","",IF(J335="CompteEpargne",IF(IF(ISNA(VLOOKUP(B335,DATA!$A$1:$A$16,1,0)),"",VLOOKUP(B335,DATA!$A$1:$A$16,1,0))="",O334+E335,O334-E335),O334))</f>
        <v/>
      </c>
      <c r="P335" s="22" t="str">
        <f t="shared" si="2"/>
        <v/>
      </c>
      <c r="Q335" s="32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4.25" customHeight="1" x14ac:dyDescent="0.2">
      <c r="A336" s="1"/>
      <c r="B336" s="33"/>
      <c r="C336" s="17">
        <f t="shared" si="3"/>
        <v>332</v>
      </c>
      <c r="D336" s="34"/>
      <c r="E336" s="35"/>
      <c r="F336" s="20"/>
      <c r="G336" s="20"/>
      <c r="H336" s="36"/>
      <c r="I336" s="36"/>
      <c r="J336" s="20"/>
      <c r="K336" s="36"/>
      <c r="L336" s="22" t="str">
        <f>IF(B336="","",IF(I336="CompteCourant",IF(IF(ISNA(VLOOKUP(B336,DATA!$A$1:$A$16,1,0)),"",VLOOKUP(B336,DATA!$A$1:$A$16,1,0))="",L335+E336,L335-E336),L335))</f>
        <v/>
      </c>
      <c r="M336" s="23" t="str">
        <f>IF(B336="","",IF(I336="Coffre",IF(IF(ISNA(VLOOKUP(B336,DATA!$A$1:$A$16,1,0)),"",VLOOKUP(B336,DATA!$A$1:$A$16,1,0))="",M335+E336,M335-E336),M335))</f>
        <v/>
      </c>
      <c r="N336" s="23" t="str">
        <f>IF(B336="","",IF(I336="CompteEpargne",IF(IF(ISNA(VLOOKUP(B336,DATA!$A$1:$A$16,1,0)),"",VLOOKUP(B336,DATA!$A$1:$A$16,1,0))="",N335+E336,N335-E336),N335))</f>
        <v/>
      </c>
      <c r="O336" s="32" t="str">
        <f>IF(B336="","",IF(J336="CompteEpargne",IF(IF(ISNA(VLOOKUP(B336,DATA!$A$1:$A$16,1,0)),"",VLOOKUP(B336,DATA!$A$1:$A$16,1,0))="",O335+E336,O335-E336),O335))</f>
        <v/>
      </c>
      <c r="P336" s="22" t="str">
        <f t="shared" si="2"/>
        <v/>
      </c>
      <c r="Q336" s="32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4.25" customHeight="1" x14ac:dyDescent="0.2">
      <c r="A337" s="1"/>
      <c r="B337" s="33"/>
      <c r="C337" s="17">
        <f t="shared" si="3"/>
        <v>333</v>
      </c>
      <c r="D337" s="34"/>
      <c r="E337" s="35"/>
      <c r="F337" s="20"/>
      <c r="G337" s="20"/>
      <c r="H337" s="36"/>
      <c r="I337" s="36"/>
      <c r="J337" s="20"/>
      <c r="K337" s="36"/>
      <c r="L337" s="22" t="str">
        <f>IF(B337="","",IF(I337="CompteCourant",IF(IF(ISNA(VLOOKUP(B337,DATA!$A$1:$A$16,1,0)),"",VLOOKUP(B337,DATA!$A$1:$A$16,1,0))="",L336+E337,L336-E337),L336))</f>
        <v/>
      </c>
      <c r="M337" s="23" t="str">
        <f>IF(B337="","",IF(I337="Coffre",IF(IF(ISNA(VLOOKUP(B337,DATA!$A$1:$A$16,1,0)),"",VLOOKUP(B337,DATA!$A$1:$A$16,1,0))="",M336+E337,M336-E337),M336))</f>
        <v/>
      </c>
      <c r="N337" s="23" t="str">
        <f>IF(B337="","",IF(I337="CompteEpargne",IF(IF(ISNA(VLOOKUP(B337,DATA!$A$1:$A$16,1,0)),"",VLOOKUP(B337,DATA!$A$1:$A$16,1,0))="",N336+E337,N336-E337),N336))</f>
        <v/>
      </c>
      <c r="O337" s="32" t="str">
        <f>IF(B337="","",IF(J337="CompteEpargne",IF(IF(ISNA(VLOOKUP(B337,DATA!$A$1:$A$16,1,0)),"",VLOOKUP(B337,DATA!$A$1:$A$16,1,0))="",O336+E337,O336-E337),O336))</f>
        <v/>
      </c>
      <c r="P337" s="22" t="str">
        <f t="shared" si="2"/>
        <v/>
      </c>
      <c r="Q337" s="32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4.25" customHeight="1" x14ac:dyDescent="0.2">
      <c r="A338" s="1"/>
      <c r="B338" s="33"/>
      <c r="C338" s="17">
        <f t="shared" si="3"/>
        <v>334</v>
      </c>
      <c r="D338" s="34"/>
      <c r="E338" s="35"/>
      <c r="F338" s="20"/>
      <c r="G338" s="20"/>
      <c r="H338" s="36"/>
      <c r="I338" s="36"/>
      <c r="J338" s="20"/>
      <c r="K338" s="36"/>
      <c r="L338" s="22" t="str">
        <f>IF(B338="","",IF(I338="CompteCourant",IF(IF(ISNA(VLOOKUP(B338,DATA!$A$1:$A$16,1,0)),"",VLOOKUP(B338,DATA!$A$1:$A$16,1,0))="",L337+E338,L337-E338),L337))</f>
        <v/>
      </c>
      <c r="M338" s="23" t="str">
        <f>IF(B338="","",IF(I338="Coffre",IF(IF(ISNA(VLOOKUP(B338,DATA!$A$1:$A$16,1,0)),"",VLOOKUP(B338,DATA!$A$1:$A$16,1,0))="",M337+E338,M337-E338),M337))</f>
        <v/>
      </c>
      <c r="N338" s="23" t="str">
        <f>IF(B338="","",IF(I338="CompteEpargne",IF(IF(ISNA(VLOOKUP(B338,DATA!$A$1:$A$16,1,0)),"",VLOOKUP(B338,DATA!$A$1:$A$16,1,0))="",N337+E338,N337-E338),N337))</f>
        <v/>
      </c>
      <c r="O338" s="32" t="str">
        <f>IF(B338="","",IF(J338="CompteEpargne",IF(IF(ISNA(VLOOKUP(B338,DATA!$A$1:$A$16,1,0)),"",VLOOKUP(B338,DATA!$A$1:$A$16,1,0))="",O337+E338,O337-E338),O337))</f>
        <v/>
      </c>
      <c r="P338" s="22" t="str">
        <f t="shared" si="2"/>
        <v/>
      </c>
      <c r="Q338" s="32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4.25" customHeight="1" x14ac:dyDescent="0.2">
      <c r="A339" s="1"/>
      <c r="B339" s="33"/>
      <c r="C339" s="17">
        <f t="shared" si="3"/>
        <v>335</v>
      </c>
      <c r="D339" s="34"/>
      <c r="E339" s="35"/>
      <c r="F339" s="20"/>
      <c r="G339" s="20"/>
      <c r="H339" s="36"/>
      <c r="I339" s="36"/>
      <c r="J339" s="20"/>
      <c r="K339" s="36"/>
      <c r="L339" s="22" t="str">
        <f>IF(B339="","",IF(I339="CompteCourant",IF(IF(ISNA(VLOOKUP(B339,DATA!$A$1:$A$16,1,0)),"",VLOOKUP(B339,DATA!$A$1:$A$16,1,0))="",L338+E339,L338-E339),L338))</f>
        <v/>
      </c>
      <c r="M339" s="23" t="str">
        <f>IF(B339="","",IF(I339="Coffre",IF(IF(ISNA(VLOOKUP(B339,DATA!$A$1:$A$16,1,0)),"",VLOOKUP(B339,DATA!$A$1:$A$16,1,0))="",M338+E339,M338-E339),M338))</f>
        <v/>
      </c>
      <c r="N339" s="23" t="str">
        <f>IF(B339="","",IF(I339="CompteEpargne",IF(IF(ISNA(VLOOKUP(B339,DATA!$A$1:$A$16,1,0)),"",VLOOKUP(B339,DATA!$A$1:$A$16,1,0))="",N338+E339,N338-E339),N338))</f>
        <v/>
      </c>
      <c r="O339" s="32" t="str">
        <f>IF(B339="","",IF(J339="CompteEpargne",IF(IF(ISNA(VLOOKUP(B339,DATA!$A$1:$A$16,1,0)),"",VLOOKUP(B339,DATA!$A$1:$A$16,1,0))="",O338+E339,O338-E339),O338))</f>
        <v/>
      </c>
      <c r="P339" s="22" t="str">
        <f t="shared" si="2"/>
        <v/>
      </c>
      <c r="Q339" s="32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4.25" customHeight="1" x14ac:dyDescent="0.2">
      <c r="A340" s="1"/>
      <c r="B340" s="33"/>
      <c r="C340" s="17">
        <f t="shared" si="3"/>
        <v>336</v>
      </c>
      <c r="D340" s="34"/>
      <c r="E340" s="35"/>
      <c r="F340" s="20"/>
      <c r="G340" s="20"/>
      <c r="H340" s="36"/>
      <c r="I340" s="36"/>
      <c r="J340" s="20"/>
      <c r="K340" s="36"/>
      <c r="L340" s="22" t="str">
        <f>IF(B340="","",IF(I340="CompteCourant",IF(IF(ISNA(VLOOKUP(B340,DATA!$A$1:$A$16,1,0)),"",VLOOKUP(B340,DATA!$A$1:$A$16,1,0))="",L339+E340,L339-E340),L339))</f>
        <v/>
      </c>
      <c r="M340" s="23" t="str">
        <f>IF(B340="","",IF(I340="Coffre",IF(IF(ISNA(VLOOKUP(B340,DATA!$A$1:$A$16,1,0)),"",VLOOKUP(B340,DATA!$A$1:$A$16,1,0))="",M339+E340,M339-E340),M339))</f>
        <v/>
      </c>
      <c r="N340" s="23" t="str">
        <f>IF(B340="","",IF(I340="CompteEpargne",IF(IF(ISNA(VLOOKUP(B340,DATA!$A$1:$A$16,1,0)),"",VLOOKUP(B340,DATA!$A$1:$A$16,1,0))="",N339+E340,N339-E340),N339))</f>
        <v/>
      </c>
      <c r="O340" s="32" t="str">
        <f>IF(B340="","",IF(J340="CompteEpargne",IF(IF(ISNA(VLOOKUP(B340,DATA!$A$1:$A$16,1,0)),"",VLOOKUP(B340,DATA!$A$1:$A$16,1,0))="",O339+E340,O339-E340),O339))</f>
        <v/>
      </c>
      <c r="P340" s="22" t="str">
        <f t="shared" si="2"/>
        <v/>
      </c>
      <c r="Q340" s="32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4.25" customHeight="1" x14ac:dyDescent="0.2">
      <c r="A341" s="1"/>
      <c r="B341" s="33"/>
      <c r="C341" s="17">
        <f t="shared" si="3"/>
        <v>337</v>
      </c>
      <c r="D341" s="34"/>
      <c r="E341" s="35"/>
      <c r="F341" s="20"/>
      <c r="G341" s="20"/>
      <c r="H341" s="36"/>
      <c r="I341" s="36"/>
      <c r="J341" s="20"/>
      <c r="K341" s="36"/>
      <c r="L341" s="22" t="str">
        <f>IF(B341="","",IF(I341="CompteCourant",IF(IF(ISNA(VLOOKUP(B341,DATA!$A$1:$A$16,1,0)),"",VLOOKUP(B341,DATA!$A$1:$A$16,1,0))="",L340+E341,L340-E341),L340))</f>
        <v/>
      </c>
      <c r="M341" s="23" t="str">
        <f>IF(B341="","",IF(I341="Coffre",IF(IF(ISNA(VLOOKUP(B341,DATA!$A$1:$A$16,1,0)),"",VLOOKUP(B341,DATA!$A$1:$A$16,1,0))="",M340+E341,M340-E341),M340))</f>
        <v/>
      </c>
      <c r="N341" s="23" t="str">
        <f>IF(B341="","",IF(I341="CompteEpargne",IF(IF(ISNA(VLOOKUP(B341,DATA!$A$1:$A$16,1,0)),"",VLOOKUP(B341,DATA!$A$1:$A$16,1,0))="",N340+E341,N340-E341),N340))</f>
        <v/>
      </c>
      <c r="O341" s="32" t="str">
        <f>IF(B341="","",IF(J341="CompteEpargne",IF(IF(ISNA(VLOOKUP(B341,DATA!$A$1:$A$16,1,0)),"",VLOOKUP(B341,DATA!$A$1:$A$16,1,0))="",O340+E341,O340-E341),O340))</f>
        <v/>
      </c>
      <c r="P341" s="22" t="str">
        <f t="shared" si="2"/>
        <v/>
      </c>
      <c r="Q341" s="32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4.25" customHeight="1" x14ac:dyDescent="0.2">
      <c r="A342" s="1"/>
      <c r="B342" s="33"/>
      <c r="C342" s="17">
        <f t="shared" si="3"/>
        <v>338</v>
      </c>
      <c r="D342" s="34"/>
      <c r="E342" s="35"/>
      <c r="F342" s="20"/>
      <c r="G342" s="20"/>
      <c r="H342" s="36"/>
      <c r="I342" s="36"/>
      <c r="J342" s="20"/>
      <c r="K342" s="36"/>
      <c r="L342" s="22" t="str">
        <f>IF(B342="","",IF(I342="CompteCourant",IF(IF(ISNA(VLOOKUP(B342,DATA!$A$1:$A$16,1,0)),"",VLOOKUP(B342,DATA!$A$1:$A$16,1,0))="",L341+E342,L341-E342),L341))</f>
        <v/>
      </c>
      <c r="M342" s="23" t="str">
        <f>IF(B342="","",IF(I342="Coffre",IF(IF(ISNA(VLOOKUP(B342,DATA!$A$1:$A$16,1,0)),"",VLOOKUP(B342,DATA!$A$1:$A$16,1,0))="",M341+E342,M341-E342),M341))</f>
        <v/>
      </c>
      <c r="N342" s="23" t="str">
        <f>IF(B342="","",IF(I342="CompteEpargne",IF(IF(ISNA(VLOOKUP(B342,DATA!$A$1:$A$16,1,0)),"",VLOOKUP(B342,DATA!$A$1:$A$16,1,0))="",N341+E342,N341-E342),N341))</f>
        <v/>
      </c>
      <c r="O342" s="32" t="str">
        <f>IF(B342="","",IF(J342="CompteEpargne",IF(IF(ISNA(VLOOKUP(B342,DATA!$A$1:$A$16,1,0)),"",VLOOKUP(B342,DATA!$A$1:$A$16,1,0))="",O341+E342,O341-E342),O341))</f>
        <v/>
      </c>
      <c r="P342" s="22" t="str">
        <f t="shared" si="2"/>
        <v/>
      </c>
      <c r="Q342" s="32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4.25" customHeight="1" x14ac:dyDescent="0.2">
      <c r="A343" s="1"/>
      <c r="B343" s="33"/>
      <c r="C343" s="17">
        <f t="shared" si="3"/>
        <v>339</v>
      </c>
      <c r="D343" s="34"/>
      <c r="E343" s="35"/>
      <c r="F343" s="20"/>
      <c r="G343" s="20"/>
      <c r="H343" s="36"/>
      <c r="I343" s="36"/>
      <c r="J343" s="20"/>
      <c r="K343" s="36"/>
      <c r="L343" s="22" t="str">
        <f>IF(B343="","",IF(I343="CompteCourant",IF(IF(ISNA(VLOOKUP(B343,DATA!$A$1:$A$16,1,0)),"",VLOOKUP(B343,DATA!$A$1:$A$16,1,0))="",L342+E343,L342-E343),L342))</f>
        <v/>
      </c>
      <c r="M343" s="23" t="str">
        <f>IF(B343="","",IF(I343="Coffre",IF(IF(ISNA(VLOOKUP(B343,DATA!$A$1:$A$16,1,0)),"",VLOOKUP(B343,DATA!$A$1:$A$16,1,0))="",M342+E343,M342-E343),M342))</f>
        <v/>
      </c>
      <c r="N343" s="23" t="str">
        <f>IF(B343="","",IF(I343="CompteEpargne",IF(IF(ISNA(VLOOKUP(B343,DATA!$A$1:$A$16,1,0)),"",VLOOKUP(B343,DATA!$A$1:$A$16,1,0))="",N342+E343,N342-E343),N342))</f>
        <v/>
      </c>
      <c r="O343" s="32" t="str">
        <f>IF(B343="","",IF(J343="CompteEpargne",IF(IF(ISNA(VLOOKUP(B343,DATA!$A$1:$A$16,1,0)),"",VLOOKUP(B343,DATA!$A$1:$A$16,1,0))="",O342+E343,O342-E343),O342))</f>
        <v/>
      </c>
      <c r="P343" s="22" t="str">
        <f t="shared" si="2"/>
        <v/>
      </c>
      <c r="Q343" s="32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4.25" customHeight="1" x14ac:dyDescent="0.2">
      <c r="A344" s="1"/>
      <c r="B344" s="33"/>
      <c r="C344" s="17">
        <f t="shared" si="3"/>
        <v>340</v>
      </c>
      <c r="D344" s="34"/>
      <c r="E344" s="35"/>
      <c r="F344" s="20"/>
      <c r="G344" s="20"/>
      <c r="H344" s="36"/>
      <c r="I344" s="36"/>
      <c r="J344" s="20"/>
      <c r="K344" s="36"/>
      <c r="L344" s="22" t="str">
        <f>IF(B344="","",IF(I344="CompteCourant",IF(IF(ISNA(VLOOKUP(B344,DATA!$A$1:$A$16,1,0)),"",VLOOKUP(B344,DATA!$A$1:$A$16,1,0))="",L343+E344,L343-E344),L343))</f>
        <v/>
      </c>
      <c r="M344" s="23" t="str">
        <f>IF(B344="","",IF(I344="Coffre",IF(IF(ISNA(VLOOKUP(B344,DATA!$A$1:$A$16,1,0)),"",VLOOKUP(B344,DATA!$A$1:$A$16,1,0))="",M343+E344,M343-E344),M343))</f>
        <v/>
      </c>
      <c r="N344" s="23" t="str">
        <f>IF(B344="","",IF(I344="CompteEpargne",IF(IF(ISNA(VLOOKUP(B344,DATA!$A$1:$A$16,1,0)),"",VLOOKUP(B344,DATA!$A$1:$A$16,1,0))="",N343+E344,N343-E344),N343))</f>
        <v/>
      </c>
      <c r="O344" s="32" t="str">
        <f>IF(B344="","",IF(J344="CompteEpargne",IF(IF(ISNA(VLOOKUP(B344,DATA!$A$1:$A$16,1,0)),"",VLOOKUP(B344,DATA!$A$1:$A$16,1,0))="",O343+E344,O343-E344),O343))</f>
        <v/>
      </c>
      <c r="P344" s="22" t="str">
        <f t="shared" si="2"/>
        <v/>
      </c>
      <c r="Q344" s="32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4.25" customHeight="1" x14ac:dyDescent="0.2">
      <c r="A345" s="1"/>
      <c r="B345" s="33"/>
      <c r="C345" s="17">
        <f t="shared" si="3"/>
        <v>341</v>
      </c>
      <c r="D345" s="34"/>
      <c r="E345" s="35"/>
      <c r="F345" s="20"/>
      <c r="G345" s="20"/>
      <c r="H345" s="36"/>
      <c r="I345" s="36"/>
      <c r="J345" s="20"/>
      <c r="K345" s="36"/>
      <c r="L345" s="22" t="str">
        <f>IF(B345="","",IF(I345="CompteCourant",IF(IF(ISNA(VLOOKUP(B345,DATA!$A$1:$A$16,1,0)),"",VLOOKUP(B345,DATA!$A$1:$A$16,1,0))="",L344+E345,L344-E345),L344))</f>
        <v/>
      </c>
      <c r="M345" s="23" t="str">
        <f>IF(B345="","",IF(I345="Coffre",IF(IF(ISNA(VLOOKUP(B345,DATA!$A$1:$A$16,1,0)),"",VLOOKUP(B345,DATA!$A$1:$A$16,1,0))="",M344+E345,M344-E345),M344))</f>
        <v/>
      </c>
      <c r="N345" s="23" t="str">
        <f>IF(B345="","",IF(I345="CompteEpargne",IF(IF(ISNA(VLOOKUP(B345,DATA!$A$1:$A$16,1,0)),"",VLOOKUP(B345,DATA!$A$1:$A$16,1,0))="",N344+E345,N344-E345),N344))</f>
        <v/>
      </c>
      <c r="O345" s="32" t="str">
        <f>IF(B345="","",IF(J345="CompteEpargne",IF(IF(ISNA(VLOOKUP(B345,DATA!$A$1:$A$16,1,0)),"",VLOOKUP(B345,DATA!$A$1:$A$16,1,0))="",O344+E345,O344-E345),O344))</f>
        <v/>
      </c>
      <c r="P345" s="22" t="str">
        <f t="shared" si="2"/>
        <v/>
      </c>
      <c r="Q345" s="32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4.25" customHeight="1" x14ac:dyDescent="0.2">
      <c r="A346" s="1"/>
      <c r="B346" s="33"/>
      <c r="C346" s="17">
        <f t="shared" si="3"/>
        <v>342</v>
      </c>
      <c r="D346" s="34"/>
      <c r="E346" s="35"/>
      <c r="F346" s="20"/>
      <c r="G346" s="20"/>
      <c r="H346" s="36"/>
      <c r="I346" s="36"/>
      <c r="J346" s="20"/>
      <c r="K346" s="36"/>
      <c r="L346" s="22" t="str">
        <f>IF(B346="","",IF(I346="CompteCourant",IF(IF(ISNA(VLOOKUP(B346,DATA!$A$1:$A$16,1,0)),"",VLOOKUP(B346,DATA!$A$1:$A$16,1,0))="",L345+E346,L345-E346),L345))</f>
        <v/>
      </c>
      <c r="M346" s="23" t="str">
        <f>IF(B346="","",IF(I346="Coffre",IF(IF(ISNA(VLOOKUP(B346,DATA!$A$1:$A$16,1,0)),"",VLOOKUP(B346,DATA!$A$1:$A$16,1,0))="",M345+E346,M345-E346),M345))</f>
        <v/>
      </c>
      <c r="N346" s="23" t="str">
        <f>IF(B346="","",IF(I346="CompteEpargne",IF(IF(ISNA(VLOOKUP(B346,DATA!$A$1:$A$16,1,0)),"",VLOOKUP(B346,DATA!$A$1:$A$16,1,0))="",N345+E346,N345-E346),N345))</f>
        <v/>
      </c>
      <c r="O346" s="32" t="str">
        <f>IF(B346="","",IF(J346="CompteEpargne",IF(IF(ISNA(VLOOKUP(B346,DATA!$A$1:$A$16,1,0)),"",VLOOKUP(B346,DATA!$A$1:$A$16,1,0))="",O345+E346,O345-E346),O345))</f>
        <v/>
      </c>
      <c r="P346" s="22" t="str">
        <f t="shared" si="2"/>
        <v/>
      </c>
      <c r="Q346" s="32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4.25" customHeight="1" x14ac:dyDescent="0.2">
      <c r="A347" s="1"/>
      <c r="B347" s="33"/>
      <c r="C347" s="17">
        <f t="shared" si="3"/>
        <v>343</v>
      </c>
      <c r="D347" s="34"/>
      <c r="E347" s="35"/>
      <c r="F347" s="20"/>
      <c r="G347" s="20"/>
      <c r="H347" s="36"/>
      <c r="I347" s="36"/>
      <c r="J347" s="20"/>
      <c r="K347" s="36"/>
      <c r="L347" s="22" t="str">
        <f>IF(B347="","",IF(I347="CompteCourant",IF(IF(ISNA(VLOOKUP(B347,DATA!$A$1:$A$16,1,0)),"",VLOOKUP(B347,DATA!$A$1:$A$16,1,0))="",L346+E347,L346-E347),L346))</f>
        <v/>
      </c>
      <c r="M347" s="23" t="str">
        <f>IF(B347="","",IF(I347="Coffre",IF(IF(ISNA(VLOOKUP(B347,DATA!$A$1:$A$16,1,0)),"",VLOOKUP(B347,DATA!$A$1:$A$16,1,0))="",M346+E347,M346-E347),M346))</f>
        <v/>
      </c>
      <c r="N347" s="23" t="str">
        <f>IF(B347="","",IF(I347="CompteEpargne",IF(IF(ISNA(VLOOKUP(B347,DATA!$A$1:$A$16,1,0)),"",VLOOKUP(B347,DATA!$A$1:$A$16,1,0))="",N346+E347,N346-E347),N346))</f>
        <v/>
      </c>
      <c r="O347" s="32" t="str">
        <f>IF(B347="","",IF(J347="CompteEpargne",IF(IF(ISNA(VLOOKUP(B347,DATA!$A$1:$A$16,1,0)),"",VLOOKUP(B347,DATA!$A$1:$A$16,1,0))="",O346+E347,O346-E347),O346))</f>
        <v/>
      </c>
      <c r="P347" s="22" t="str">
        <f t="shared" si="2"/>
        <v/>
      </c>
      <c r="Q347" s="32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4.25" customHeight="1" x14ac:dyDescent="0.2">
      <c r="A348" s="1"/>
      <c r="B348" s="33"/>
      <c r="C348" s="17">
        <f t="shared" si="3"/>
        <v>344</v>
      </c>
      <c r="D348" s="34"/>
      <c r="E348" s="35"/>
      <c r="F348" s="20"/>
      <c r="G348" s="20"/>
      <c r="H348" s="36"/>
      <c r="I348" s="36"/>
      <c r="J348" s="20"/>
      <c r="K348" s="36"/>
      <c r="L348" s="22" t="str">
        <f>IF(B348="","",IF(I348="CompteCourant",IF(IF(ISNA(VLOOKUP(B348,DATA!$A$1:$A$16,1,0)),"",VLOOKUP(B348,DATA!$A$1:$A$16,1,0))="",L347+E348,L347-E348),L347))</f>
        <v/>
      </c>
      <c r="M348" s="23" t="str">
        <f>IF(B348="","",IF(I348="Coffre",IF(IF(ISNA(VLOOKUP(B348,DATA!$A$1:$A$16,1,0)),"",VLOOKUP(B348,DATA!$A$1:$A$16,1,0))="",M347+E348,M347-E348),M347))</f>
        <v/>
      </c>
      <c r="N348" s="23" t="str">
        <f>IF(B348="","",IF(I348="CompteEpargne",IF(IF(ISNA(VLOOKUP(B348,DATA!$A$1:$A$16,1,0)),"",VLOOKUP(B348,DATA!$A$1:$A$16,1,0))="",N347+E348,N347-E348),N347))</f>
        <v/>
      </c>
      <c r="O348" s="32" t="str">
        <f>IF(B348="","",IF(J348="CompteEpargne",IF(IF(ISNA(VLOOKUP(B348,DATA!$A$1:$A$16,1,0)),"",VLOOKUP(B348,DATA!$A$1:$A$16,1,0))="",O347+E348,O347-E348),O347))</f>
        <v/>
      </c>
      <c r="P348" s="22" t="str">
        <f t="shared" si="2"/>
        <v/>
      </c>
      <c r="Q348" s="32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4.25" customHeight="1" x14ac:dyDescent="0.2">
      <c r="A349" s="1"/>
      <c r="B349" s="33"/>
      <c r="C349" s="17">
        <f t="shared" si="3"/>
        <v>345</v>
      </c>
      <c r="D349" s="34"/>
      <c r="E349" s="35"/>
      <c r="F349" s="20"/>
      <c r="G349" s="20"/>
      <c r="H349" s="36"/>
      <c r="I349" s="36"/>
      <c r="J349" s="20"/>
      <c r="K349" s="36"/>
      <c r="L349" s="22" t="str">
        <f>IF(B349="","",IF(I349="CompteCourant",IF(IF(ISNA(VLOOKUP(B349,DATA!$A$1:$A$16,1,0)),"",VLOOKUP(B349,DATA!$A$1:$A$16,1,0))="",L348+E349,L348-E349),L348))</f>
        <v/>
      </c>
      <c r="M349" s="23" t="str">
        <f>IF(B349="","",IF(I349="Coffre",IF(IF(ISNA(VLOOKUP(B349,DATA!$A$1:$A$16,1,0)),"",VLOOKUP(B349,DATA!$A$1:$A$16,1,0))="",M348+E349,M348-E349),M348))</f>
        <v/>
      </c>
      <c r="N349" s="23" t="str">
        <f>IF(B349="","",IF(I349="CompteEpargne",IF(IF(ISNA(VLOOKUP(B349,DATA!$A$1:$A$16,1,0)),"",VLOOKUP(B349,DATA!$A$1:$A$16,1,0))="",N348+E349,N348-E349),N348))</f>
        <v/>
      </c>
      <c r="O349" s="32" t="str">
        <f>IF(B349="","",IF(J349="CompteEpargne",IF(IF(ISNA(VLOOKUP(B349,DATA!$A$1:$A$16,1,0)),"",VLOOKUP(B349,DATA!$A$1:$A$16,1,0))="",O348+E349,O348-E349),O348))</f>
        <v/>
      </c>
      <c r="P349" s="22" t="str">
        <f t="shared" si="2"/>
        <v/>
      </c>
      <c r="Q349" s="32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4.25" customHeight="1" x14ac:dyDescent="0.2">
      <c r="A350" s="1"/>
      <c r="B350" s="33"/>
      <c r="C350" s="17">
        <f t="shared" si="3"/>
        <v>346</v>
      </c>
      <c r="D350" s="34"/>
      <c r="E350" s="35"/>
      <c r="F350" s="20"/>
      <c r="G350" s="20"/>
      <c r="H350" s="36"/>
      <c r="I350" s="36"/>
      <c r="J350" s="20"/>
      <c r="K350" s="36"/>
      <c r="L350" s="22" t="str">
        <f>IF(B350="","",IF(I350="CompteCourant",IF(IF(ISNA(VLOOKUP(B350,DATA!$A$1:$A$16,1,0)),"",VLOOKUP(B350,DATA!$A$1:$A$16,1,0))="",L349+E350,L349-E350),L349))</f>
        <v/>
      </c>
      <c r="M350" s="23" t="str">
        <f>IF(B350="","",IF(I350="Coffre",IF(IF(ISNA(VLOOKUP(B350,DATA!$A$1:$A$16,1,0)),"",VLOOKUP(B350,DATA!$A$1:$A$16,1,0))="",M349+E350,M349-E350),M349))</f>
        <v/>
      </c>
      <c r="N350" s="23" t="str">
        <f>IF(B350="","",IF(I350="CompteEpargne",IF(IF(ISNA(VLOOKUP(B350,DATA!$A$1:$A$16,1,0)),"",VLOOKUP(B350,DATA!$A$1:$A$16,1,0))="",N349+E350,N349-E350),N349))</f>
        <v/>
      </c>
      <c r="O350" s="32" t="str">
        <f>IF(B350="","",IF(J350="CompteEpargne",IF(IF(ISNA(VLOOKUP(B350,DATA!$A$1:$A$16,1,0)),"",VLOOKUP(B350,DATA!$A$1:$A$16,1,0))="",O349+E350,O349-E350),O349))</f>
        <v/>
      </c>
      <c r="P350" s="22" t="str">
        <f t="shared" si="2"/>
        <v/>
      </c>
      <c r="Q350" s="32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4.25" customHeight="1" x14ac:dyDescent="0.2">
      <c r="A351" s="1"/>
      <c r="B351" s="33"/>
      <c r="C351" s="17">
        <f t="shared" si="3"/>
        <v>347</v>
      </c>
      <c r="D351" s="34"/>
      <c r="E351" s="35"/>
      <c r="F351" s="20"/>
      <c r="G351" s="20"/>
      <c r="H351" s="36"/>
      <c r="I351" s="36"/>
      <c r="J351" s="20"/>
      <c r="K351" s="36"/>
      <c r="L351" s="22" t="str">
        <f>IF(B351="","",IF(I351="CompteCourant",IF(IF(ISNA(VLOOKUP(B351,DATA!$A$1:$A$16,1,0)),"",VLOOKUP(B351,DATA!$A$1:$A$16,1,0))="",L350+E351,L350-E351),L350))</f>
        <v/>
      </c>
      <c r="M351" s="23" t="str">
        <f>IF(B351="","",IF(I351="Coffre",IF(IF(ISNA(VLOOKUP(B351,DATA!$A$1:$A$16,1,0)),"",VLOOKUP(B351,DATA!$A$1:$A$16,1,0))="",M350+E351,M350-E351),M350))</f>
        <v/>
      </c>
      <c r="N351" s="23" t="str">
        <f>IF(B351="","",IF(I351="CompteEpargne",IF(IF(ISNA(VLOOKUP(B351,DATA!$A$1:$A$16,1,0)),"",VLOOKUP(B351,DATA!$A$1:$A$16,1,0))="",N350+E351,N350-E351),N350))</f>
        <v/>
      </c>
      <c r="O351" s="32" t="str">
        <f>IF(B351="","",IF(J351="CompteEpargne",IF(IF(ISNA(VLOOKUP(B351,DATA!$A$1:$A$16,1,0)),"",VLOOKUP(B351,DATA!$A$1:$A$16,1,0))="",O350+E351,O350-E351),O350))</f>
        <v/>
      </c>
      <c r="P351" s="22" t="str">
        <f t="shared" si="2"/>
        <v/>
      </c>
      <c r="Q351" s="32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4.25" customHeight="1" x14ac:dyDescent="0.2">
      <c r="A352" s="1"/>
      <c r="B352" s="33"/>
      <c r="C352" s="17">
        <f t="shared" si="3"/>
        <v>348</v>
      </c>
      <c r="D352" s="34"/>
      <c r="E352" s="35"/>
      <c r="F352" s="20"/>
      <c r="G352" s="20"/>
      <c r="H352" s="36"/>
      <c r="I352" s="36"/>
      <c r="J352" s="20"/>
      <c r="K352" s="36"/>
      <c r="L352" s="22" t="str">
        <f>IF(B352="","",IF(I352="CompteCourant",IF(IF(ISNA(VLOOKUP(B352,DATA!$A$1:$A$16,1,0)),"",VLOOKUP(B352,DATA!$A$1:$A$16,1,0))="",L351+E352,L351-E352),L351))</f>
        <v/>
      </c>
      <c r="M352" s="23" t="str">
        <f>IF(B352="","",IF(I352="Coffre",IF(IF(ISNA(VLOOKUP(B352,DATA!$A$1:$A$16,1,0)),"",VLOOKUP(B352,DATA!$A$1:$A$16,1,0))="",M351+E352,M351-E352),M351))</f>
        <v/>
      </c>
      <c r="N352" s="23" t="str">
        <f>IF(B352="","",IF(I352="CompteEpargne",IF(IF(ISNA(VLOOKUP(B352,DATA!$A$1:$A$16,1,0)),"",VLOOKUP(B352,DATA!$A$1:$A$16,1,0))="",N351+E352,N351-E352),N351))</f>
        <v/>
      </c>
      <c r="O352" s="32" t="str">
        <f>IF(B352="","",IF(J352="CompteEpargne",IF(IF(ISNA(VLOOKUP(B352,DATA!$A$1:$A$16,1,0)),"",VLOOKUP(B352,DATA!$A$1:$A$16,1,0))="",O351+E352,O351-E352),O351))</f>
        <v/>
      </c>
      <c r="P352" s="22" t="str">
        <f t="shared" si="2"/>
        <v/>
      </c>
      <c r="Q352" s="32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4.25" customHeight="1" x14ac:dyDescent="0.2">
      <c r="A353" s="1"/>
      <c r="B353" s="33"/>
      <c r="C353" s="17">
        <f t="shared" si="3"/>
        <v>349</v>
      </c>
      <c r="D353" s="34"/>
      <c r="E353" s="35"/>
      <c r="F353" s="20"/>
      <c r="G353" s="20"/>
      <c r="H353" s="36"/>
      <c r="I353" s="36"/>
      <c r="J353" s="20"/>
      <c r="K353" s="36"/>
      <c r="L353" s="22" t="str">
        <f>IF(B353="","",IF(I353="CompteCourant",IF(IF(ISNA(VLOOKUP(B353,DATA!$A$1:$A$16,1,0)),"",VLOOKUP(B353,DATA!$A$1:$A$16,1,0))="",L352+E353,L352-E353),L352))</f>
        <v/>
      </c>
      <c r="M353" s="23" t="str">
        <f>IF(B353="","",IF(I353="Coffre",IF(IF(ISNA(VLOOKUP(B353,DATA!$A$1:$A$16,1,0)),"",VLOOKUP(B353,DATA!$A$1:$A$16,1,0))="",M352+E353,M352-E353),M352))</f>
        <v/>
      </c>
      <c r="N353" s="23" t="str">
        <f>IF(B353="","",IF(I353="CompteEpargne",IF(IF(ISNA(VLOOKUP(B353,DATA!$A$1:$A$16,1,0)),"",VLOOKUP(B353,DATA!$A$1:$A$16,1,0))="",N352+E353,N352-E353),N352))</f>
        <v/>
      </c>
      <c r="O353" s="32" t="str">
        <f>IF(B353="","",IF(J353="CompteEpargne",IF(IF(ISNA(VLOOKUP(B353,DATA!$A$1:$A$16,1,0)),"",VLOOKUP(B353,DATA!$A$1:$A$16,1,0))="",O352+E353,O352-E353),O352))</f>
        <v/>
      </c>
      <c r="P353" s="22" t="str">
        <f t="shared" si="2"/>
        <v/>
      </c>
      <c r="Q353" s="32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4.25" customHeight="1" x14ac:dyDescent="0.2">
      <c r="A354" s="1"/>
      <c r="B354" s="33"/>
      <c r="C354" s="17">
        <f t="shared" si="3"/>
        <v>350</v>
      </c>
      <c r="D354" s="34"/>
      <c r="E354" s="35"/>
      <c r="F354" s="20"/>
      <c r="G354" s="20"/>
      <c r="H354" s="36"/>
      <c r="I354" s="36"/>
      <c r="J354" s="20"/>
      <c r="K354" s="36"/>
      <c r="L354" s="22" t="str">
        <f>IF(B354="","",IF(I354="CompteCourant",IF(IF(ISNA(VLOOKUP(B354,DATA!$A$1:$A$16,1,0)),"",VLOOKUP(B354,DATA!$A$1:$A$16,1,0))="",L353+E354,L353-E354),L353))</f>
        <v/>
      </c>
      <c r="M354" s="23" t="str">
        <f>IF(B354="","",IF(I354="Coffre",IF(IF(ISNA(VLOOKUP(B354,DATA!$A$1:$A$16,1,0)),"",VLOOKUP(B354,DATA!$A$1:$A$16,1,0))="",M353+E354,M353-E354),M353))</f>
        <v/>
      </c>
      <c r="N354" s="23" t="str">
        <f>IF(B354="","",IF(I354="CompteEpargne",IF(IF(ISNA(VLOOKUP(B354,DATA!$A$1:$A$16,1,0)),"",VLOOKUP(B354,DATA!$A$1:$A$16,1,0))="",N353+E354,N353-E354),N353))</f>
        <v/>
      </c>
      <c r="O354" s="32" t="str">
        <f>IF(B354="","",IF(J354="CompteEpargne",IF(IF(ISNA(VLOOKUP(B354,DATA!$A$1:$A$16,1,0)),"",VLOOKUP(B354,DATA!$A$1:$A$16,1,0))="",O353+E354,O353-E354),O353))</f>
        <v/>
      </c>
      <c r="P354" s="22" t="str">
        <f t="shared" si="2"/>
        <v/>
      </c>
      <c r="Q354" s="32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4.25" customHeight="1" x14ac:dyDescent="0.2">
      <c r="A355" s="1"/>
      <c r="B355" s="33"/>
      <c r="C355" s="17">
        <f t="shared" si="3"/>
        <v>351</v>
      </c>
      <c r="D355" s="34"/>
      <c r="E355" s="35"/>
      <c r="F355" s="20"/>
      <c r="G355" s="20"/>
      <c r="H355" s="36"/>
      <c r="I355" s="36"/>
      <c r="J355" s="20"/>
      <c r="K355" s="36"/>
      <c r="L355" s="22" t="str">
        <f>IF(B355="","",IF(I355="CompteCourant",IF(IF(ISNA(VLOOKUP(B355,DATA!$A$1:$A$16,1,0)),"",VLOOKUP(B355,DATA!$A$1:$A$16,1,0))="",L354+E355,L354-E355),L354))</f>
        <v/>
      </c>
      <c r="M355" s="23" t="str">
        <f>IF(B355="","",IF(I355="Coffre",IF(IF(ISNA(VLOOKUP(B355,DATA!$A$1:$A$16,1,0)),"",VLOOKUP(B355,DATA!$A$1:$A$16,1,0))="",M354+E355,M354-E355),M354))</f>
        <v/>
      </c>
      <c r="N355" s="23" t="str">
        <f>IF(B355="","",IF(I355="CompteEpargne",IF(IF(ISNA(VLOOKUP(B355,DATA!$A$1:$A$16,1,0)),"",VLOOKUP(B355,DATA!$A$1:$A$16,1,0))="",N354+E355,N354-E355),N354))</f>
        <v/>
      </c>
      <c r="O355" s="32" t="str">
        <f>IF(B355="","",IF(J355="CompteEpargne",IF(IF(ISNA(VLOOKUP(B355,DATA!$A$1:$A$16,1,0)),"",VLOOKUP(B355,DATA!$A$1:$A$16,1,0))="",O354+E355,O354-E355),O354))</f>
        <v/>
      </c>
      <c r="P355" s="22" t="str">
        <f t="shared" si="2"/>
        <v/>
      </c>
      <c r="Q355" s="32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4.25" customHeight="1" x14ac:dyDescent="0.2">
      <c r="A356" s="1"/>
      <c r="B356" s="33"/>
      <c r="C356" s="17">
        <f t="shared" si="3"/>
        <v>352</v>
      </c>
      <c r="D356" s="34"/>
      <c r="E356" s="35"/>
      <c r="F356" s="20"/>
      <c r="G356" s="20"/>
      <c r="H356" s="36"/>
      <c r="I356" s="36"/>
      <c r="J356" s="20"/>
      <c r="K356" s="36"/>
      <c r="L356" s="22" t="str">
        <f>IF(B356="","",IF(I356="CompteCourant",IF(IF(ISNA(VLOOKUP(B356,DATA!$A$1:$A$16,1,0)),"",VLOOKUP(B356,DATA!$A$1:$A$16,1,0))="",L355+E356,L355-E356),L355))</f>
        <v/>
      </c>
      <c r="M356" s="23" t="str">
        <f>IF(B356="","",IF(I356="Coffre",IF(IF(ISNA(VLOOKUP(B356,DATA!$A$1:$A$16,1,0)),"",VLOOKUP(B356,DATA!$A$1:$A$16,1,0))="",M355+E356,M355-E356),M355))</f>
        <v/>
      </c>
      <c r="N356" s="23" t="str">
        <f>IF(B356="","",IF(I356="CompteEpargne",IF(IF(ISNA(VLOOKUP(B356,DATA!$A$1:$A$16,1,0)),"",VLOOKUP(B356,DATA!$A$1:$A$16,1,0))="",N355+E356,N355-E356),N355))</f>
        <v/>
      </c>
      <c r="O356" s="32" t="str">
        <f>IF(B356="","",IF(J356="CompteEpargne",IF(IF(ISNA(VLOOKUP(B356,DATA!$A$1:$A$16,1,0)),"",VLOOKUP(B356,DATA!$A$1:$A$16,1,0))="",O355+E356,O355-E356),O355))</f>
        <v/>
      </c>
      <c r="P356" s="22" t="str">
        <f t="shared" si="2"/>
        <v/>
      </c>
      <c r="Q356" s="32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4.25" customHeight="1" x14ac:dyDescent="0.2">
      <c r="A357" s="1"/>
      <c r="B357" s="33"/>
      <c r="C357" s="17">
        <f t="shared" si="3"/>
        <v>353</v>
      </c>
      <c r="D357" s="34"/>
      <c r="E357" s="35"/>
      <c r="F357" s="20"/>
      <c r="G357" s="20"/>
      <c r="H357" s="36"/>
      <c r="I357" s="36"/>
      <c r="J357" s="20"/>
      <c r="K357" s="36"/>
      <c r="L357" s="22" t="str">
        <f>IF(B357="","",IF(I357="CompteCourant",IF(IF(ISNA(VLOOKUP(B357,DATA!$A$1:$A$16,1,0)),"",VLOOKUP(B357,DATA!$A$1:$A$16,1,0))="",L356+E357,L356-E357),L356))</f>
        <v/>
      </c>
      <c r="M357" s="23" t="str">
        <f>IF(B357="","",IF(I357="Coffre",IF(IF(ISNA(VLOOKUP(B357,DATA!$A$1:$A$16,1,0)),"",VLOOKUP(B357,DATA!$A$1:$A$16,1,0))="",M356+E357,M356-E357),M356))</f>
        <v/>
      </c>
      <c r="N357" s="23" t="str">
        <f>IF(B357="","",IF(I357="CompteEpargne",IF(IF(ISNA(VLOOKUP(B357,DATA!$A$1:$A$16,1,0)),"",VLOOKUP(B357,DATA!$A$1:$A$16,1,0))="",N356+E357,N356-E357),N356))</f>
        <v/>
      </c>
      <c r="O357" s="32" t="str">
        <f>IF(B357="","",IF(J357="CompteEpargne",IF(IF(ISNA(VLOOKUP(B357,DATA!$A$1:$A$16,1,0)),"",VLOOKUP(B357,DATA!$A$1:$A$16,1,0))="",O356+E357,O356-E357),O356))</f>
        <v/>
      </c>
      <c r="P357" s="22" t="str">
        <f t="shared" si="2"/>
        <v/>
      </c>
      <c r="Q357" s="32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4.25" customHeight="1" x14ac:dyDescent="0.2">
      <c r="A358" s="1"/>
      <c r="B358" s="33"/>
      <c r="C358" s="17">
        <f t="shared" si="3"/>
        <v>354</v>
      </c>
      <c r="D358" s="34"/>
      <c r="E358" s="35"/>
      <c r="F358" s="20"/>
      <c r="G358" s="20"/>
      <c r="H358" s="36"/>
      <c r="I358" s="36"/>
      <c r="J358" s="20"/>
      <c r="K358" s="36"/>
      <c r="L358" s="22" t="str">
        <f>IF(B358="","",IF(I358="CompteCourant",IF(IF(ISNA(VLOOKUP(B358,DATA!$A$1:$A$16,1,0)),"",VLOOKUP(B358,DATA!$A$1:$A$16,1,0))="",L357+E358,L357-E358),L357))</f>
        <v/>
      </c>
      <c r="M358" s="23" t="str">
        <f>IF(B358="","",IF(I358="Coffre",IF(IF(ISNA(VLOOKUP(B358,DATA!$A$1:$A$16,1,0)),"",VLOOKUP(B358,DATA!$A$1:$A$16,1,0))="",M357+E358,M357-E358),M357))</f>
        <v/>
      </c>
      <c r="N358" s="23" t="str">
        <f>IF(B358="","",IF(I358="CompteEpargne",IF(IF(ISNA(VLOOKUP(B358,DATA!$A$1:$A$16,1,0)),"",VLOOKUP(B358,DATA!$A$1:$A$16,1,0))="",N357+E358,N357-E358),N357))</f>
        <v/>
      </c>
      <c r="O358" s="32" t="str">
        <f>IF(B358="","",IF(J358="CompteEpargne",IF(IF(ISNA(VLOOKUP(B358,DATA!$A$1:$A$16,1,0)),"",VLOOKUP(B358,DATA!$A$1:$A$16,1,0))="",O357+E358,O357-E358),O357))</f>
        <v/>
      </c>
      <c r="P358" s="22" t="str">
        <f t="shared" si="2"/>
        <v/>
      </c>
      <c r="Q358" s="32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4.25" customHeight="1" x14ac:dyDescent="0.2">
      <c r="A359" s="1"/>
      <c r="B359" s="33"/>
      <c r="C359" s="17">
        <f t="shared" si="3"/>
        <v>355</v>
      </c>
      <c r="D359" s="34"/>
      <c r="E359" s="35"/>
      <c r="F359" s="20"/>
      <c r="G359" s="20"/>
      <c r="H359" s="36"/>
      <c r="I359" s="36"/>
      <c r="J359" s="20"/>
      <c r="K359" s="36"/>
      <c r="L359" s="22" t="str">
        <f>IF(B359="","",IF(I359="CompteCourant",IF(IF(ISNA(VLOOKUP(B359,DATA!$A$1:$A$16,1,0)),"",VLOOKUP(B359,DATA!$A$1:$A$16,1,0))="",L358+E359,L358-E359),L358))</f>
        <v/>
      </c>
      <c r="M359" s="23" t="str">
        <f>IF(B359="","",IF(I359="Coffre",IF(IF(ISNA(VLOOKUP(B359,DATA!$A$1:$A$16,1,0)),"",VLOOKUP(B359,DATA!$A$1:$A$16,1,0))="",M358+E359,M358-E359),M358))</f>
        <v/>
      </c>
      <c r="N359" s="23" t="str">
        <f>IF(B359="","",IF(I359="CompteEpargne",IF(IF(ISNA(VLOOKUP(B359,DATA!$A$1:$A$16,1,0)),"",VLOOKUP(B359,DATA!$A$1:$A$16,1,0))="",N358+E359,N358-E359),N358))</f>
        <v/>
      </c>
      <c r="O359" s="32" t="str">
        <f>IF(B359="","",IF(J359="CompteEpargne",IF(IF(ISNA(VLOOKUP(B359,DATA!$A$1:$A$16,1,0)),"",VLOOKUP(B359,DATA!$A$1:$A$16,1,0))="",O358+E359,O358-E359),O358))</f>
        <v/>
      </c>
      <c r="P359" s="22" t="str">
        <f t="shared" si="2"/>
        <v/>
      </c>
      <c r="Q359" s="32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4.25" customHeight="1" x14ac:dyDescent="0.2">
      <c r="A360" s="1"/>
      <c r="B360" s="33"/>
      <c r="C360" s="17">
        <f t="shared" si="3"/>
        <v>356</v>
      </c>
      <c r="D360" s="34"/>
      <c r="E360" s="35"/>
      <c r="F360" s="20"/>
      <c r="G360" s="20"/>
      <c r="H360" s="36"/>
      <c r="I360" s="36"/>
      <c r="J360" s="20"/>
      <c r="K360" s="36"/>
      <c r="L360" s="22" t="str">
        <f>IF(B360="","",IF(I360="CompteCourant",IF(IF(ISNA(VLOOKUP(B360,DATA!$A$1:$A$16,1,0)),"",VLOOKUP(B360,DATA!$A$1:$A$16,1,0))="",L359+E360,L359-E360),L359))</f>
        <v/>
      </c>
      <c r="M360" s="23" t="str">
        <f>IF(B360="","",IF(I360="Coffre",IF(IF(ISNA(VLOOKUP(B360,DATA!$A$1:$A$16,1,0)),"",VLOOKUP(B360,DATA!$A$1:$A$16,1,0))="",M359+E360,M359-E360),M359))</f>
        <v/>
      </c>
      <c r="N360" s="23" t="str">
        <f>IF(B360="","",IF(I360="CompteEpargne",IF(IF(ISNA(VLOOKUP(B360,DATA!$A$1:$A$16,1,0)),"",VLOOKUP(B360,DATA!$A$1:$A$16,1,0))="",N359+E360,N359-E360),N359))</f>
        <v/>
      </c>
      <c r="O360" s="32" t="str">
        <f>IF(B360="","",IF(J360="CompteEpargne",IF(IF(ISNA(VLOOKUP(B360,DATA!$A$1:$A$16,1,0)),"",VLOOKUP(B360,DATA!$A$1:$A$16,1,0))="",O359+E360,O359-E360),O359))</f>
        <v/>
      </c>
      <c r="P360" s="22" t="str">
        <f t="shared" si="2"/>
        <v/>
      </c>
      <c r="Q360" s="32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4.25" customHeight="1" x14ac:dyDescent="0.2">
      <c r="A361" s="1"/>
      <c r="B361" s="33"/>
      <c r="C361" s="17">
        <f t="shared" si="3"/>
        <v>357</v>
      </c>
      <c r="D361" s="34"/>
      <c r="E361" s="35"/>
      <c r="F361" s="20"/>
      <c r="G361" s="20"/>
      <c r="H361" s="36"/>
      <c r="I361" s="36"/>
      <c r="J361" s="20"/>
      <c r="K361" s="36"/>
      <c r="L361" s="22" t="str">
        <f>IF(B361="","",IF(I361="CompteCourant",IF(IF(ISNA(VLOOKUP(B361,DATA!$A$1:$A$16,1,0)),"",VLOOKUP(B361,DATA!$A$1:$A$16,1,0))="",L360+E361,L360-E361),L360))</f>
        <v/>
      </c>
      <c r="M361" s="23" t="str">
        <f>IF(B361="","",IF(I361="Coffre",IF(IF(ISNA(VLOOKUP(B361,DATA!$A$1:$A$16,1,0)),"",VLOOKUP(B361,DATA!$A$1:$A$16,1,0))="",M360+E361,M360-E361),M360))</f>
        <v/>
      </c>
      <c r="N361" s="23" t="str">
        <f>IF(B361="","",IF(I361="CompteEpargne",IF(IF(ISNA(VLOOKUP(B361,DATA!$A$1:$A$16,1,0)),"",VLOOKUP(B361,DATA!$A$1:$A$16,1,0))="",N360+E361,N360-E361),N360))</f>
        <v/>
      </c>
      <c r="O361" s="32" t="str">
        <f>IF(B361="","",IF(J361="CompteEpargne",IF(IF(ISNA(VLOOKUP(B361,DATA!$A$1:$A$16,1,0)),"",VLOOKUP(B361,DATA!$A$1:$A$16,1,0))="",O360+E361,O360-E361),O360))</f>
        <v/>
      </c>
      <c r="P361" s="22" t="str">
        <f t="shared" si="2"/>
        <v/>
      </c>
      <c r="Q361" s="32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4.25" customHeight="1" x14ac:dyDescent="0.2">
      <c r="A362" s="1"/>
      <c r="B362" s="33"/>
      <c r="C362" s="17">
        <f t="shared" si="3"/>
        <v>358</v>
      </c>
      <c r="D362" s="34"/>
      <c r="E362" s="35"/>
      <c r="F362" s="20"/>
      <c r="G362" s="20"/>
      <c r="H362" s="36"/>
      <c r="I362" s="36"/>
      <c r="J362" s="20"/>
      <c r="K362" s="36"/>
      <c r="L362" s="22" t="str">
        <f>IF(B362="","",IF(I362="CompteCourant",IF(IF(ISNA(VLOOKUP(B362,DATA!$A$1:$A$16,1,0)),"",VLOOKUP(B362,DATA!$A$1:$A$16,1,0))="",L361+E362,L361-E362),L361))</f>
        <v/>
      </c>
      <c r="M362" s="23" t="str">
        <f>IF(B362="","",IF(I362="Coffre",IF(IF(ISNA(VLOOKUP(B362,DATA!$A$1:$A$16,1,0)),"",VLOOKUP(B362,DATA!$A$1:$A$16,1,0))="",M361+E362,M361-E362),M361))</f>
        <v/>
      </c>
      <c r="N362" s="23" t="str">
        <f>IF(B362="","",IF(I362="CompteEpargne",IF(IF(ISNA(VLOOKUP(B362,DATA!$A$1:$A$16,1,0)),"",VLOOKUP(B362,DATA!$A$1:$A$16,1,0))="",N361+E362,N361-E362),N361))</f>
        <v/>
      </c>
      <c r="O362" s="32" t="str">
        <f>IF(B362="","",IF(J362="CompteEpargne",IF(IF(ISNA(VLOOKUP(B362,DATA!$A$1:$A$16,1,0)),"",VLOOKUP(B362,DATA!$A$1:$A$16,1,0))="",O361+E362,O361-E362),O361))</f>
        <v/>
      </c>
      <c r="P362" s="22" t="str">
        <f t="shared" si="2"/>
        <v/>
      </c>
      <c r="Q362" s="32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4.25" customHeight="1" x14ac:dyDescent="0.2">
      <c r="A363" s="1"/>
      <c r="B363" s="33"/>
      <c r="C363" s="17">
        <f t="shared" si="3"/>
        <v>359</v>
      </c>
      <c r="D363" s="34"/>
      <c r="E363" s="35"/>
      <c r="F363" s="20"/>
      <c r="G363" s="20"/>
      <c r="H363" s="36"/>
      <c r="I363" s="36"/>
      <c r="J363" s="20"/>
      <c r="K363" s="36"/>
      <c r="L363" s="22" t="str">
        <f>IF(B363="","",IF(I363="CompteCourant",IF(IF(ISNA(VLOOKUP(B363,DATA!$A$1:$A$16,1,0)),"",VLOOKUP(B363,DATA!$A$1:$A$16,1,0))="",L362+E363,L362-E363),L362))</f>
        <v/>
      </c>
      <c r="M363" s="23" t="str">
        <f>IF(B363="","",IF(I363="Coffre",IF(IF(ISNA(VLOOKUP(B363,DATA!$A$1:$A$16,1,0)),"",VLOOKUP(B363,DATA!$A$1:$A$16,1,0))="",M362+E363,M362-E363),M362))</f>
        <v/>
      </c>
      <c r="N363" s="23" t="str">
        <f>IF(B363="","",IF(I363="CompteEpargne",IF(IF(ISNA(VLOOKUP(B363,DATA!$A$1:$A$16,1,0)),"",VLOOKUP(B363,DATA!$A$1:$A$16,1,0))="",N362+E363,N362-E363),N362))</f>
        <v/>
      </c>
      <c r="O363" s="32" t="str">
        <f>IF(B363="","",IF(J363="CompteEpargne",IF(IF(ISNA(VLOOKUP(B363,DATA!$A$1:$A$16,1,0)),"",VLOOKUP(B363,DATA!$A$1:$A$16,1,0))="",O362+E363,O362-E363),O362))</f>
        <v/>
      </c>
      <c r="P363" s="22" t="str">
        <f t="shared" si="2"/>
        <v/>
      </c>
      <c r="Q363" s="32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4.25" customHeight="1" x14ac:dyDescent="0.2">
      <c r="A364" s="1"/>
      <c r="B364" s="33"/>
      <c r="C364" s="17">
        <f t="shared" si="3"/>
        <v>360</v>
      </c>
      <c r="D364" s="34"/>
      <c r="E364" s="35"/>
      <c r="F364" s="20"/>
      <c r="G364" s="20"/>
      <c r="H364" s="36"/>
      <c r="I364" s="36"/>
      <c r="J364" s="20"/>
      <c r="K364" s="36"/>
      <c r="L364" s="22" t="str">
        <f>IF(B364="","",IF(I364="CompteCourant",IF(IF(ISNA(VLOOKUP(B364,DATA!$A$1:$A$16,1,0)),"",VLOOKUP(B364,DATA!$A$1:$A$16,1,0))="",L363+E364,L363-E364),L363))</f>
        <v/>
      </c>
      <c r="M364" s="23" t="str">
        <f>IF(B364="","",IF(I364="Coffre",IF(IF(ISNA(VLOOKUP(B364,DATA!$A$1:$A$16,1,0)),"",VLOOKUP(B364,DATA!$A$1:$A$16,1,0))="",M363+E364,M363-E364),M363))</f>
        <v/>
      </c>
      <c r="N364" s="23" t="str">
        <f>IF(B364="","",IF(I364="CompteEpargne",IF(IF(ISNA(VLOOKUP(B364,DATA!$A$1:$A$16,1,0)),"",VLOOKUP(B364,DATA!$A$1:$A$16,1,0))="",N363+E364,N363-E364),N363))</f>
        <v/>
      </c>
      <c r="O364" s="32" t="str">
        <f>IF(B364="","",IF(J364="CompteEpargne",IF(IF(ISNA(VLOOKUP(B364,DATA!$A$1:$A$16,1,0)),"",VLOOKUP(B364,DATA!$A$1:$A$16,1,0))="",O363+E364,O363-E364),O363))</f>
        <v/>
      </c>
      <c r="P364" s="22" t="str">
        <f t="shared" si="2"/>
        <v/>
      </c>
      <c r="Q364" s="32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4.25" customHeight="1" x14ac:dyDescent="0.2">
      <c r="A365" s="1"/>
      <c r="B365" s="33"/>
      <c r="C365" s="17">
        <f t="shared" si="3"/>
        <v>361</v>
      </c>
      <c r="D365" s="34"/>
      <c r="E365" s="35"/>
      <c r="F365" s="20"/>
      <c r="G365" s="20"/>
      <c r="H365" s="36"/>
      <c r="I365" s="36"/>
      <c r="J365" s="20"/>
      <c r="K365" s="36"/>
      <c r="L365" s="22" t="str">
        <f>IF(B365="","",IF(I365="CompteCourant",IF(IF(ISNA(VLOOKUP(B365,DATA!$A$1:$A$16,1,0)),"",VLOOKUP(B365,DATA!$A$1:$A$16,1,0))="",L364+E365,L364-E365),L364))</f>
        <v/>
      </c>
      <c r="M365" s="23" t="str">
        <f>IF(B365="","",IF(I365="Coffre",IF(IF(ISNA(VLOOKUP(B365,DATA!$A$1:$A$16,1,0)),"",VLOOKUP(B365,DATA!$A$1:$A$16,1,0))="",M364+E365,M364-E365),M364))</f>
        <v/>
      </c>
      <c r="N365" s="23" t="str">
        <f>IF(B365="","",IF(I365="CompteEpargne",IF(IF(ISNA(VLOOKUP(B365,DATA!$A$1:$A$16,1,0)),"",VLOOKUP(B365,DATA!$A$1:$A$16,1,0))="",N364+E365,N364-E365),N364))</f>
        <v/>
      </c>
      <c r="O365" s="32" t="str">
        <f>IF(B365="","",IF(J365="CompteEpargne",IF(IF(ISNA(VLOOKUP(B365,DATA!$A$1:$A$16,1,0)),"",VLOOKUP(B365,DATA!$A$1:$A$16,1,0))="",O364+E365,O364-E365),O364))</f>
        <v/>
      </c>
      <c r="P365" s="22" t="str">
        <f t="shared" si="2"/>
        <v/>
      </c>
      <c r="Q365" s="32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4.25" customHeight="1" x14ac:dyDescent="0.2">
      <c r="A366" s="1"/>
      <c r="B366" s="33"/>
      <c r="C366" s="17">
        <f t="shared" si="3"/>
        <v>362</v>
      </c>
      <c r="D366" s="34"/>
      <c r="E366" s="35"/>
      <c r="F366" s="20"/>
      <c r="G366" s="20"/>
      <c r="H366" s="36"/>
      <c r="I366" s="36"/>
      <c r="J366" s="20"/>
      <c r="K366" s="36"/>
      <c r="L366" s="22" t="str">
        <f>IF(B366="","",IF(I366="CompteCourant",IF(IF(ISNA(VLOOKUP(B366,DATA!$A$1:$A$16,1,0)),"",VLOOKUP(B366,DATA!$A$1:$A$16,1,0))="",L365+E366,L365-E366),L365))</f>
        <v/>
      </c>
      <c r="M366" s="23" t="str">
        <f>IF(B366="","",IF(I366="Coffre",IF(IF(ISNA(VLOOKUP(B366,DATA!$A$1:$A$16,1,0)),"",VLOOKUP(B366,DATA!$A$1:$A$16,1,0))="",M365+E366,M365-E366),M365))</f>
        <v/>
      </c>
      <c r="N366" s="23" t="str">
        <f>IF(B366="","",IF(I366="CompteEpargne",IF(IF(ISNA(VLOOKUP(B366,DATA!$A$1:$A$16,1,0)),"",VLOOKUP(B366,DATA!$A$1:$A$16,1,0))="",N365+E366,N365-E366),N365))</f>
        <v/>
      </c>
      <c r="O366" s="32" t="str">
        <f>IF(B366="","",IF(J366="CompteEpargne",IF(IF(ISNA(VLOOKUP(B366,DATA!$A$1:$A$16,1,0)),"",VLOOKUP(B366,DATA!$A$1:$A$16,1,0))="",O365+E366,O365-E366),O365))</f>
        <v/>
      </c>
      <c r="P366" s="22" t="str">
        <f t="shared" si="2"/>
        <v/>
      </c>
      <c r="Q366" s="32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4.25" customHeight="1" x14ac:dyDescent="0.2">
      <c r="A367" s="1"/>
      <c r="B367" s="33"/>
      <c r="C367" s="17">
        <f t="shared" si="3"/>
        <v>363</v>
      </c>
      <c r="D367" s="34"/>
      <c r="E367" s="35"/>
      <c r="F367" s="20"/>
      <c r="G367" s="20"/>
      <c r="H367" s="36"/>
      <c r="I367" s="36"/>
      <c r="J367" s="20"/>
      <c r="K367" s="36"/>
      <c r="L367" s="22" t="str">
        <f>IF(B367="","",IF(I367="CompteCourant",IF(IF(ISNA(VLOOKUP(B367,DATA!$A$1:$A$16,1,0)),"",VLOOKUP(B367,DATA!$A$1:$A$16,1,0))="",L366+E367,L366-E367),L366))</f>
        <v/>
      </c>
      <c r="M367" s="23" t="str">
        <f>IF(B367="","",IF(I367="Coffre",IF(IF(ISNA(VLOOKUP(B367,DATA!$A$1:$A$16,1,0)),"",VLOOKUP(B367,DATA!$A$1:$A$16,1,0))="",M366+E367,M366-E367),M366))</f>
        <v/>
      </c>
      <c r="N367" s="23" t="str">
        <f>IF(B367="","",IF(I367="CompteEpargne",IF(IF(ISNA(VLOOKUP(B367,DATA!$A$1:$A$16,1,0)),"",VLOOKUP(B367,DATA!$A$1:$A$16,1,0))="",N366+E367,N366-E367),N366))</f>
        <v/>
      </c>
      <c r="O367" s="32" t="str">
        <f>IF(B367="","",IF(J367="CompteEpargne",IF(IF(ISNA(VLOOKUP(B367,DATA!$A$1:$A$16,1,0)),"",VLOOKUP(B367,DATA!$A$1:$A$16,1,0))="",O366+E367,O366-E367),O366))</f>
        <v/>
      </c>
      <c r="P367" s="22" t="str">
        <f t="shared" si="2"/>
        <v/>
      </c>
      <c r="Q367" s="32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4.25" customHeight="1" x14ac:dyDescent="0.2">
      <c r="A368" s="1"/>
      <c r="B368" s="33"/>
      <c r="C368" s="17">
        <f t="shared" si="3"/>
        <v>364</v>
      </c>
      <c r="D368" s="34"/>
      <c r="E368" s="35"/>
      <c r="F368" s="20"/>
      <c r="G368" s="20"/>
      <c r="H368" s="36"/>
      <c r="I368" s="36"/>
      <c r="J368" s="20"/>
      <c r="K368" s="36"/>
      <c r="L368" s="22" t="str">
        <f>IF(B368="","",IF(I368="CompteCourant",IF(IF(ISNA(VLOOKUP(B368,DATA!$A$1:$A$16,1,0)),"",VLOOKUP(B368,DATA!$A$1:$A$16,1,0))="",L367+E368,L367-E368),L367))</f>
        <v/>
      </c>
      <c r="M368" s="23" t="str">
        <f>IF(B368="","",IF(I368="Coffre",IF(IF(ISNA(VLOOKUP(B368,DATA!$A$1:$A$16,1,0)),"",VLOOKUP(B368,DATA!$A$1:$A$16,1,0))="",M367+E368,M367-E368),M367))</f>
        <v/>
      </c>
      <c r="N368" s="23" t="str">
        <f>IF(B368="","",IF(I368="CompteEpargne",IF(IF(ISNA(VLOOKUP(B368,DATA!$A$1:$A$16,1,0)),"",VLOOKUP(B368,DATA!$A$1:$A$16,1,0))="",N367+E368,N367-E368),N367))</f>
        <v/>
      </c>
      <c r="O368" s="32" t="str">
        <f>IF(B368="","",IF(J368="CompteEpargne",IF(IF(ISNA(VLOOKUP(B368,DATA!$A$1:$A$16,1,0)),"",VLOOKUP(B368,DATA!$A$1:$A$16,1,0))="",O367+E368,O367-E368),O367))</f>
        <v/>
      </c>
      <c r="P368" s="22" t="str">
        <f t="shared" si="2"/>
        <v/>
      </c>
      <c r="Q368" s="32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4.25" customHeight="1" x14ac:dyDescent="0.2">
      <c r="A369" s="1"/>
      <c r="B369" s="33"/>
      <c r="C369" s="17">
        <f t="shared" si="3"/>
        <v>365</v>
      </c>
      <c r="D369" s="34"/>
      <c r="E369" s="35"/>
      <c r="F369" s="20"/>
      <c r="G369" s="20"/>
      <c r="H369" s="36"/>
      <c r="I369" s="36"/>
      <c r="J369" s="20"/>
      <c r="K369" s="36"/>
      <c r="L369" s="22" t="str">
        <f>IF(B369="","",IF(I369="CompteCourant",IF(IF(ISNA(VLOOKUP(B369,DATA!$A$1:$A$16,1,0)),"",VLOOKUP(B369,DATA!$A$1:$A$16,1,0))="",L368+E369,L368-E369),L368))</f>
        <v/>
      </c>
      <c r="M369" s="23" t="str">
        <f>IF(B369="","",IF(I369="Coffre",IF(IF(ISNA(VLOOKUP(B369,DATA!$A$1:$A$16,1,0)),"",VLOOKUP(B369,DATA!$A$1:$A$16,1,0))="",M368+E369,M368-E369),M368))</f>
        <v/>
      </c>
      <c r="N369" s="23" t="str">
        <f>IF(B369="","",IF(I369="CompteEpargne",IF(IF(ISNA(VLOOKUP(B369,DATA!$A$1:$A$16,1,0)),"",VLOOKUP(B369,DATA!$A$1:$A$16,1,0))="",N368+E369,N368-E369),N368))</f>
        <v/>
      </c>
      <c r="O369" s="32" t="str">
        <f>IF(B369="","",IF(J369="CompteEpargne",IF(IF(ISNA(VLOOKUP(B369,DATA!$A$1:$A$16,1,0)),"",VLOOKUP(B369,DATA!$A$1:$A$16,1,0))="",O368+E369,O368-E369),O368))</f>
        <v/>
      </c>
      <c r="P369" s="22" t="str">
        <f t="shared" si="2"/>
        <v/>
      </c>
      <c r="Q369" s="32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4.25" customHeight="1" x14ac:dyDescent="0.2">
      <c r="A370" s="1"/>
      <c r="B370" s="33"/>
      <c r="C370" s="17">
        <f t="shared" si="3"/>
        <v>366</v>
      </c>
      <c r="D370" s="34"/>
      <c r="E370" s="35"/>
      <c r="F370" s="20"/>
      <c r="G370" s="20"/>
      <c r="H370" s="36"/>
      <c r="I370" s="36"/>
      <c r="J370" s="20"/>
      <c r="K370" s="36"/>
      <c r="L370" s="22" t="str">
        <f>IF(B370="","",IF(I370="CompteCourant",IF(IF(ISNA(VLOOKUP(B370,DATA!$A$1:$A$16,1,0)),"",VLOOKUP(B370,DATA!$A$1:$A$16,1,0))="",L369+E370,L369-E370),L369))</f>
        <v/>
      </c>
      <c r="M370" s="23" t="str">
        <f>IF(B370="","",IF(I370="Coffre",IF(IF(ISNA(VLOOKUP(B370,DATA!$A$1:$A$16,1,0)),"",VLOOKUP(B370,DATA!$A$1:$A$16,1,0))="",M369+E370,M369-E370),M369))</f>
        <v/>
      </c>
      <c r="N370" s="23" t="str">
        <f>IF(B370="","",IF(I370="CompteEpargne",IF(IF(ISNA(VLOOKUP(B370,DATA!$A$1:$A$16,1,0)),"",VLOOKUP(B370,DATA!$A$1:$A$16,1,0))="",N369+E370,N369-E370),N369))</f>
        <v/>
      </c>
      <c r="O370" s="32" t="str">
        <f>IF(B370="","",IF(J370="CompteEpargne",IF(IF(ISNA(VLOOKUP(B370,DATA!$A$1:$A$16,1,0)),"",VLOOKUP(B370,DATA!$A$1:$A$16,1,0))="",O369+E370,O369-E370),O369))</f>
        <v/>
      </c>
      <c r="P370" s="22" t="str">
        <f t="shared" si="2"/>
        <v/>
      </c>
      <c r="Q370" s="32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4.25" customHeight="1" x14ac:dyDescent="0.2">
      <c r="A371" s="1"/>
      <c r="B371" s="33"/>
      <c r="C371" s="17">
        <f t="shared" si="3"/>
        <v>367</v>
      </c>
      <c r="D371" s="34"/>
      <c r="E371" s="35"/>
      <c r="F371" s="20"/>
      <c r="G371" s="20"/>
      <c r="H371" s="36"/>
      <c r="I371" s="36"/>
      <c r="J371" s="20"/>
      <c r="K371" s="36"/>
      <c r="L371" s="22" t="str">
        <f>IF(B371="","",IF(I371="CompteCourant",IF(IF(ISNA(VLOOKUP(B371,DATA!$A$1:$A$16,1,0)),"",VLOOKUP(B371,DATA!$A$1:$A$16,1,0))="",L370+E371,L370-E371),L370))</f>
        <v/>
      </c>
      <c r="M371" s="23" t="str">
        <f>IF(B371="","",IF(I371="Coffre",IF(IF(ISNA(VLOOKUP(B371,DATA!$A$1:$A$16,1,0)),"",VLOOKUP(B371,DATA!$A$1:$A$16,1,0))="",M370+E371,M370-E371),M370))</f>
        <v/>
      </c>
      <c r="N371" s="23" t="str">
        <f>IF(B371="","",IF(I371="CompteEpargne",IF(IF(ISNA(VLOOKUP(B371,DATA!$A$1:$A$16,1,0)),"",VLOOKUP(B371,DATA!$A$1:$A$16,1,0))="",N370+E371,N370-E371),N370))</f>
        <v/>
      </c>
      <c r="O371" s="32" t="str">
        <f>IF(B371="","",IF(J371="CompteEpargne",IF(IF(ISNA(VLOOKUP(B371,DATA!$A$1:$A$16,1,0)),"",VLOOKUP(B371,DATA!$A$1:$A$16,1,0))="",O370+E371,O370-E371),O370))</f>
        <v/>
      </c>
      <c r="P371" s="22" t="str">
        <f t="shared" si="2"/>
        <v/>
      </c>
      <c r="Q371" s="32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4.25" customHeight="1" x14ac:dyDescent="0.2">
      <c r="A372" s="1"/>
      <c r="B372" s="33"/>
      <c r="C372" s="17">
        <f t="shared" si="3"/>
        <v>368</v>
      </c>
      <c r="D372" s="34"/>
      <c r="E372" s="35"/>
      <c r="F372" s="20"/>
      <c r="G372" s="20"/>
      <c r="H372" s="36"/>
      <c r="I372" s="36"/>
      <c r="J372" s="20"/>
      <c r="K372" s="36"/>
      <c r="L372" s="22" t="str">
        <f>IF(B372="","",IF(I372="CompteCourant",IF(IF(ISNA(VLOOKUP(B372,DATA!$A$1:$A$16,1,0)),"",VLOOKUP(B372,DATA!$A$1:$A$16,1,0))="",L371+E372,L371-E372),L371))</f>
        <v/>
      </c>
      <c r="M372" s="23" t="str">
        <f>IF(B372="","",IF(I372="Coffre",IF(IF(ISNA(VLOOKUP(B372,DATA!$A$1:$A$16,1,0)),"",VLOOKUP(B372,DATA!$A$1:$A$16,1,0))="",M371+E372,M371-E372),M371))</f>
        <v/>
      </c>
      <c r="N372" s="23" t="str">
        <f>IF(B372="","",IF(I372="CompteEpargne",IF(IF(ISNA(VLOOKUP(B372,DATA!$A$1:$A$16,1,0)),"",VLOOKUP(B372,DATA!$A$1:$A$16,1,0))="",N371+E372,N371-E372),N371))</f>
        <v/>
      </c>
      <c r="O372" s="32" t="str">
        <f>IF(B372="","",IF(J372="CompteEpargne",IF(IF(ISNA(VLOOKUP(B372,DATA!$A$1:$A$16,1,0)),"",VLOOKUP(B372,DATA!$A$1:$A$16,1,0))="",O371+E372,O371-E372),O371))</f>
        <v/>
      </c>
      <c r="P372" s="22" t="str">
        <f t="shared" si="2"/>
        <v/>
      </c>
      <c r="Q372" s="32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4.25" customHeight="1" x14ac:dyDescent="0.2">
      <c r="A373" s="1"/>
      <c r="B373" s="33"/>
      <c r="C373" s="17">
        <f t="shared" si="3"/>
        <v>369</v>
      </c>
      <c r="D373" s="34"/>
      <c r="E373" s="35"/>
      <c r="F373" s="20"/>
      <c r="G373" s="20"/>
      <c r="H373" s="36"/>
      <c r="I373" s="36"/>
      <c r="J373" s="20"/>
      <c r="K373" s="36"/>
      <c r="L373" s="22" t="str">
        <f>IF(B373="","",IF(I373="CompteCourant",IF(IF(ISNA(VLOOKUP(B373,DATA!$A$1:$A$16,1,0)),"",VLOOKUP(B373,DATA!$A$1:$A$16,1,0))="",L372+E373,L372-E373),L372))</f>
        <v/>
      </c>
      <c r="M373" s="23" t="str">
        <f>IF(B373="","",IF(I373="Coffre",IF(IF(ISNA(VLOOKUP(B373,DATA!$A$1:$A$16,1,0)),"",VLOOKUP(B373,DATA!$A$1:$A$16,1,0))="",M372+E373,M372-E373),M372))</f>
        <v/>
      </c>
      <c r="N373" s="23" t="str">
        <f>IF(B373="","",IF(I373="CompteEpargne",IF(IF(ISNA(VLOOKUP(B373,DATA!$A$1:$A$16,1,0)),"",VLOOKUP(B373,DATA!$A$1:$A$16,1,0))="",N372+E373,N372-E373),N372))</f>
        <v/>
      </c>
      <c r="O373" s="32" t="str">
        <f>IF(B373="","",IF(J373="CompteEpargne",IF(IF(ISNA(VLOOKUP(B373,DATA!$A$1:$A$16,1,0)),"",VLOOKUP(B373,DATA!$A$1:$A$16,1,0))="",O372+E373,O372-E373),O372))</f>
        <v/>
      </c>
      <c r="P373" s="22" t="str">
        <f t="shared" si="2"/>
        <v/>
      </c>
      <c r="Q373" s="32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4.25" customHeight="1" x14ac:dyDescent="0.2">
      <c r="A374" s="1"/>
      <c r="B374" s="33"/>
      <c r="C374" s="17">
        <f t="shared" si="3"/>
        <v>370</v>
      </c>
      <c r="D374" s="34"/>
      <c r="E374" s="35"/>
      <c r="F374" s="20"/>
      <c r="G374" s="20"/>
      <c r="H374" s="36"/>
      <c r="I374" s="36"/>
      <c r="J374" s="20"/>
      <c r="K374" s="36"/>
      <c r="L374" s="22" t="str">
        <f>IF(B374="","",IF(I374="CompteCourant",IF(IF(ISNA(VLOOKUP(B374,DATA!$A$1:$A$16,1,0)),"",VLOOKUP(B374,DATA!$A$1:$A$16,1,0))="",L373+E374,L373-E374),L373))</f>
        <v/>
      </c>
      <c r="M374" s="23" t="str">
        <f>IF(B374="","",IF(I374="Coffre",IF(IF(ISNA(VLOOKUP(B374,DATA!$A$1:$A$16,1,0)),"",VLOOKUP(B374,DATA!$A$1:$A$16,1,0))="",M373+E374,M373-E374),M373))</f>
        <v/>
      </c>
      <c r="N374" s="23" t="str">
        <f>IF(B374="","",IF(I374="CompteEpargne",IF(IF(ISNA(VLOOKUP(B374,DATA!$A$1:$A$16,1,0)),"",VLOOKUP(B374,DATA!$A$1:$A$16,1,0))="",N373+E374,N373-E374),N373))</f>
        <v/>
      </c>
      <c r="O374" s="32" t="str">
        <f>IF(B374="","",IF(J374="CompteEpargne",IF(IF(ISNA(VLOOKUP(B374,DATA!$A$1:$A$16,1,0)),"",VLOOKUP(B374,DATA!$A$1:$A$16,1,0))="",O373+E374,O373-E374),O373))</f>
        <v/>
      </c>
      <c r="P374" s="22" t="str">
        <f t="shared" si="2"/>
        <v/>
      </c>
      <c r="Q374" s="32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4.25" customHeight="1" x14ac:dyDescent="0.2">
      <c r="A375" s="1"/>
      <c r="B375" s="33"/>
      <c r="C375" s="17">
        <f t="shared" si="3"/>
        <v>371</v>
      </c>
      <c r="D375" s="34"/>
      <c r="E375" s="35"/>
      <c r="F375" s="20"/>
      <c r="G375" s="20"/>
      <c r="H375" s="36"/>
      <c r="I375" s="36"/>
      <c r="J375" s="20"/>
      <c r="K375" s="36"/>
      <c r="L375" s="22" t="str">
        <f>IF(B375="","",IF(I375="CompteCourant",IF(IF(ISNA(VLOOKUP(B375,DATA!$A$1:$A$16,1,0)),"",VLOOKUP(B375,DATA!$A$1:$A$16,1,0))="",L374+E375,L374-E375),L374))</f>
        <v/>
      </c>
      <c r="M375" s="23" t="str">
        <f>IF(B375="","",IF(I375="Coffre",IF(IF(ISNA(VLOOKUP(B375,DATA!$A$1:$A$16,1,0)),"",VLOOKUP(B375,DATA!$A$1:$A$16,1,0))="",M374+E375,M374-E375),M374))</f>
        <v/>
      </c>
      <c r="N375" s="23" t="str">
        <f>IF(B375="","",IF(I375="CompteEpargne",IF(IF(ISNA(VLOOKUP(B375,DATA!$A$1:$A$16,1,0)),"",VLOOKUP(B375,DATA!$A$1:$A$16,1,0))="",N374+E375,N374-E375),N374))</f>
        <v/>
      </c>
      <c r="O375" s="32" t="str">
        <f>IF(B375="","",IF(J375="CompteEpargne",IF(IF(ISNA(VLOOKUP(B375,DATA!$A$1:$A$16,1,0)),"",VLOOKUP(B375,DATA!$A$1:$A$16,1,0))="",O374+E375,O374-E375),O374))</f>
        <v/>
      </c>
      <c r="P375" s="22" t="str">
        <f t="shared" si="2"/>
        <v/>
      </c>
      <c r="Q375" s="32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4.25" customHeight="1" x14ac:dyDescent="0.2">
      <c r="A376" s="1"/>
      <c r="B376" s="33"/>
      <c r="C376" s="17">
        <f t="shared" si="3"/>
        <v>372</v>
      </c>
      <c r="D376" s="34"/>
      <c r="E376" s="35"/>
      <c r="F376" s="20"/>
      <c r="G376" s="20"/>
      <c r="H376" s="36"/>
      <c r="I376" s="36"/>
      <c r="J376" s="20"/>
      <c r="K376" s="36"/>
      <c r="L376" s="22" t="str">
        <f>IF(B376="","",IF(I376="CompteCourant",IF(IF(ISNA(VLOOKUP(B376,DATA!$A$1:$A$16,1,0)),"",VLOOKUP(B376,DATA!$A$1:$A$16,1,0))="",L375+E376,L375-E376),L375))</f>
        <v/>
      </c>
      <c r="M376" s="23" t="str">
        <f>IF(B376="","",IF(I376="Coffre",IF(IF(ISNA(VLOOKUP(B376,DATA!$A$1:$A$16,1,0)),"",VLOOKUP(B376,DATA!$A$1:$A$16,1,0))="",M375+E376,M375-E376),M375))</f>
        <v/>
      </c>
      <c r="N376" s="23" t="str">
        <f>IF(B376="","",IF(I376="CompteEpargne",IF(IF(ISNA(VLOOKUP(B376,DATA!$A$1:$A$16,1,0)),"",VLOOKUP(B376,DATA!$A$1:$A$16,1,0))="",N375+E376,N375-E376),N375))</f>
        <v/>
      </c>
      <c r="O376" s="32" t="str">
        <f>IF(B376="","",IF(J376="CompteEpargne",IF(IF(ISNA(VLOOKUP(B376,DATA!$A$1:$A$16,1,0)),"",VLOOKUP(B376,DATA!$A$1:$A$16,1,0))="",O375+E376,O375-E376),O375))</f>
        <v/>
      </c>
      <c r="P376" s="22" t="str">
        <f t="shared" si="2"/>
        <v/>
      </c>
      <c r="Q376" s="32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4.25" customHeight="1" x14ac:dyDescent="0.2">
      <c r="A377" s="1"/>
      <c r="B377" s="33"/>
      <c r="C377" s="17">
        <f t="shared" si="3"/>
        <v>373</v>
      </c>
      <c r="D377" s="34"/>
      <c r="E377" s="35"/>
      <c r="F377" s="20"/>
      <c r="G377" s="20"/>
      <c r="H377" s="36"/>
      <c r="I377" s="36"/>
      <c r="J377" s="20"/>
      <c r="K377" s="36"/>
      <c r="L377" s="22" t="str">
        <f>IF(B377="","",IF(I377="CompteCourant",IF(IF(ISNA(VLOOKUP(B377,DATA!$A$1:$A$16,1,0)),"",VLOOKUP(B377,DATA!$A$1:$A$16,1,0))="",L376+E377,L376-E377),L376))</f>
        <v/>
      </c>
      <c r="M377" s="23" t="str">
        <f>IF(B377="","",IF(I377="Coffre",IF(IF(ISNA(VLOOKUP(B377,DATA!$A$1:$A$16,1,0)),"",VLOOKUP(B377,DATA!$A$1:$A$16,1,0))="",M376+E377,M376-E377),M376))</f>
        <v/>
      </c>
      <c r="N377" s="23" t="str">
        <f>IF(B377="","",IF(I377="CompteEpargne",IF(IF(ISNA(VLOOKUP(B377,DATA!$A$1:$A$16,1,0)),"",VLOOKUP(B377,DATA!$A$1:$A$16,1,0))="",N376+E377,N376-E377),N376))</f>
        <v/>
      </c>
      <c r="O377" s="32" t="str">
        <f>IF(B377="","",IF(J377="CompteEpargne",IF(IF(ISNA(VLOOKUP(B377,DATA!$A$1:$A$16,1,0)),"",VLOOKUP(B377,DATA!$A$1:$A$16,1,0))="",O376+E377,O376-E377),O376))</f>
        <v/>
      </c>
      <c r="P377" s="22" t="str">
        <f t="shared" si="2"/>
        <v/>
      </c>
      <c r="Q377" s="32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4.25" customHeight="1" x14ac:dyDescent="0.2">
      <c r="A378" s="1"/>
      <c r="B378" s="33"/>
      <c r="C378" s="17">
        <f t="shared" si="3"/>
        <v>374</v>
      </c>
      <c r="D378" s="34"/>
      <c r="E378" s="35"/>
      <c r="F378" s="20"/>
      <c r="G378" s="20"/>
      <c r="H378" s="36"/>
      <c r="I378" s="36"/>
      <c r="J378" s="20"/>
      <c r="K378" s="36"/>
      <c r="L378" s="22" t="str">
        <f>IF(B378="","",IF(I378="CompteCourant",IF(IF(ISNA(VLOOKUP(B378,DATA!$A$1:$A$16,1,0)),"",VLOOKUP(B378,DATA!$A$1:$A$16,1,0))="",L377+E378,L377-E378),L377))</f>
        <v/>
      </c>
      <c r="M378" s="23" t="str">
        <f>IF(B378="","",IF(I378="Coffre",IF(IF(ISNA(VLOOKUP(B378,DATA!$A$1:$A$16,1,0)),"",VLOOKUP(B378,DATA!$A$1:$A$16,1,0))="",M377+E378,M377-E378),M377))</f>
        <v/>
      </c>
      <c r="N378" s="23" t="str">
        <f>IF(B378="","",IF(I378="CompteEpargne",IF(IF(ISNA(VLOOKUP(B378,DATA!$A$1:$A$16,1,0)),"",VLOOKUP(B378,DATA!$A$1:$A$16,1,0))="",N377+E378,N377-E378),N377))</f>
        <v/>
      </c>
      <c r="O378" s="32" t="str">
        <f>IF(B378="","",IF(J378="CompteEpargne",IF(IF(ISNA(VLOOKUP(B378,DATA!$A$1:$A$16,1,0)),"",VLOOKUP(B378,DATA!$A$1:$A$16,1,0))="",O377+E378,O377-E378),O377))</f>
        <v/>
      </c>
      <c r="P378" s="22" t="str">
        <f t="shared" si="2"/>
        <v/>
      </c>
      <c r="Q378" s="32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4.25" customHeight="1" x14ac:dyDescent="0.2">
      <c r="A379" s="1"/>
      <c r="B379" s="33"/>
      <c r="C379" s="17">
        <f t="shared" si="3"/>
        <v>375</v>
      </c>
      <c r="D379" s="34"/>
      <c r="E379" s="35"/>
      <c r="F379" s="20"/>
      <c r="G379" s="20"/>
      <c r="H379" s="36"/>
      <c r="I379" s="36"/>
      <c r="J379" s="20"/>
      <c r="K379" s="36"/>
      <c r="L379" s="22" t="str">
        <f>IF(B379="","",IF(I379="CompteCourant",IF(IF(ISNA(VLOOKUP(B379,DATA!$A$1:$A$16,1,0)),"",VLOOKUP(B379,DATA!$A$1:$A$16,1,0))="",L378+E379,L378-E379),L378))</f>
        <v/>
      </c>
      <c r="M379" s="23" t="str">
        <f>IF(B379="","",IF(I379="Coffre",IF(IF(ISNA(VLOOKUP(B379,DATA!$A$1:$A$16,1,0)),"",VLOOKUP(B379,DATA!$A$1:$A$16,1,0))="",M378+E379,M378-E379),M378))</f>
        <v/>
      </c>
      <c r="N379" s="23" t="str">
        <f>IF(B379="","",IF(I379="CompteEpargne",IF(IF(ISNA(VLOOKUP(B379,DATA!$A$1:$A$16,1,0)),"",VLOOKUP(B379,DATA!$A$1:$A$16,1,0))="",N378+E379,N378-E379),N378))</f>
        <v/>
      </c>
      <c r="O379" s="32" t="str">
        <f>IF(B379="","",IF(J379="CompteEpargne",IF(IF(ISNA(VLOOKUP(B379,DATA!$A$1:$A$16,1,0)),"",VLOOKUP(B379,DATA!$A$1:$A$16,1,0))="",O378+E379,O378-E379),O378))</f>
        <v/>
      </c>
      <c r="P379" s="22" t="str">
        <f t="shared" si="2"/>
        <v/>
      </c>
      <c r="Q379" s="32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4.25" customHeight="1" x14ac:dyDescent="0.2">
      <c r="A380" s="1"/>
      <c r="B380" s="33"/>
      <c r="C380" s="17">
        <f t="shared" si="3"/>
        <v>376</v>
      </c>
      <c r="D380" s="34"/>
      <c r="E380" s="35"/>
      <c r="F380" s="20"/>
      <c r="G380" s="20"/>
      <c r="H380" s="36"/>
      <c r="I380" s="36"/>
      <c r="J380" s="20"/>
      <c r="K380" s="36"/>
      <c r="L380" s="22" t="str">
        <f>IF(B380="","",IF(I380="CompteCourant",IF(IF(ISNA(VLOOKUP(B380,DATA!$A$1:$A$16,1,0)),"",VLOOKUP(B380,DATA!$A$1:$A$16,1,0))="",L379+E380,L379-E380),L379))</f>
        <v/>
      </c>
      <c r="M380" s="23" t="str">
        <f>IF(B380="","",IF(I380="Coffre",IF(IF(ISNA(VLOOKUP(B380,DATA!$A$1:$A$16,1,0)),"",VLOOKUP(B380,DATA!$A$1:$A$16,1,0))="",M379+E380,M379-E380),M379))</f>
        <v/>
      </c>
      <c r="N380" s="23" t="str">
        <f>IF(B380="","",IF(I380="CompteEpargne",IF(IF(ISNA(VLOOKUP(B380,DATA!$A$1:$A$16,1,0)),"",VLOOKUP(B380,DATA!$A$1:$A$16,1,0))="",N379+E380,N379-E380),N379))</f>
        <v/>
      </c>
      <c r="O380" s="32" t="str">
        <f>IF(B380="","",IF(J380="CompteEpargne",IF(IF(ISNA(VLOOKUP(B380,DATA!$A$1:$A$16,1,0)),"",VLOOKUP(B380,DATA!$A$1:$A$16,1,0))="",O379+E380,O379-E380),O379))</f>
        <v/>
      </c>
      <c r="P380" s="22" t="str">
        <f t="shared" si="2"/>
        <v/>
      </c>
      <c r="Q380" s="32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4.25" customHeight="1" x14ac:dyDescent="0.2">
      <c r="A381" s="1"/>
      <c r="B381" s="33"/>
      <c r="C381" s="17">
        <f t="shared" si="3"/>
        <v>377</v>
      </c>
      <c r="D381" s="34"/>
      <c r="E381" s="35"/>
      <c r="F381" s="20"/>
      <c r="G381" s="20"/>
      <c r="H381" s="36"/>
      <c r="I381" s="36"/>
      <c r="J381" s="20"/>
      <c r="K381" s="36"/>
      <c r="L381" s="22" t="str">
        <f>IF(B381="","",IF(I381="CompteCourant",IF(IF(ISNA(VLOOKUP(B381,DATA!$A$1:$A$16,1,0)),"",VLOOKUP(B381,DATA!$A$1:$A$16,1,0))="",L380+E381,L380-E381),L380))</f>
        <v/>
      </c>
      <c r="M381" s="23" t="str">
        <f>IF(B381="","",IF(I381="Coffre",IF(IF(ISNA(VLOOKUP(B381,DATA!$A$1:$A$16,1,0)),"",VLOOKUP(B381,DATA!$A$1:$A$16,1,0))="",M380+E381,M380-E381),M380))</f>
        <v/>
      </c>
      <c r="N381" s="23" t="str">
        <f>IF(B381="","",IF(I381="CompteEpargne",IF(IF(ISNA(VLOOKUP(B381,DATA!$A$1:$A$16,1,0)),"",VLOOKUP(B381,DATA!$A$1:$A$16,1,0))="",N380+E381,N380-E381),N380))</f>
        <v/>
      </c>
      <c r="O381" s="32" t="str">
        <f>IF(B381="","",IF(J381="CompteEpargne",IF(IF(ISNA(VLOOKUP(B381,DATA!$A$1:$A$16,1,0)),"",VLOOKUP(B381,DATA!$A$1:$A$16,1,0))="",O380+E381,O380-E381),O380))</f>
        <v/>
      </c>
      <c r="P381" s="22" t="str">
        <f t="shared" si="2"/>
        <v/>
      </c>
      <c r="Q381" s="32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4.25" customHeight="1" x14ac:dyDescent="0.2">
      <c r="A382" s="1"/>
      <c r="B382" s="33"/>
      <c r="C382" s="17">
        <f t="shared" si="3"/>
        <v>378</v>
      </c>
      <c r="D382" s="34"/>
      <c r="E382" s="35"/>
      <c r="F382" s="20"/>
      <c r="G382" s="20"/>
      <c r="H382" s="36"/>
      <c r="I382" s="36"/>
      <c r="J382" s="20"/>
      <c r="K382" s="36"/>
      <c r="L382" s="22" t="str">
        <f>IF(B382="","",IF(I382="CompteCourant",IF(IF(ISNA(VLOOKUP(B382,DATA!$A$1:$A$16,1,0)),"",VLOOKUP(B382,DATA!$A$1:$A$16,1,0))="",L381+E382,L381-E382),L381))</f>
        <v/>
      </c>
      <c r="M382" s="23" t="str">
        <f>IF(B382="","",IF(I382="Coffre",IF(IF(ISNA(VLOOKUP(B382,DATA!$A$1:$A$16,1,0)),"",VLOOKUP(B382,DATA!$A$1:$A$16,1,0))="",M381+E382,M381-E382),M381))</f>
        <v/>
      </c>
      <c r="N382" s="23" t="str">
        <f>IF(B382="","",IF(I382="CompteEpargne",IF(IF(ISNA(VLOOKUP(B382,DATA!$A$1:$A$16,1,0)),"",VLOOKUP(B382,DATA!$A$1:$A$16,1,0))="",N381+E382,N381-E382),N381))</f>
        <v/>
      </c>
      <c r="O382" s="32" t="str">
        <f>IF(B382="","",IF(J382="CompteEpargne",IF(IF(ISNA(VLOOKUP(B382,DATA!$A$1:$A$16,1,0)),"",VLOOKUP(B382,DATA!$A$1:$A$16,1,0))="",O381+E382,O381-E382),O381))</f>
        <v/>
      </c>
      <c r="P382" s="22" t="str">
        <f t="shared" si="2"/>
        <v/>
      </c>
      <c r="Q382" s="32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4.25" customHeight="1" x14ac:dyDescent="0.2">
      <c r="A383" s="1"/>
      <c r="B383" s="33"/>
      <c r="C383" s="17">
        <f t="shared" si="3"/>
        <v>379</v>
      </c>
      <c r="D383" s="34"/>
      <c r="E383" s="35"/>
      <c r="F383" s="20"/>
      <c r="G383" s="20"/>
      <c r="H383" s="36"/>
      <c r="I383" s="36"/>
      <c r="J383" s="20"/>
      <c r="K383" s="36"/>
      <c r="L383" s="22" t="str">
        <f>IF(B383="","",IF(I383="CompteCourant",IF(IF(ISNA(VLOOKUP(B383,DATA!$A$1:$A$16,1,0)),"",VLOOKUP(B383,DATA!$A$1:$A$16,1,0))="",L382+E383,L382-E383),L382))</f>
        <v/>
      </c>
      <c r="M383" s="23" t="str">
        <f>IF(B383="","",IF(I383="Coffre",IF(IF(ISNA(VLOOKUP(B383,DATA!$A$1:$A$16,1,0)),"",VLOOKUP(B383,DATA!$A$1:$A$16,1,0))="",M382+E383,M382-E383),M382))</f>
        <v/>
      </c>
      <c r="N383" s="23" t="str">
        <f>IF(B383="","",IF(I383="CompteEpargne",IF(IF(ISNA(VLOOKUP(B383,DATA!$A$1:$A$16,1,0)),"",VLOOKUP(B383,DATA!$A$1:$A$16,1,0))="",N382+E383,N382-E383),N382))</f>
        <v/>
      </c>
      <c r="O383" s="32" t="str">
        <f>IF(B383="","",IF(J383="CompteEpargne",IF(IF(ISNA(VLOOKUP(B383,DATA!$A$1:$A$16,1,0)),"",VLOOKUP(B383,DATA!$A$1:$A$16,1,0))="",O382+E383,O382-E383),O382))</f>
        <v/>
      </c>
      <c r="P383" s="22" t="str">
        <f t="shared" si="2"/>
        <v/>
      </c>
      <c r="Q383" s="32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4.25" customHeight="1" x14ac:dyDescent="0.2">
      <c r="A384" s="1"/>
      <c r="B384" s="33"/>
      <c r="C384" s="17">
        <f t="shared" si="3"/>
        <v>380</v>
      </c>
      <c r="D384" s="34"/>
      <c r="E384" s="35"/>
      <c r="F384" s="20"/>
      <c r="G384" s="20"/>
      <c r="H384" s="36"/>
      <c r="I384" s="36"/>
      <c r="J384" s="20"/>
      <c r="K384" s="36"/>
      <c r="L384" s="22" t="str">
        <f>IF(B384="","",IF(I384="CompteCourant",IF(IF(ISNA(VLOOKUP(B384,DATA!$A$1:$A$16,1,0)),"",VLOOKUP(B384,DATA!$A$1:$A$16,1,0))="",L383+E384,L383-E384),L383))</f>
        <v/>
      </c>
      <c r="M384" s="23" t="str">
        <f>IF(B384="","",IF(I384="Coffre",IF(IF(ISNA(VLOOKUP(B384,DATA!$A$1:$A$16,1,0)),"",VLOOKUP(B384,DATA!$A$1:$A$16,1,0))="",M383+E384,M383-E384),M383))</f>
        <v/>
      </c>
      <c r="N384" s="23" t="str">
        <f>IF(B384="","",IF(I384="CompteEpargne",IF(IF(ISNA(VLOOKUP(B384,DATA!$A$1:$A$16,1,0)),"",VLOOKUP(B384,DATA!$A$1:$A$16,1,0))="",N383+E384,N383-E384),N383))</f>
        <v/>
      </c>
      <c r="O384" s="32" t="str">
        <f>IF(B384="","",IF(J384="CompteEpargne",IF(IF(ISNA(VLOOKUP(B384,DATA!$A$1:$A$16,1,0)),"",VLOOKUP(B384,DATA!$A$1:$A$16,1,0))="",O383+E384,O383-E384),O383))</f>
        <v/>
      </c>
      <c r="P384" s="22" t="str">
        <f t="shared" si="2"/>
        <v/>
      </c>
      <c r="Q384" s="32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4.25" customHeight="1" x14ac:dyDescent="0.2">
      <c r="A385" s="1"/>
      <c r="B385" s="33"/>
      <c r="C385" s="17">
        <f t="shared" si="3"/>
        <v>381</v>
      </c>
      <c r="D385" s="34"/>
      <c r="E385" s="35"/>
      <c r="F385" s="20"/>
      <c r="G385" s="20"/>
      <c r="H385" s="36"/>
      <c r="I385" s="36"/>
      <c r="J385" s="20"/>
      <c r="K385" s="36"/>
      <c r="L385" s="22" t="str">
        <f>IF(B385="","",IF(I385="CompteCourant",IF(IF(ISNA(VLOOKUP(B385,DATA!$A$1:$A$16,1,0)),"",VLOOKUP(B385,DATA!$A$1:$A$16,1,0))="",L384+E385,L384-E385),L384))</f>
        <v/>
      </c>
      <c r="M385" s="23" t="str">
        <f>IF(B385="","",IF(I385="Coffre",IF(IF(ISNA(VLOOKUP(B385,DATA!$A$1:$A$16,1,0)),"",VLOOKUP(B385,DATA!$A$1:$A$16,1,0))="",M384+E385,M384-E385),M384))</f>
        <v/>
      </c>
      <c r="N385" s="23" t="str">
        <f>IF(B385="","",IF(I385="CompteEpargne",IF(IF(ISNA(VLOOKUP(B385,DATA!$A$1:$A$16,1,0)),"",VLOOKUP(B385,DATA!$A$1:$A$16,1,0))="",N384+E385,N384-E385),N384))</f>
        <v/>
      </c>
      <c r="O385" s="32" t="str">
        <f>IF(B385="","",IF(J385="CompteEpargne",IF(IF(ISNA(VLOOKUP(B385,DATA!$A$1:$A$16,1,0)),"",VLOOKUP(B385,DATA!$A$1:$A$16,1,0))="",O384+E385,O384-E385),O384))</f>
        <v/>
      </c>
      <c r="P385" s="22" t="str">
        <f t="shared" si="2"/>
        <v/>
      </c>
      <c r="Q385" s="32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4.25" customHeight="1" x14ac:dyDescent="0.2">
      <c r="A386" s="1"/>
      <c r="B386" s="33"/>
      <c r="C386" s="17">
        <f t="shared" si="3"/>
        <v>382</v>
      </c>
      <c r="D386" s="34"/>
      <c r="E386" s="35"/>
      <c r="F386" s="20"/>
      <c r="G386" s="20"/>
      <c r="H386" s="36"/>
      <c r="I386" s="36"/>
      <c r="J386" s="20"/>
      <c r="K386" s="36"/>
      <c r="L386" s="22" t="str">
        <f>IF(B386="","",IF(I386="CompteCourant",IF(IF(ISNA(VLOOKUP(B386,DATA!$A$1:$A$16,1,0)),"",VLOOKUP(B386,DATA!$A$1:$A$16,1,0))="",L385+E386,L385-E386),L385))</f>
        <v/>
      </c>
      <c r="M386" s="23" t="str">
        <f>IF(B386="","",IF(I386="Coffre",IF(IF(ISNA(VLOOKUP(B386,DATA!$A$1:$A$16,1,0)),"",VLOOKUP(B386,DATA!$A$1:$A$16,1,0))="",M385+E386,M385-E386),M385))</f>
        <v/>
      </c>
      <c r="N386" s="23" t="str">
        <f>IF(B386="","",IF(I386="CompteEpargne",IF(IF(ISNA(VLOOKUP(B386,DATA!$A$1:$A$16,1,0)),"",VLOOKUP(B386,DATA!$A$1:$A$16,1,0))="",N385+E386,N385-E386),N385))</f>
        <v/>
      </c>
      <c r="O386" s="32" t="str">
        <f>IF(B386="","",IF(J386="CompteEpargne",IF(IF(ISNA(VLOOKUP(B386,DATA!$A$1:$A$16,1,0)),"",VLOOKUP(B386,DATA!$A$1:$A$16,1,0))="",O385+E386,O385-E386),O385))</f>
        <v/>
      </c>
      <c r="P386" s="22" t="str">
        <f t="shared" si="2"/>
        <v/>
      </c>
      <c r="Q386" s="32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4.25" customHeight="1" x14ac:dyDescent="0.2">
      <c r="A387" s="1"/>
      <c r="B387" s="33"/>
      <c r="C387" s="17">
        <f t="shared" si="3"/>
        <v>383</v>
      </c>
      <c r="D387" s="34"/>
      <c r="E387" s="35"/>
      <c r="F387" s="20"/>
      <c r="G387" s="20"/>
      <c r="H387" s="36"/>
      <c r="I387" s="36"/>
      <c r="J387" s="20"/>
      <c r="K387" s="36"/>
      <c r="L387" s="22" t="str">
        <f>IF(B387="","",IF(I387="CompteCourant",IF(IF(ISNA(VLOOKUP(B387,DATA!$A$1:$A$16,1,0)),"",VLOOKUP(B387,DATA!$A$1:$A$16,1,0))="",L386+E387,L386-E387),L386))</f>
        <v/>
      </c>
      <c r="M387" s="23" t="str">
        <f>IF(B387="","",IF(I387="Coffre",IF(IF(ISNA(VLOOKUP(B387,DATA!$A$1:$A$16,1,0)),"",VLOOKUP(B387,DATA!$A$1:$A$16,1,0))="",M386+E387,M386-E387),M386))</f>
        <v/>
      </c>
      <c r="N387" s="23" t="str">
        <f>IF(B387="","",IF(I387="CompteEpargne",IF(IF(ISNA(VLOOKUP(B387,DATA!$A$1:$A$16,1,0)),"",VLOOKUP(B387,DATA!$A$1:$A$16,1,0))="",N386+E387,N386-E387),N386))</f>
        <v/>
      </c>
      <c r="O387" s="32" t="str">
        <f>IF(B387="","",IF(J387="CompteEpargne",IF(IF(ISNA(VLOOKUP(B387,DATA!$A$1:$A$16,1,0)),"",VLOOKUP(B387,DATA!$A$1:$A$16,1,0))="",O386+E387,O386-E387),O386))</f>
        <v/>
      </c>
      <c r="P387" s="22" t="str">
        <f t="shared" si="2"/>
        <v/>
      </c>
      <c r="Q387" s="32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4.25" customHeight="1" x14ac:dyDescent="0.2">
      <c r="A388" s="1"/>
      <c r="B388" s="33"/>
      <c r="C388" s="17">
        <f t="shared" si="3"/>
        <v>384</v>
      </c>
      <c r="D388" s="34"/>
      <c r="E388" s="35"/>
      <c r="F388" s="20"/>
      <c r="G388" s="20"/>
      <c r="H388" s="36"/>
      <c r="I388" s="36"/>
      <c r="J388" s="20"/>
      <c r="K388" s="36"/>
      <c r="L388" s="22" t="str">
        <f>IF(B388="","",IF(I388="CompteCourant",IF(IF(ISNA(VLOOKUP(B388,DATA!$A$1:$A$16,1,0)),"",VLOOKUP(B388,DATA!$A$1:$A$16,1,0))="",L387+E388,L387-E388),L387))</f>
        <v/>
      </c>
      <c r="M388" s="23" t="str">
        <f>IF(B388="","",IF(I388="Coffre",IF(IF(ISNA(VLOOKUP(B388,DATA!$A$1:$A$16,1,0)),"",VLOOKUP(B388,DATA!$A$1:$A$16,1,0))="",M387+E388,M387-E388),M387))</f>
        <v/>
      </c>
      <c r="N388" s="23" t="str">
        <f>IF(B388="","",IF(I388="CompteEpargne",IF(IF(ISNA(VLOOKUP(B388,DATA!$A$1:$A$16,1,0)),"",VLOOKUP(B388,DATA!$A$1:$A$16,1,0))="",N387+E388,N387-E388),N387))</f>
        <v/>
      </c>
      <c r="O388" s="32" t="str">
        <f>IF(B388="","",IF(J388="CompteEpargne",IF(IF(ISNA(VLOOKUP(B388,DATA!$A$1:$A$16,1,0)),"",VLOOKUP(B388,DATA!$A$1:$A$16,1,0))="",O387+E388,O387-E388),O387))</f>
        <v/>
      </c>
      <c r="P388" s="22" t="str">
        <f t="shared" si="2"/>
        <v/>
      </c>
      <c r="Q388" s="32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4.25" customHeight="1" x14ac:dyDescent="0.2">
      <c r="A389" s="1"/>
      <c r="B389" s="33"/>
      <c r="C389" s="17">
        <f t="shared" si="3"/>
        <v>385</v>
      </c>
      <c r="D389" s="34"/>
      <c r="E389" s="35"/>
      <c r="F389" s="20"/>
      <c r="G389" s="20"/>
      <c r="H389" s="36"/>
      <c r="I389" s="36"/>
      <c r="J389" s="20"/>
      <c r="K389" s="36"/>
      <c r="L389" s="22" t="str">
        <f>IF(B389="","",IF(I389="CompteCourant",IF(IF(ISNA(VLOOKUP(B389,DATA!$A$1:$A$16,1,0)),"",VLOOKUP(B389,DATA!$A$1:$A$16,1,0))="",L388+E389,L388-E389),L388))</f>
        <v/>
      </c>
      <c r="M389" s="23" t="str">
        <f>IF(B389="","",IF(I389="Coffre",IF(IF(ISNA(VLOOKUP(B389,DATA!$A$1:$A$16,1,0)),"",VLOOKUP(B389,DATA!$A$1:$A$16,1,0))="",M388+E389,M388-E389),M388))</f>
        <v/>
      </c>
      <c r="N389" s="23" t="str">
        <f>IF(B389="","",IF(I389="CompteEpargne",IF(IF(ISNA(VLOOKUP(B389,DATA!$A$1:$A$16,1,0)),"",VLOOKUP(B389,DATA!$A$1:$A$16,1,0))="",N388+E389,N388-E389),N388))</f>
        <v/>
      </c>
      <c r="O389" s="32" t="str">
        <f>IF(B389="","",IF(J389="CompteEpargne",IF(IF(ISNA(VLOOKUP(B389,DATA!$A$1:$A$16,1,0)),"",VLOOKUP(B389,DATA!$A$1:$A$16,1,0))="",O388+E389,O388-E389),O388))</f>
        <v/>
      </c>
      <c r="P389" s="22" t="str">
        <f t="shared" si="2"/>
        <v/>
      </c>
      <c r="Q389" s="32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4.25" customHeight="1" x14ac:dyDescent="0.2">
      <c r="A390" s="1"/>
      <c r="B390" s="33"/>
      <c r="C390" s="17">
        <f t="shared" si="3"/>
        <v>386</v>
      </c>
      <c r="D390" s="34"/>
      <c r="E390" s="35"/>
      <c r="F390" s="20"/>
      <c r="G390" s="20"/>
      <c r="H390" s="36"/>
      <c r="I390" s="36"/>
      <c r="J390" s="20"/>
      <c r="K390" s="36"/>
      <c r="L390" s="22" t="str">
        <f>IF(B390="","",IF(I390="CompteCourant",IF(IF(ISNA(VLOOKUP(B390,DATA!$A$1:$A$16,1,0)),"",VLOOKUP(B390,DATA!$A$1:$A$16,1,0))="",L389+E390,L389-E390),L389))</f>
        <v/>
      </c>
      <c r="M390" s="23" t="str">
        <f>IF(B390="","",IF(I390="Coffre",IF(IF(ISNA(VLOOKUP(B390,DATA!$A$1:$A$16,1,0)),"",VLOOKUP(B390,DATA!$A$1:$A$16,1,0))="",M389+E390,M389-E390),M389))</f>
        <v/>
      </c>
      <c r="N390" s="23" t="str">
        <f>IF(B390="","",IF(I390="CompteEpargne",IF(IF(ISNA(VLOOKUP(B390,DATA!$A$1:$A$16,1,0)),"",VLOOKUP(B390,DATA!$A$1:$A$16,1,0))="",N389+E390,N389-E390),N389))</f>
        <v/>
      </c>
      <c r="O390" s="32" t="str">
        <f>IF(B390="","",IF(J390="CompteEpargne",IF(IF(ISNA(VLOOKUP(B390,DATA!$A$1:$A$16,1,0)),"",VLOOKUP(B390,DATA!$A$1:$A$16,1,0))="",O389+E390,O389-E390),O389))</f>
        <v/>
      </c>
      <c r="P390" s="22" t="str">
        <f t="shared" si="2"/>
        <v/>
      </c>
      <c r="Q390" s="32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4.25" customHeight="1" x14ac:dyDescent="0.2">
      <c r="A391" s="1"/>
      <c r="B391" s="33"/>
      <c r="C391" s="17">
        <f t="shared" si="3"/>
        <v>387</v>
      </c>
      <c r="D391" s="34"/>
      <c r="E391" s="35"/>
      <c r="F391" s="20"/>
      <c r="G391" s="20"/>
      <c r="H391" s="36"/>
      <c r="I391" s="36"/>
      <c r="J391" s="20"/>
      <c r="K391" s="36"/>
      <c r="L391" s="22" t="str">
        <f>IF(B391="","",IF(I391="CompteCourant",IF(IF(ISNA(VLOOKUP(B391,DATA!$A$1:$A$16,1,0)),"",VLOOKUP(B391,DATA!$A$1:$A$16,1,0))="",L390+E391,L390-E391),L390))</f>
        <v/>
      </c>
      <c r="M391" s="23" t="str">
        <f>IF(B391="","",IF(I391="Coffre",IF(IF(ISNA(VLOOKUP(B391,DATA!$A$1:$A$16,1,0)),"",VLOOKUP(B391,DATA!$A$1:$A$16,1,0))="",M390+E391,M390-E391),M390))</f>
        <v/>
      </c>
      <c r="N391" s="23" t="str">
        <f>IF(B391="","",IF(I391="CompteEpargne",IF(IF(ISNA(VLOOKUP(B391,DATA!$A$1:$A$16,1,0)),"",VLOOKUP(B391,DATA!$A$1:$A$16,1,0))="",N390+E391,N390-E391),N390))</f>
        <v/>
      </c>
      <c r="O391" s="32" t="str">
        <f>IF(B391="","",IF(J391="CompteEpargne",IF(IF(ISNA(VLOOKUP(B391,DATA!$A$1:$A$16,1,0)),"",VLOOKUP(B391,DATA!$A$1:$A$16,1,0))="",O390+E391,O390-E391),O390))</f>
        <v/>
      </c>
      <c r="P391" s="22" t="str">
        <f t="shared" si="2"/>
        <v/>
      </c>
      <c r="Q391" s="32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4.25" customHeight="1" x14ac:dyDescent="0.2">
      <c r="A392" s="1"/>
      <c r="B392" s="33"/>
      <c r="C392" s="17">
        <f t="shared" si="3"/>
        <v>388</v>
      </c>
      <c r="D392" s="34"/>
      <c r="E392" s="35"/>
      <c r="F392" s="20"/>
      <c r="G392" s="20"/>
      <c r="H392" s="36"/>
      <c r="I392" s="36"/>
      <c r="J392" s="20"/>
      <c r="K392" s="36"/>
      <c r="L392" s="22" t="str">
        <f>IF(B392="","",IF(I392="CompteCourant",IF(IF(ISNA(VLOOKUP(B392,DATA!$A$1:$A$16,1,0)),"",VLOOKUP(B392,DATA!$A$1:$A$16,1,0))="",L391+E392,L391-E392),L391))</f>
        <v/>
      </c>
      <c r="M392" s="23" t="str">
        <f>IF(B392="","",IF(I392="Coffre",IF(IF(ISNA(VLOOKUP(B392,DATA!$A$1:$A$16,1,0)),"",VLOOKUP(B392,DATA!$A$1:$A$16,1,0))="",M391+E392,M391-E392),M391))</f>
        <v/>
      </c>
      <c r="N392" s="23" t="str">
        <f>IF(B392="","",IF(I392="CompteEpargne",IF(IF(ISNA(VLOOKUP(B392,DATA!$A$1:$A$16,1,0)),"",VLOOKUP(B392,DATA!$A$1:$A$16,1,0))="",N391+E392,N391-E392),N391))</f>
        <v/>
      </c>
      <c r="O392" s="32" t="str">
        <f>IF(B392="","",IF(J392="CompteEpargne",IF(IF(ISNA(VLOOKUP(B392,DATA!$A$1:$A$16,1,0)),"",VLOOKUP(B392,DATA!$A$1:$A$16,1,0))="",O391+E392,O391-E392),O391))</f>
        <v/>
      </c>
      <c r="P392" s="22" t="str">
        <f t="shared" si="2"/>
        <v/>
      </c>
      <c r="Q392" s="32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4.25" customHeight="1" x14ac:dyDescent="0.2">
      <c r="A393" s="1"/>
      <c r="B393" s="33"/>
      <c r="C393" s="17">
        <f t="shared" si="3"/>
        <v>389</v>
      </c>
      <c r="D393" s="34"/>
      <c r="E393" s="35"/>
      <c r="F393" s="20"/>
      <c r="G393" s="20"/>
      <c r="H393" s="36"/>
      <c r="I393" s="36"/>
      <c r="J393" s="20"/>
      <c r="K393" s="36"/>
      <c r="L393" s="22" t="str">
        <f>IF(B393="","",IF(I393="CompteCourant",IF(IF(ISNA(VLOOKUP(B393,DATA!$A$1:$A$16,1,0)),"",VLOOKUP(B393,DATA!$A$1:$A$16,1,0))="",L392+E393,L392-E393),L392))</f>
        <v/>
      </c>
      <c r="M393" s="23" t="str">
        <f>IF(B393="","",IF(I393="Coffre",IF(IF(ISNA(VLOOKUP(B393,DATA!$A$1:$A$16,1,0)),"",VLOOKUP(B393,DATA!$A$1:$A$16,1,0))="",M392+E393,M392-E393),M392))</f>
        <v/>
      </c>
      <c r="N393" s="23" t="str">
        <f>IF(B393="","",IF(I393="CompteEpargne",IF(IF(ISNA(VLOOKUP(B393,DATA!$A$1:$A$16,1,0)),"",VLOOKUP(B393,DATA!$A$1:$A$16,1,0))="",N392+E393,N392-E393),N392))</f>
        <v/>
      </c>
      <c r="O393" s="32" t="str">
        <f>IF(B393="","",IF(J393="CompteEpargne",IF(IF(ISNA(VLOOKUP(B393,DATA!$A$1:$A$16,1,0)),"",VLOOKUP(B393,DATA!$A$1:$A$16,1,0))="",O392+E393,O392-E393),O392))</f>
        <v/>
      </c>
      <c r="P393" s="22" t="str">
        <f t="shared" si="2"/>
        <v/>
      </c>
      <c r="Q393" s="32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4.25" customHeight="1" x14ac:dyDescent="0.2">
      <c r="A394" s="1"/>
      <c r="B394" s="33"/>
      <c r="C394" s="17">
        <f t="shared" si="3"/>
        <v>390</v>
      </c>
      <c r="D394" s="34"/>
      <c r="E394" s="35"/>
      <c r="F394" s="20"/>
      <c r="G394" s="20"/>
      <c r="H394" s="36"/>
      <c r="I394" s="36"/>
      <c r="J394" s="20"/>
      <c r="K394" s="36"/>
      <c r="L394" s="22" t="str">
        <f>IF(B394="","",IF(I394="CompteCourant",IF(IF(ISNA(VLOOKUP(B394,DATA!$A$1:$A$16,1,0)),"",VLOOKUP(B394,DATA!$A$1:$A$16,1,0))="",L393+E394,L393-E394),L393))</f>
        <v/>
      </c>
      <c r="M394" s="23" t="str">
        <f>IF(B394="","",IF(I394="Coffre",IF(IF(ISNA(VLOOKUP(B394,DATA!$A$1:$A$16,1,0)),"",VLOOKUP(B394,DATA!$A$1:$A$16,1,0))="",M393+E394,M393-E394),M393))</f>
        <v/>
      </c>
      <c r="N394" s="23" t="str">
        <f>IF(B394="","",IF(I394="CompteEpargne",IF(IF(ISNA(VLOOKUP(B394,DATA!$A$1:$A$16,1,0)),"",VLOOKUP(B394,DATA!$A$1:$A$16,1,0))="",N393+E394,N393-E394),N393))</f>
        <v/>
      </c>
      <c r="O394" s="32" t="str">
        <f>IF(B394="","",IF(J394="CompteEpargne",IF(IF(ISNA(VLOOKUP(B394,DATA!$A$1:$A$16,1,0)),"",VLOOKUP(B394,DATA!$A$1:$A$16,1,0))="",O393+E394,O393-E394),O393))</f>
        <v/>
      </c>
      <c r="P394" s="22" t="str">
        <f t="shared" si="2"/>
        <v/>
      </c>
      <c r="Q394" s="32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4.25" customHeight="1" x14ac:dyDescent="0.2">
      <c r="A395" s="1"/>
      <c r="B395" s="33"/>
      <c r="C395" s="17">
        <f t="shared" si="3"/>
        <v>391</v>
      </c>
      <c r="D395" s="34"/>
      <c r="E395" s="35"/>
      <c r="F395" s="20"/>
      <c r="G395" s="20"/>
      <c r="H395" s="36"/>
      <c r="I395" s="36"/>
      <c r="J395" s="20"/>
      <c r="K395" s="36"/>
      <c r="L395" s="22" t="str">
        <f>IF(B395="","",IF(I395="CompteCourant",IF(IF(ISNA(VLOOKUP(B395,DATA!$A$1:$A$16,1,0)),"",VLOOKUP(B395,DATA!$A$1:$A$16,1,0))="",L394+E395,L394-E395),L394))</f>
        <v/>
      </c>
      <c r="M395" s="23" t="str">
        <f>IF(B395="","",IF(I395="Coffre",IF(IF(ISNA(VLOOKUP(B395,DATA!$A$1:$A$16,1,0)),"",VLOOKUP(B395,DATA!$A$1:$A$16,1,0))="",M394+E395,M394-E395),M394))</f>
        <v/>
      </c>
      <c r="N395" s="23" t="str">
        <f>IF(B395="","",IF(I395="CompteEpargne",IF(IF(ISNA(VLOOKUP(B395,DATA!$A$1:$A$16,1,0)),"",VLOOKUP(B395,DATA!$A$1:$A$16,1,0))="",N394+E395,N394-E395),N394))</f>
        <v/>
      </c>
      <c r="O395" s="32" t="str">
        <f>IF(B395="","",IF(J395="CompteEpargne",IF(IF(ISNA(VLOOKUP(B395,DATA!$A$1:$A$16,1,0)),"",VLOOKUP(B395,DATA!$A$1:$A$16,1,0))="",O394+E395,O394-E395),O394))</f>
        <v/>
      </c>
      <c r="P395" s="22" t="str">
        <f t="shared" si="2"/>
        <v/>
      </c>
      <c r="Q395" s="32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4.25" customHeight="1" x14ac:dyDescent="0.2">
      <c r="A396" s="1"/>
      <c r="B396" s="33"/>
      <c r="C396" s="17">
        <f t="shared" si="3"/>
        <v>392</v>
      </c>
      <c r="D396" s="34"/>
      <c r="E396" s="35"/>
      <c r="F396" s="20"/>
      <c r="G396" s="20"/>
      <c r="H396" s="36"/>
      <c r="I396" s="36"/>
      <c r="J396" s="20"/>
      <c r="K396" s="36"/>
      <c r="L396" s="22" t="str">
        <f>IF(B396="","",IF(I396="CompteCourant",IF(IF(ISNA(VLOOKUP(B396,DATA!$A$1:$A$16,1,0)),"",VLOOKUP(B396,DATA!$A$1:$A$16,1,0))="",L395+E396,L395-E396),L395))</f>
        <v/>
      </c>
      <c r="M396" s="23" t="str">
        <f>IF(B396="","",IF(I396="Coffre",IF(IF(ISNA(VLOOKUP(B396,DATA!$A$1:$A$16,1,0)),"",VLOOKUP(B396,DATA!$A$1:$A$16,1,0))="",M395+E396,M395-E396),M395))</f>
        <v/>
      </c>
      <c r="N396" s="23" t="str">
        <f>IF(B396="","",IF(I396="CompteEpargne",IF(IF(ISNA(VLOOKUP(B396,DATA!$A$1:$A$16,1,0)),"",VLOOKUP(B396,DATA!$A$1:$A$16,1,0))="",N395+E396,N395-E396),N395))</f>
        <v/>
      </c>
      <c r="O396" s="32" t="str">
        <f>IF(B396="","",IF(J396="CompteEpargne",IF(IF(ISNA(VLOOKUP(B396,DATA!$A$1:$A$16,1,0)),"",VLOOKUP(B396,DATA!$A$1:$A$16,1,0))="",O395+E396,O395-E396),O395))</f>
        <v/>
      </c>
      <c r="P396" s="22" t="str">
        <f t="shared" si="2"/>
        <v/>
      </c>
      <c r="Q396" s="32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4.25" customHeight="1" x14ac:dyDescent="0.2">
      <c r="A397" s="1"/>
      <c r="B397" s="33"/>
      <c r="C397" s="17">
        <f t="shared" si="3"/>
        <v>393</v>
      </c>
      <c r="D397" s="34"/>
      <c r="E397" s="35"/>
      <c r="F397" s="20"/>
      <c r="G397" s="20"/>
      <c r="H397" s="36"/>
      <c r="I397" s="36"/>
      <c r="J397" s="20"/>
      <c r="K397" s="36"/>
      <c r="L397" s="22" t="str">
        <f>IF(B397="","",IF(I397="CompteCourant",IF(IF(ISNA(VLOOKUP(B397,DATA!$A$1:$A$16,1,0)),"",VLOOKUP(B397,DATA!$A$1:$A$16,1,0))="",L396+E397,L396-E397),L396))</f>
        <v/>
      </c>
      <c r="M397" s="23" t="str">
        <f>IF(B397="","",IF(I397="Coffre",IF(IF(ISNA(VLOOKUP(B397,DATA!$A$1:$A$16,1,0)),"",VLOOKUP(B397,DATA!$A$1:$A$16,1,0))="",M396+E397,M396-E397),M396))</f>
        <v/>
      </c>
      <c r="N397" s="23" t="str">
        <f>IF(B397="","",IF(I397="CompteEpargne",IF(IF(ISNA(VLOOKUP(B397,DATA!$A$1:$A$16,1,0)),"",VLOOKUP(B397,DATA!$A$1:$A$16,1,0))="",N396+E397,N396-E397),N396))</f>
        <v/>
      </c>
      <c r="O397" s="32" t="str">
        <f>IF(B397="","",IF(J397="CompteEpargne",IF(IF(ISNA(VLOOKUP(B397,DATA!$A$1:$A$16,1,0)),"",VLOOKUP(B397,DATA!$A$1:$A$16,1,0))="",O396+E397,O396-E397),O396))</f>
        <v/>
      </c>
      <c r="P397" s="22" t="str">
        <f t="shared" si="2"/>
        <v/>
      </c>
      <c r="Q397" s="32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4.25" customHeight="1" x14ac:dyDescent="0.2">
      <c r="A398" s="1"/>
      <c r="B398" s="33"/>
      <c r="C398" s="17">
        <f t="shared" si="3"/>
        <v>394</v>
      </c>
      <c r="D398" s="34"/>
      <c r="E398" s="35"/>
      <c r="F398" s="20"/>
      <c r="G398" s="20"/>
      <c r="H398" s="36"/>
      <c r="I398" s="36"/>
      <c r="J398" s="20"/>
      <c r="K398" s="36"/>
      <c r="L398" s="22" t="str">
        <f>IF(B398="","",IF(I398="CompteCourant",IF(IF(ISNA(VLOOKUP(B398,DATA!$A$1:$A$16,1,0)),"",VLOOKUP(B398,DATA!$A$1:$A$16,1,0))="",L397+E398,L397-E398),L397))</f>
        <v/>
      </c>
      <c r="M398" s="23" t="str">
        <f>IF(B398="","",IF(I398="Coffre",IF(IF(ISNA(VLOOKUP(B398,DATA!$A$1:$A$16,1,0)),"",VLOOKUP(B398,DATA!$A$1:$A$16,1,0))="",M397+E398,M397-E398),M397))</f>
        <v/>
      </c>
      <c r="N398" s="23" t="str">
        <f>IF(B398="","",IF(I398="CompteEpargne",IF(IF(ISNA(VLOOKUP(B398,DATA!$A$1:$A$16,1,0)),"",VLOOKUP(B398,DATA!$A$1:$A$16,1,0))="",N397+E398,N397-E398),N397))</f>
        <v/>
      </c>
      <c r="O398" s="32" t="str">
        <f>IF(B398="","",IF(J398="CompteEpargne",IF(IF(ISNA(VLOOKUP(B398,DATA!$A$1:$A$16,1,0)),"",VLOOKUP(B398,DATA!$A$1:$A$16,1,0))="",O397+E398,O397-E398),O397))</f>
        <v/>
      </c>
      <c r="P398" s="22" t="str">
        <f t="shared" si="2"/>
        <v/>
      </c>
      <c r="Q398" s="32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4.25" customHeight="1" x14ac:dyDescent="0.2">
      <c r="A399" s="1"/>
      <c r="B399" s="33"/>
      <c r="C399" s="17">
        <f t="shared" si="3"/>
        <v>395</v>
      </c>
      <c r="D399" s="34"/>
      <c r="E399" s="35"/>
      <c r="F399" s="20"/>
      <c r="G399" s="20"/>
      <c r="H399" s="36"/>
      <c r="I399" s="36"/>
      <c r="J399" s="20"/>
      <c r="K399" s="36"/>
      <c r="L399" s="22" t="str">
        <f>IF(B399="","",IF(I399="CompteCourant",IF(IF(ISNA(VLOOKUP(B399,DATA!$A$1:$A$16,1,0)),"",VLOOKUP(B399,DATA!$A$1:$A$16,1,0))="",L398+E399,L398-E399),L398))</f>
        <v/>
      </c>
      <c r="M399" s="23" t="str">
        <f>IF(B399="","",IF(I399="Coffre",IF(IF(ISNA(VLOOKUP(B399,DATA!$A$1:$A$16,1,0)),"",VLOOKUP(B399,DATA!$A$1:$A$16,1,0))="",M398+E399,M398-E399),M398))</f>
        <v/>
      </c>
      <c r="N399" s="23" t="str">
        <f>IF(B399="","",IF(I399="CompteEpargne",IF(IF(ISNA(VLOOKUP(B399,DATA!$A$1:$A$16,1,0)),"",VLOOKUP(B399,DATA!$A$1:$A$16,1,0))="",N398+E399,N398-E399),N398))</f>
        <v/>
      </c>
      <c r="O399" s="32" t="str">
        <f>IF(B399="","",IF(J399="CompteEpargne",IF(IF(ISNA(VLOOKUP(B399,DATA!$A$1:$A$16,1,0)),"",VLOOKUP(B399,DATA!$A$1:$A$16,1,0))="",O398+E399,O398-E399),O398))</f>
        <v/>
      </c>
      <c r="P399" s="22" t="str">
        <f t="shared" si="2"/>
        <v/>
      </c>
      <c r="Q399" s="32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4.25" customHeight="1" x14ac:dyDescent="0.2">
      <c r="A400" s="1"/>
      <c r="B400" s="33"/>
      <c r="C400" s="17">
        <f t="shared" si="3"/>
        <v>396</v>
      </c>
      <c r="D400" s="34"/>
      <c r="E400" s="35"/>
      <c r="F400" s="20"/>
      <c r="G400" s="20"/>
      <c r="H400" s="36"/>
      <c r="I400" s="36"/>
      <c r="J400" s="20"/>
      <c r="K400" s="36"/>
      <c r="L400" s="22" t="str">
        <f>IF(B400="","",IF(I400="CompteCourant",IF(IF(ISNA(VLOOKUP(B400,DATA!$A$1:$A$16,1,0)),"",VLOOKUP(B400,DATA!$A$1:$A$16,1,0))="",L399+E400,L399-E400),L399))</f>
        <v/>
      </c>
      <c r="M400" s="23" t="str">
        <f>IF(B400="","",IF(I400="Coffre",IF(IF(ISNA(VLOOKUP(B400,DATA!$A$1:$A$16,1,0)),"",VLOOKUP(B400,DATA!$A$1:$A$16,1,0))="",M399+E400,M399-E400),M399))</f>
        <v/>
      </c>
      <c r="N400" s="23" t="str">
        <f>IF(B400="","",IF(I400="CompteEpargne",IF(IF(ISNA(VLOOKUP(B400,DATA!$A$1:$A$16,1,0)),"",VLOOKUP(B400,DATA!$A$1:$A$16,1,0))="",N399+E400,N399-E400),N399))</f>
        <v/>
      </c>
      <c r="O400" s="32" t="str">
        <f>IF(B400="","",IF(J400="CompteEpargne",IF(IF(ISNA(VLOOKUP(B400,DATA!$A$1:$A$16,1,0)),"",VLOOKUP(B400,DATA!$A$1:$A$16,1,0))="",O399+E400,O399-E400),O399))</f>
        <v/>
      </c>
      <c r="P400" s="22" t="str">
        <f t="shared" si="2"/>
        <v/>
      </c>
      <c r="Q400" s="32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4.25" customHeight="1" x14ac:dyDescent="0.2">
      <c r="A401" s="1"/>
      <c r="B401" s="33"/>
      <c r="C401" s="17">
        <f t="shared" si="3"/>
        <v>397</v>
      </c>
      <c r="D401" s="34"/>
      <c r="E401" s="35"/>
      <c r="F401" s="20"/>
      <c r="G401" s="20"/>
      <c r="H401" s="36"/>
      <c r="I401" s="36"/>
      <c r="J401" s="20"/>
      <c r="K401" s="36"/>
      <c r="L401" s="22" t="str">
        <f>IF(B401="","",IF(I401="CompteCourant",IF(IF(ISNA(VLOOKUP(B401,DATA!$A$1:$A$16,1,0)),"",VLOOKUP(B401,DATA!$A$1:$A$16,1,0))="",L400+E401,L400-E401),L400))</f>
        <v/>
      </c>
      <c r="M401" s="23" t="str">
        <f>IF(B401="","",IF(I401="Coffre",IF(IF(ISNA(VLOOKUP(B401,DATA!$A$1:$A$16,1,0)),"",VLOOKUP(B401,DATA!$A$1:$A$16,1,0))="",M400+E401,M400-E401),M400))</f>
        <v/>
      </c>
      <c r="N401" s="23" t="str">
        <f>IF(B401="","",IF(I401="CompteEpargne",IF(IF(ISNA(VLOOKUP(B401,DATA!$A$1:$A$16,1,0)),"",VLOOKUP(B401,DATA!$A$1:$A$16,1,0))="",N400+E401,N400-E401),N400))</f>
        <v/>
      </c>
      <c r="O401" s="32" t="str">
        <f>IF(B401="","",IF(J401="CompteEpargne",IF(IF(ISNA(VLOOKUP(B401,DATA!$A$1:$A$16,1,0)),"",VLOOKUP(B401,DATA!$A$1:$A$16,1,0))="",O400+E401,O400-E401),O400))</f>
        <v/>
      </c>
      <c r="P401" s="22" t="str">
        <f t="shared" si="2"/>
        <v/>
      </c>
      <c r="Q401" s="32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4.25" customHeight="1" x14ac:dyDescent="0.2">
      <c r="A402" s="1"/>
      <c r="B402" s="33"/>
      <c r="C402" s="17">
        <f t="shared" si="3"/>
        <v>398</v>
      </c>
      <c r="D402" s="34"/>
      <c r="E402" s="35"/>
      <c r="F402" s="20"/>
      <c r="G402" s="20"/>
      <c r="H402" s="36"/>
      <c r="I402" s="36"/>
      <c r="J402" s="20"/>
      <c r="K402" s="36"/>
      <c r="L402" s="22" t="str">
        <f>IF(B402="","",IF(I402="CompteCourant",IF(IF(ISNA(VLOOKUP(B402,DATA!$A$1:$A$16,1,0)),"",VLOOKUP(B402,DATA!$A$1:$A$16,1,0))="",L401+E402,L401-E402),L401))</f>
        <v/>
      </c>
      <c r="M402" s="23" t="str">
        <f>IF(B402="","",IF(I402="Coffre",IF(IF(ISNA(VLOOKUP(B402,DATA!$A$1:$A$16,1,0)),"",VLOOKUP(B402,DATA!$A$1:$A$16,1,0))="",M401+E402,M401-E402),M401))</f>
        <v/>
      </c>
      <c r="N402" s="23" t="str">
        <f>IF(B402="","",IF(I402="CompteEpargne",IF(IF(ISNA(VLOOKUP(B402,DATA!$A$1:$A$16,1,0)),"",VLOOKUP(B402,DATA!$A$1:$A$16,1,0))="",N401+E402,N401-E402),N401))</f>
        <v/>
      </c>
      <c r="O402" s="32" t="str">
        <f>IF(B402="","",IF(J402="CompteEpargne",IF(IF(ISNA(VLOOKUP(B402,DATA!$A$1:$A$16,1,0)),"",VLOOKUP(B402,DATA!$A$1:$A$16,1,0))="",O401+E402,O401-E402),O401))</f>
        <v/>
      </c>
      <c r="P402" s="22" t="str">
        <f t="shared" si="2"/>
        <v/>
      </c>
      <c r="Q402" s="32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4.25" customHeight="1" x14ac:dyDescent="0.2">
      <c r="A403" s="1"/>
      <c r="B403" s="33"/>
      <c r="C403" s="17">
        <f t="shared" si="3"/>
        <v>399</v>
      </c>
      <c r="D403" s="34"/>
      <c r="E403" s="35"/>
      <c r="F403" s="20"/>
      <c r="G403" s="20"/>
      <c r="H403" s="36"/>
      <c r="I403" s="36"/>
      <c r="J403" s="20"/>
      <c r="K403" s="36"/>
      <c r="L403" s="22" t="str">
        <f>IF(B403="","",IF(I403="CompteCourant",IF(IF(ISNA(VLOOKUP(B403,DATA!$A$1:$A$16,1,0)),"",VLOOKUP(B403,DATA!$A$1:$A$16,1,0))="",L402+E403,L402-E403),L402))</f>
        <v/>
      </c>
      <c r="M403" s="23" t="str">
        <f>IF(B403="","",IF(I403="Coffre",IF(IF(ISNA(VLOOKUP(B403,DATA!$A$1:$A$16,1,0)),"",VLOOKUP(B403,DATA!$A$1:$A$16,1,0))="",M402+E403,M402-E403),M402))</f>
        <v/>
      </c>
      <c r="N403" s="23" t="str">
        <f>IF(B403="","",IF(I403="CompteEpargne",IF(IF(ISNA(VLOOKUP(B403,DATA!$A$1:$A$16,1,0)),"",VLOOKUP(B403,DATA!$A$1:$A$16,1,0))="",N402+E403,N402-E403),N402))</f>
        <v/>
      </c>
      <c r="O403" s="32" t="str">
        <f>IF(B403="","",IF(J403="CompteEpargne",IF(IF(ISNA(VLOOKUP(B403,DATA!$A$1:$A$16,1,0)),"",VLOOKUP(B403,DATA!$A$1:$A$16,1,0))="",O402+E403,O402-E403),O402))</f>
        <v/>
      </c>
      <c r="P403" s="22" t="str">
        <f t="shared" si="2"/>
        <v/>
      </c>
      <c r="Q403" s="32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4.25" customHeight="1" x14ac:dyDescent="0.2">
      <c r="A404" s="1"/>
      <c r="B404" s="33"/>
      <c r="C404" s="17">
        <f t="shared" si="3"/>
        <v>400</v>
      </c>
      <c r="D404" s="34"/>
      <c r="E404" s="35"/>
      <c r="F404" s="20"/>
      <c r="G404" s="20"/>
      <c r="H404" s="36"/>
      <c r="I404" s="36"/>
      <c r="J404" s="20"/>
      <c r="K404" s="36"/>
      <c r="L404" s="22" t="str">
        <f>IF(B404="","",IF(I404="CompteCourant",IF(IF(ISNA(VLOOKUP(B404,DATA!$A$1:$A$16,1,0)),"",VLOOKUP(B404,DATA!$A$1:$A$16,1,0))="",L403+E404,L403-E404),L403))</f>
        <v/>
      </c>
      <c r="M404" s="23" t="str">
        <f>IF(B404="","",IF(I404="Coffre",IF(IF(ISNA(VLOOKUP(B404,DATA!$A$1:$A$16,1,0)),"",VLOOKUP(B404,DATA!$A$1:$A$16,1,0))="",M403+E404,M403-E404),M403))</f>
        <v/>
      </c>
      <c r="N404" s="23" t="str">
        <f>IF(B404="","",IF(I404="CompteEpargne",IF(IF(ISNA(VLOOKUP(B404,DATA!$A$1:$A$16,1,0)),"",VLOOKUP(B404,DATA!$A$1:$A$16,1,0))="",N403+E404,N403-E404),N403))</f>
        <v/>
      </c>
      <c r="O404" s="32" t="str">
        <f>IF(B404="","",IF(J404="CompteEpargne",IF(IF(ISNA(VLOOKUP(B404,DATA!$A$1:$A$16,1,0)),"",VLOOKUP(B404,DATA!$A$1:$A$16,1,0))="",O403+E404,O403-E404),O403))</f>
        <v/>
      </c>
      <c r="P404" s="22" t="str">
        <f t="shared" si="2"/>
        <v/>
      </c>
      <c r="Q404" s="32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4.25" customHeight="1" x14ac:dyDescent="0.2">
      <c r="A405" s="1"/>
      <c r="B405" s="33"/>
      <c r="C405" s="17">
        <f t="shared" si="3"/>
        <v>401</v>
      </c>
      <c r="D405" s="34"/>
      <c r="E405" s="35"/>
      <c r="F405" s="20"/>
      <c r="G405" s="20"/>
      <c r="H405" s="36"/>
      <c r="I405" s="36"/>
      <c r="J405" s="20"/>
      <c r="K405" s="36"/>
      <c r="L405" s="22" t="str">
        <f>IF(B405="","",IF(I405="CompteCourant",IF(IF(ISNA(VLOOKUP(B405,DATA!$A$1:$A$16,1,0)),"",VLOOKUP(B405,DATA!$A$1:$A$16,1,0))="",L404+E405,L404-E405),L404))</f>
        <v/>
      </c>
      <c r="M405" s="23" t="str">
        <f>IF(B405="","",IF(I405="Coffre",IF(IF(ISNA(VLOOKUP(B405,DATA!$A$1:$A$16,1,0)),"",VLOOKUP(B405,DATA!$A$1:$A$16,1,0))="",M404+E405,M404-E405),M404))</f>
        <v/>
      </c>
      <c r="N405" s="23" t="str">
        <f>IF(B405="","",IF(I405="CompteEpargne",IF(IF(ISNA(VLOOKUP(B405,DATA!$A$1:$A$16,1,0)),"",VLOOKUP(B405,DATA!$A$1:$A$16,1,0))="",N404+E405,N404-E405),N404))</f>
        <v/>
      </c>
      <c r="O405" s="32" t="str">
        <f>IF(B405="","",IF(J405="CompteEpargne",IF(IF(ISNA(VLOOKUP(B405,DATA!$A$1:$A$16,1,0)),"",VLOOKUP(B405,DATA!$A$1:$A$16,1,0))="",O404+E405,O404-E405),O404))</f>
        <v/>
      </c>
      <c r="P405" s="22" t="str">
        <f t="shared" si="2"/>
        <v/>
      </c>
      <c r="Q405" s="32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4.25" customHeight="1" x14ac:dyDescent="0.2">
      <c r="A406" s="1"/>
      <c r="B406" s="33"/>
      <c r="C406" s="17">
        <f t="shared" si="3"/>
        <v>402</v>
      </c>
      <c r="D406" s="34"/>
      <c r="E406" s="35"/>
      <c r="F406" s="20"/>
      <c r="G406" s="20"/>
      <c r="H406" s="36"/>
      <c r="I406" s="36"/>
      <c r="J406" s="20"/>
      <c r="K406" s="36"/>
      <c r="L406" s="22" t="str">
        <f>IF(B406="","",IF(I406="CompteCourant",IF(IF(ISNA(VLOOKUP(B406,DATA!$A$1:$A$16,1,0)),"",VLOOKUP(B406,DATA!$A$1:$A$16,1,0))="",L405+E406,L405-E406),L405))</f>
        <v/>
      </c>
      <c r="M406" s="23" t="str">
        <f>IF(B406="","",IF(I406="Coffre",IF(IF(ISNA(VLOOKUP(B406,DATA!$A$1:$A$16,1,0)),"",VLOOKUP(B406,DATA!$A$1:$A$16,1,0))="",M405+E406,M405-E406),M405))</f>
        <v/>
      </c>
      <c r="N406" s="23" t="str">
        <f>IF(B406="","",IF(I406="CompteEpargne",IF(IF(ISNA(VLOOKUP(B406,DATA!$A$1:$A$16,1,0)),"",VLOOKUP(B406,DATA!$A$1:$A$16,1,0))="",N405+E406,N405-E406),N405))</f>
        <v/>
      </c>
      <c r="O406" s="32" t="str">
        <f>IF(B406="","",IF(J406="CompteEpargne",IF(IF(ISNA(VLOOKUP(B406,DATA!$A$1:$A$16,1,0)),"",VLOOKUP(B406,DATA!$A$1:$A$16,1,0))="",O405+E406,O405-E406),O405))</f>
        <v/>
      </c>
      <c r="P406" s="22" t="str">
        <f t="shared" si="2"/>
        <v/>
      </c>
      <c r="Q406" s="32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4.25" customHeight="1" x14ac:dyDescent="0.2">
      <c r="A407" s="1"/>
      <c r="B407" s="33"/>
      <c r="C407" s="17">
        <f t="shared" si="3"/>
        <v>403</v>
      </c>
      <c r="D407" s="34"/>
      <c r="E407" s="35"/>
      <c r="F407" s="20"/>
      <c r="G407" s="20"/>
      <c r="H407" s="36"/>
      <c r="I407" s="36"/>
      <c r="J407" s="20"/>
      <c r="K407" s="36"/>
      <c r="L407" s="22" t="str">
        <f>IF(B407="","",IF(I407="CompteCourant",IF(IF(ISNA(VLOOKUP(B407,DATA!$A$1:$A$16,1,0)),"",VLOOKUP(B407,DATA!$A$1:$A$16,1,0))="",L406+E407,L406-E407),L406))</f>
        <v/>
      </c>
      <c r="M407" s="23" t="str">
        <f>IF(B407="","",IF(I407="Coffre",IF(IF(ISNA(VLOOKUP(B407,DATA!$A$1:$A$16,1,0)),"",VLOOKUP(B407,DATA!$A$1:$A$16,1,0))="",M406+E407,M406-E407),M406))</f>
        <v/>
      </c>
      <c r="N407" s="23" t="str">
        <f>IF(B407="","",IF(I407="CompteEpargne",IF(IF(ISNA(VLOOKUP(B407,DATA!$A$1:$A$16,1,0)),"",VLOOKUP(B407,DATA!$A$1:$A$16,1,0))="",N406+E407,N406-E407),N406))</f>
        <v/>
      </c>
      <c r="O407" s="32" t="str">
        <f>IF(B407="","",IF(J407="CompteEpargne",IF(IF(ISNA(VLOOKUP(B407,DATA!$A$1:$A$16,1,0)),"",VLOOKUP(B407,DATA!$A$1:$A$16,1,0))="",O406+E407,O406-E407),O406))</f>
        <v/>
      </c>
      <c r="P407" s="22" t="str">
        <f t="shared" si="2"/>
        <v/>
      </c>
      <c r="Q407" s="32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4.25" customHeight="1" x14ac:dyDescent="0.2">
      <c r="A408" s="1"/>
      <c r="B408" s="33"/>
      <c r="C408" s="17">
        <f t="shared" si="3"/>
        <v>404</v>
      </c>
      <c r="D408" s="34"/>
      <c r="E408" s="35"/>
      <c r="F408" s="20"/>
      <c r="G408" s="20"/>
      <c r="H408" s="36"/>
      <c r="I408" s="36"/>
      <c r="J408" s="20"/>
      <c r="K408" s="36"/>
      <c r="L408" s="22" t="str">
        <f>IF(B408="","",IF(I408="CompteCourant",IF(IF(ISNA(VLOOKUP(B408,DATA!$A$1:$A$16,1,0)),"",VLOOKUP(B408,DATA!$A$1:$A$16,1,0))="",L407+E408,L407-E408),L407))</f>
        <v/>
      </c>
      <c r="M408" s="23" t="str">
        <f>IF(B408="","",IF(I408="Coffre",IF(IF(ISNA(VLOOKUP(B408,DATA!$A$1:$A$16,1,0)),"",VLOOKUP(B408,DATA!$A$1:$A$16,1,0))="",M407+E408,M407-E408),M407))</f>
        <v/>
      </c>
      <c r="N408" s="23" t="str">
        <f>IF(B408="","",IF(I408="CompteEpargne",IF(IF(ISNA(VLOOKUP(B408,DATA!$A$1:$A$16,1,0)),"",VLOOKUP(B408,DATA!$A$1:$A$16,1,0))="",N407+E408,N407-E408),N407))</f>
        <v/>
      </c>
      <c r="O408" s="32" t="str">
        <f>IF(B408="","",IF(J408="CompteEpargne",IF(IF(ISNA(VLOOKUP(B408,DATA!$A$1:$A$16,1,0)),"",VLOOKUP(B408,DATA!$A$1:$A$16,1,0))="",O407+E408,O407-E408),O407))</f>
        <v/>
      </c>
      <c r="P408" s="22" t="str">
        <f t="shared" si="2"/>
        <v/>
      </c>
      <c r="Q408" s="32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4.25" customHeight="1" x14ac:dyDescent="0.2">
      <c r="A409" s="1"/>
      <c r="B409" s="33"/>
      <c r="C409" s="17">
        <f t="shared" si="3"/>
        <v>405</v>
      </c>
      <c r="D409" s="34"/>
      <c r="E409" s="35"/>
      <c r="F409" s="20"/>
      <c r="G409" s="20"/>
      <c r="H409" s="36"/>
      <c r="I409" s="36"/>
      <c r="J409" s="20"/>
      <c r="K409" s="36"/>
      <c r="L409" s="22" t="str">
        <f>IF(B409="","",IF(I409="CompteCourant",IF(IF(ISNA(VLOOKUP(B409,DATA!$A$1:$A$16,1,0)),"",VLOOKUP(B409,DATA!$A$1:$A$16,1,0))="",L408+E409,L408-E409),L408))</f>
        <v/>
      </c>
      <c r="M409" s="23" t="str">
        <f>IF(B409="","",IF(I409="Coffre",IF(IF(ISNA(VLOOKUP(B409,DATA!$A$1:$A$16,1,0)),"",VLOOKUP(B409,DATA!$A$1:$A$16,1,0))="",M408+E409,M408-E409),M408))</f>
        <v/>
      </c>
      <c r="N409" s="23" t="str">
        <f>IF(B409="","",IF(I409="CompteEpargne",IF(IF(ISNA(VLOOKUP(B409,DATA!$A$1:$A$16,1,0)),"",VLOOKUP(B409,DATA!$A$1:$A$16,1,0))="",N408+E409,N408-E409),N408))</f>
        <v/>
      </c>
      <c r="O409" s="32" t="str">
        <f>IF(B409="","",IF(J409="CompteEpargne",IF(IF(ISNA(VLOOKUP(B409,DATA!$A$1:$A$16,1,0)),"",VLOOKUP(B409,DATA!$A$1:$A$16,1,0))="",O408+E409,O408-E409),O408))</f>
        <v/>
      </c>
      <c r="P409" s="22" t="str">
        <f t="shared" si="2"/>
        <v/>
      </c>
      <c r="Q409" s="32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4.25" customHeight="1" x14ac:dyDescent="0.2">
      <c r="A410" s="1"/>
      <c r="B410" s="33"/>
      <c r="C410" s="17">
        <f t="shared" si="3"/>
        <v>406</v>
      </c>
      <c r="D410" s="34"/>
      <c r="E410" s="35"/>
      <c r="F410" s="20"/>
      <c r="G410" s="20"/>
      <c r="H410" s="36"/>
      <c r="I410" s="36"/>
      <c r="J410" s="20"/>
      <c r="K410" s="36"/>
      <c r="L410" s="22" t="str">
        <f>IF(B410="","",IF(I410="CompteCourant",IF(IF(ISNA(VLOOKUP(B410,DATA!$A$1:$A$16,1,0)),"",VLOOKUP(B410,DATA!$A$1:$A$16,1,0))="",L409+E410,L409-E410),L409))</f>
        <v/>
      </c>
      <c r="M410" s="23" t="str">
        <f>IF(B410="","",IF(I410="Coffre",IF(IF(ISNA(VLOOKUP(B410,DATA!$A$1:$A$16,1,0)),"",VLOOKUP(B410,DATA!$A$1:$A$16,1,0))="",M409+E410,M409-E410),M409))</f>
        <v/>
      </c>
      <c r="N410" s="23" t="str">
        <f>IF(B410="","",IF(I410="CompteEpargne",IF(IF(ISNA(VLOOKUP(B410,DATA!$A$1:$A$16,1,0)),"",VLOOKUP(B410,DATA!$A$1:$A$16,1,0))="",N409+E410,N409-E410),N409))</f>
        <v/>
      </c>
      <c r="O410" s="32" t="str">
        <f>IF(B410="","",IF(J410="CompteEpargne",IF(IF(ISNA(VLOOKUP(B410,DATA!$A$1:$A$16,1,0)),"",VLOOKUP(B410,DATA!$A$1:$A$16,1,0))="",O409+E410,O409-E410),O409))</f>
        <v/>
      </c>
      <c r="P410" s="22" t="str">
        <f t="shared" si="2"/>
        <v/>
      </c>
      <c r="Q410" s="32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4.25" customHeight="1" x14ac:dyDescent="0.2">
      <c r="A411" s="1"/>
      <c r="B411" s="33"/>
      <c r="C411" s="17">
        <f t="shared" si="3"/>
        <v>407</v>
      </c>
      <c r="D411" s="34"/>
      <c r="E411" s="35"/>
      <c r="F411" s="20"/>
      <c r="G411" s="20"/>
      <c r="H411" s="36"/>
      <c r="I411" s="36"/>
      <c r="J411" s="20"/>
      <c r="K411" s="36"/>
      <c r="L411" s="22" t="str">
        <f>IF(B411="","",IF(I411="CompteCourant",IF(IF(ISNA(VLOOKUP(B411,DATA!$A$1:$A$16,1,0)),"",VLOOKUP(B411,DATA!$A$1:$A$16,1,0))="",L410+E411,L410-E411),L410))</f>
        <v/>
      </c>
      <c r="M411" s="23" t="str">
        <f>IF(B411="","",IF(I411="Coffre",IF(IF(ISNA(VLOOKUP(B411,DATA!$A$1:$A$16,1,0)),"",VLOOKUP(B411,DATA!$A$1:$A$16,1,0))="",M410+E411,M410-E411),M410))</f>
        <v/>
      </c>
      <c r="N411" s="23" t="str">
        <f>IF(B411="","",IF(I411="CompteEpargne",IF(IF(ISNA(VLOOKUP(B411,DATA!$A$1:$A$16,1,0)),"",VLOOKUP(B411,DATA!$A$1:$A$16,1,0))="",N410+E411,N410-E411),N410))</f>
        <v/>
      </c>
      <c r="O411" s="32" t="str">
        <f>IF(B411="","",IF(J411="CompteEpargne",IF(IF(ISNA(VLOOKUP(B411,DATA!$A$1:$A$16,1,0)),"",VLOOKUP(B411,DATA!$A$1:$A$16,1,0))="",O410+E411,O410-E411),O410))</f>
        <v/>
      </c>
      <c r="P411" s="22" t="str">
        <f t="shared" si="2"/>
        <v/>
      </c>
      <c r="Q411" s="32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4.25" customHeight="1" x14ac:dyDescent="0.2">
      <c r="A412" s="1"/>
      <c r="B412" s="33"/>
      <c r="C412" s="17">
        <f t="shared" si="3"/>
        <v>408</v>
      </c>
      <c r="D412" s="34"/>
      <c r="E412" s="35"/>
      <c r="F412" s="20"/>
      <c r="G412" s="20"/>
      <c r="H412" s="36"/>
      <c r="I412" s="36"/>
      <c r="J412" s="20"/>
      <c r="K412" s="36"/>
      <c r="L412" s="22" t="str">
        <f>IF(B412="","",IF(I412="CompteCourant",IF(IF(ISNA(VLOOKUP(B412,DATA!$A$1:$A$16,1,0)),"",VLOOKUP(B412,DATA!$A$1:$A$16,1,0))="",L411+E412,L411-E412),L411))</f>
        <v/>
      </c>
      <c r="M412" s="23" t="str">
        <f>IF(B412="","",IF(I412="Coffre",IF(IF(ISNA(VLOOKUP(B412,DATA!$A$1:$A$16,1,0)),"",VLOOKUP(B412,DATA!$A$1:$A$16,1,0))="",M411+E412,M411-E412),M411))</f>
        <v/>
      </c>
      <c r="N412" s="23" t="str">
        <f>IF(B412="","",IF(I412="CompteEpargne",IF(IF(ISNA(VLOOKUP(B412,DATA!$A$1:$A$16,1,0)),"",VLOOKUP(B412,DATA!$A$1:$A$16,1,0))="",N411+E412,N411-E412),N411))</f>
        <v/>
      </c>
      <c r="O412" s="32" t="str">
        <f>IF(B412="","",IF(J412="CompteEpargne",IF(IF(ISNA(VLOOKUP(B412,DATA!$A$1:$A$16,1,0)),"",VLOOKUP(B412,DATA!$A$1:$A$16,1,0))="",O411+E412,O411-E412),O411))</f>
        <v/>
      </c>
      <c r="P412" s="22" t="str">
        <f t="shared" si="2"/>
        <v/>
      </c>
      <c r="Q412" s="32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4.25" customHeight="1" x14ac:dyDescent="0.2">
      <c r="A413" s="1"/>
      <c r="B413" s="33"/>
      <c r="C413" s="17">
        <f t="shared" si="3"/>
        <v>409</v>
      </c>
      <c r="D413" s="34"/>
      <c r="E413" s="35"/>
      <c r="F413" s="20"/>
      <c r="G413" s="20"/>
      <c r="H413" s="36"/>
      <c r="I413" s="36"/>
      <c r="J413" s="20"/>
      <c r="K413" s="36"/>
      <c r="L413" s="22" t="str">
        <f>IF(B413="","",IF(I413="CompteCourant",IF(IF(ISNA(VLOOKUP(B413,DATA!$A$1:$A$16,1,0)),"",VLOOKUP(B413,DATA!$A$1:$A$16,1,0))="",L412+E413,L412-E413),L412))</f>
        <v/>
      </c>
      <c r="M413" s="23" t="str">
        <f>IF(B413="","",IF(I413="Coffre",IF(IF(ISNA(VLOOKUP(B413,DATA!$A$1:$A$16,1,0)),"",VLOOKUP(B413,DATA!$A$1:$A$16,1,0))="",M412+E413,M412-E413),M412))</f>
        <v/>
      </c>
      <c r="N413" s="23" t="str">
        <f>IF(B413="","",IF(I413="CompteEpargne",IF(IF(ISNA(VLOOKUP(B413,DATA!$A$1:$A$16,1,0)),"",VLOOKUP(B413,DATA!$A$1:$A$16,1,0))="",N412+E413,N412-E413),N412))</f>
        <v/>
      </c>
      <c r="O413" s="32" t="str">
        <f>IF(B413="","",IF(J413="CompteEpargne",IF(IF(ISNA(VLOOKUP(B413,DATA!$A$1:$A$16,1,0)),"",VLOOKUP(B413,DATA!$A$1:$A$16,1,0))="",O412+E413,O412-E413),O412))</f>
        <v/>
      </c>
      <c r="P413" s="22" t="str">
        <f t="shared" si="2"/>
        <v/>
      </c>
      <c r="Q413" s="32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4.25" customHeight="1" x14ac:dyDescent="0.2">
      <c r="A414" s="1"/>
      <c r="B414" s="33"/>
      <c r="C414" s="17">
        <f t="shared" si="3"/>
        <v>410</v>
      </c>
      <c r="D414" s="34"/>
      <c r="E414" s="35"/>
      <c r="F414" s="20"/>
      <c r="G414" s="20"/>
      <c r="H414" s="36"/>
      <c r="I414" s="36"/>
      <c r="J414" s="20"/>
      <c r="K414" s="36"/>
      <c r="L414" s="22" t="str">
        <f>IF(B414="","",IF(I414="CompteCourant",IF(IF(ISNA(VLOOKUP(B414,DATA!$A$1:$A$16,1,0)),"",VLOOKUP(B414,DATA!$A$1:$A$16,1,0))="",L413+E414,L413-E414),L413))</f>
        <v/>
      </c>
      <c r="M414" s="23" t="str">
        <f>IF(B414="","",IF(I414="Coffre",IF(IF(ISNA(VLOOKUP(B414,DATA!$A$1:$A$16,1,0)),"",VLOOKUP(B414,DATA!$A$1:$A$16,1,0))="",M413+E414,M413-E414),M413))</f>
        <v/>
      </c>
      <c r="N414" s="23" t="str">
        <f>IF(B414="","",IF(I414="CompteEpargne",IF(IF(ISNA(VLOOKUP(B414,DATA!$A$1:$A$16,1,0)),"",VLOOKUP(B414,DATA!$A$1:$A$16,1,0))="",N413+E414,N413-E414),N413))</f>
        <v/>
      </c>
      <c r="O414" s="32" t="str">
        <f>IF(B414="","",IF(J414="CompteEpargne",IF(IF(ISNA(VLOOKUP(B414,DATA!$A$1:$A$16,1,0)),"",VLOOKUP(B414,DATA!$A$1:$A$16,1,0))="",O413+E414,O413-E414),O413))</f>
        <v/>
      </c>
      <c r="P414" s="22" t="str">
        <f t="shared" si="2"/>
        <v/>
      </c>
      <c r="Q414" s="32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4.25" customHeight="1" x14ac:dyDescent="0.2">
      <c r="A415" s="1"/>
      <c r="B415" s="33"/>
      <c r="C415" s="17">
        <f t="shared" si="3"/>
        <v>411</v>
      </c>
      <c r="D415" s="34"/>
      <c r="E415" s="35"/>
      <c r="F415" s="20"/>
      <c r="G415" s="20"/>
      <c r="H415" s="36"/>
      <c r="I415" s="36"/>
      <c r="J415" s="20"/>
      <c r="K415" s="36"/>
      <c r="L415" s="22" t="str">
        <f>IF(B415="","",IF(I415="CompteCourant",IF(IF(ISNA(VLOOKUP(B415,DATA!$A$1:$A$16,1,0)),"",VLOOKUP(B415,DATA!$A$1:$A$16,1,0))="",L414+E415,L414-E415),L414))</f>
        <v/>
      </c>
      <c r="M415" s="23" t="str">
        <f>IF(B415="","",IF(I415="Coffre",IF(IF(ISNA(VLOOKUP(B415,DATA!$A$1:$A$16,1,0)),"",VLOOKUP(B415,DATA!$A$1:$A$16,1,0))="",M414+E415,M414-E415),M414))</f>
        <v/>
      </c>
      <c r="N415" s="23" t="str">
        <f>IF(B415="","",IF(I415="CompteEpargne",IF(IF(ISNA(VLOOKUP(B415,DATA!$A$1:$A$16,1,0)),"",VLOOKUP(B415,DATA!$A$1:$A$16,1,0))="",N414+E415,N414-E415),N414))</f>
        <v/>
      </c>
      <c r="O415" s="32" t="str">
        <f>IF(B415="","",IF(J415="CompteEpargne",IF(IF(ISNA(VLOOKUP(B415,DATA!$A$1:$A$16,1,0)),"",VLOOKUP(B415,DATA!$A$1:$A$16,1,0))="",O414+E415,O414-E415),O414))</f>
        <v/>
      </c>
      <c r="P415" s="22" t="str">
        <f t="shared" si="2"/>
        <v/>
      </c>
      <c r="Q415" s="32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4.25" customHeight="1" x14ac:dyDescent="0.2">
      <c r="A416" s="1"/>
      <c r="B416" s="33"/>
      <c r="C416" s="17">
        <f t="shared" si="3"/>
        <v>412</v>
      </c>
      <c r="D416" s="34"/>
      <c r="E416" s="35"/>
      <c r="F416" s="20"/>
      <c r="G416" s="20"/>
      <c r="H416" s="36"/>
      <c r="I416" s="36"/>
      <c r="J416" s="20"/>
      <c r="K416" s="36"/>
      <c r="L416" s="22" t="str">
        <f>IF(B416="","",IF(I416="CompteCourant",IF(IF(ISNA(VLOOKUP(B416,DATA!$A$1:$A$16,1,0)),"",VLOOKUP(B416,DATA!$A$1:$A$16,1,0))="",L415+E416,L415-E416),L415))</f>
        <v/>
      </c>
      <c r="M416" s="23" t="str">
        <f>IF(B416="","",IF(I416="Coffre",IF(IF(ISNA(VLOOKUP(B416,DATA!$A$1:$A$16,1,0)),"",VLOOKUP(B416,DATA!$A$1:$A$16,1,0))="",M415+E416,M415-E416),M415))</f>
        <v/>
      </c>
      <c r="N416" s="23" t="str">
        <f>IF(B416="","",IF(I416="CompteEpargne",IF(IF(ISNA(VLOOKUP(B416,DATA!$A$1:$A$16,1,0)),"",VLOOKUP(B416,DATA!$A$1:$A$16,1,0))="",N415+E416,N415-E416),N415))</f>
        <v/>
      </c>
      <c r="O416" s="32" t="str">
        <f>IF(B416="","",IF(J416="CompteEpargne",IF(IF(ISNA(VLOOKUP(B416,DATA!$A$1:$A$16,1,0)),"",VLOOKUP(B416,DATA!$A$1:$A$16,1,0))="",O415+E416,O415-E416),O415))</f>
        <v/>
      </c>
      <c r="P416" s="22" t="str">
        <f t="shared" si="2"/>
        <v/>
      </c>
      <c r="Q416" s="32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4.25" customHeight="1" x14ac:dyDescent="0.2">
      <c r="A417" s="1"/>
      <c r="B417" s="33"/>
      <c r="C417" s="17">
        <f t="shared" si="3"/>
        <v>413</v>
      </c>
      <c r="D417" s="34"/>
      <c r="E417" s="35"/>
      <c r="F417" s="20"/>
      <c r="G417" s="20"/>
      <c r="H417" s="36"/>
      <c r="I417" s="36"/>
      <c r="J417" s="20"/>
      <c r="K417" s="36"/>
      <c r="L417" s="22" t="str">
        <f>IF(B417="","",IF(I417="CompteCourant",IF(IF(ISNA(VLOOKUP(B417,DATA!$A$1:$A$16,1,0)),"",VLOOKUP(B417,DATA!$A$1:$A$16,1,0))="",L416+E417,L416-E417),L416))</f>
        <v/>
      </c>
      <c r="M417" s="23" t="str">
        <f>IF(B417="","",IF(I417="Coffre",IF(IF(ISNA(VLOOKUP(B417,DATA!$A$1:$A$16,1,0)),"",VLOOKUP(B417,DATA!$A$1:$A$16,1,0))="",M416+E417,M416-E417),M416))</f>
        <v/>
      </c>
      <c r="N417" s="23" t="str">
        <f>IF(B417="","",IF(I417="CompteEpargne",IF(IF(ISNA(VLOOKUP(B417,DATA!$A$1:$A$16,1,0)),"",VLOOKUP(B417,DATA!$A$1:$A$16,1,0))="",N416+E417,N416-E417),N416))</f>
        <v/>
      </c>
      <c r="O417" s="32" t="str">
        <f>IF(B417="","",IF(J417="CompteEpargne",IF(IF(ISNA(VLOOKUP(B417,DATA!$A$1:$A$16,1,0)),"",VLOOKUP(B417,DATA!$A$1:$A$16,1,0))="",O416+E417,O416-E417),O416))</f>
        <v/>
      </c>
      <c r="P417" s="22" t="str">
        <f t="shared" si="2"/>
        <v/>
      </c>
      <c r="Q417" s="32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4.25" customHeight="1" x14ac:dyDescent="0.2">
      <c r="A418" s="1"/>
      <c r="B418" s="33"/>
      <c r="C418" s="17">
        <f t="shared" si="3"/>
        <v>414</v>
      </c>
      <c r="D418" s="34"/>
      <c r="E418" s="35"/>
      <c r="F418" s="20"/>
      <c r="G418" s="20"/>
      <c r="H418" s="36"/>
      <c r="I418" s="36"/>
      <c r="J418" s="20"/>
      <c r="K418" s="36"/>
      <c r="L418" s="22" t="str">
        <f>IF(B418="","",IF(I418="CompteCourant",IF(IF(ISNA(VLOOKUP(B418,DATA!$A$1:$A$16,1,0)),"",VLOOKUP(B418,DATA!$A$1:$A$16,1,0))="",L417+E418,L417-E418),L417))</f>
        <v/>
      </c>
      <c r="M418" s="23" t="str">
        <f>IF(B418="","",IF(I418="Coffre",IF(IF(ISNA(VLOOKUP(B418,DATA!$A$1:$A$16,1,0)),"",VLOOKUP(B418,DATA!$A$1:$A$16,1,0))="",M417+E418,M417-E418),M417))</f>
        <v/>
      </c>
      <c r="N418" s="23" t="str">
        <f>IF(B418="","",IF(I418="CompteEpargne",IF(IF(ISNA(VLOOKUP(B418,DATA!$A$1:$A$16,1,0)),"",VLOOKUP(B418,DATA!$A$1:$A$16,1,0))="",N417+E418,N417-E418),N417))</f>
        <v/>
      </c>
      <c r="O418" s="32" t="str">
        <f>IF(B418="","",IF(J418="CompteEpargne",IF(IF(ISNA(VLOOKUP(B418,DATA!$A$1:$A$16,1,0)),"",VLOOKUP(B418,DATA!$A$1:$A$16,1,0))="",O417+E418,O417-E418),O417))</f>
        <v/>
      </c>
      <c r="P418" s="22" t="str">
        <f t="shared" si="2"/>
        <v/>
      </c>
      <c r="Q418" s="32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4.25" customHeight="1" x14ac:dyDescent="0.2">
      <c r="A419" s="1"/>
      <c r="B419" s="33"/>
      <c r="C419" s="17">
        <f t="shared" si="3"/>
        <v>415</v>
      </c>
      <c r="D419" s="34"/>
      <c r="E419" s="35"/>
      <c r="F419" s="20"/>
      <c r="G419" s="20"/>
      <c r="H419" s="36"/>
      <c r="I419" s="36"/>
      <c r="J419" s="20"/>
      <c r="K419" s="36"/>
      <c r="L419" s="22" t="str">
        <f>IF(B419="","",IF(I419="CompteCourant",IF(IF(ISNA(VLOOKUP(B419,DATA!$A$1:$A$16,1,0)),"",VLOOKUP(B419,DATA!$A$1:$A$16,1,0))="",L418+E419,L418-E419),L418))</f>
        <v/>
      </c>
      <c r="M419" s="23" t="str">
        <f>IF(B419="","",IF(I419="Coffre",IF(IF(ISNA(VLOOKUP(B419,DATA!$A$1:$A$16,1,0)),"",VLOOKUP(B419,DATA!$A$1:$A$16,1,0))="",M418+E419,M418-E419),M418))</f>
        <v/>
      </c>
      <c r="N419" s="23" t="str">
        <f>IF(B419="","",IF(I419="CompteEpargne",IF(IF(ISNA(VLOOKUP(B419,DATA!$A$1:$A$16,1,0)),"",VLOOKUP(B419,DATA!$A$1:$A$16,1,0))="",N418+E419,N418-E419),N418))</f>
        <v/>
      </c>
      <c r="O419" s="32" t="str">
        <f>IF(B419="","",IF(J419="CompteEpargne",IF(IF(ISNA(VLOOKUP(B419,DATA!$A$1:$A$16,1,0)),"",VLOOKUP(B419,DATA!$A$1:$A$16,1,0))="",O418+E419,O418-E419),O418))</f>
        <v/>
      </c>
      <c r="P419" s="22" t="str">
        <f t="shared" si="2"/>
        <v/>
      </c>
      <c r="Q419" s="32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4.25" customHeight="1" x14ac:dyDescent="0.2">
      <c r="A420" s="1"/>
      <c r="B420" s="33"/>
      <c r="C420" s="17">
        <f t="shared" si="3"/>
        <v>416</v>
      </c>
      <c r="D420" s="34"/>
      <c r="E420" s="35"/>
      <c r="F420" s="20"/>
      <c r="G420" s="20"/>
      <c r="H420" s="36"/>
      <c r="I420" s="36"/>
      <c r="J420" s="20"/>
      <c r="K420" s="36"/>
      <c r="L420" s="22" t="str">
        <f>IF(B420="","",IF(I420="CompteCourant",IF(IF(ISNA(VLOOKUP(B420,DATA!$A$1:$A$16,1,0)),"",VLOOKUP(B420,DATA!$A$1:$A$16,1,0))="",L419+E420,L419-E420),L419))</f>
        <v/>
      </c>
      <c r="M420" s="23" t="str">
        <f>IF(B420="","",IF(I420="Coffre",IF(IF(ISNA(VLOOKUP(B420,DATA!$A$1:$A$16,1,0)),"",VLOOKUP(B420,DATA!$A$1:$A$16,1,0))="",M419+E420,M419-E420),M419))</f>
        <v/>
      </c>
      <c r="N420" s="23" t="str">
        <f>IF(B420="","",IF(I420="CompteEpargne",IF(IF(ISNA(VLOOKUP(B420,DATA!$A$1:$A$16,1,0)),"",VLOOKUP(B420,DATA!$A$1:$A$16,1,0))="",N419+E420,N419-E420),N419))</f>
        <v/>
      </c>
      <c r="O420" s="32" t="str">
        <f>IF(B420="","",IF(J420="CompteEpargne",IF(IF(ISNA(VLOOKUP(B420,DATA!$A$1:$A$16,1,0)),"",VLOOKUP(B420,DATA!$A$1:$A$16,1,0))="",O419+E420,O419-E420),O419))</f>
        <v/>
      </c>
      <c r="P420" s="22" t="str">
        <f t="shared" si="2"/>
        <v/>
      </c>
      <c r="Q420" s="32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4.25" customHeight="1" x14ac:dyDescent="0.2">
      <c r="A421" s="1"/>
      <c r="B421" s="33"/>
      <c r="C421" s="17">
        <f t="shared" si="3"/>
        <v>417</v>
      </c>
      <c r="D421" s="34"/>
      <c r="E421" s="35"/>
      <c r="F421" s="20"/>
      <c r="G421" s="20"/>
      <c r="H421" s="36"/>
      <c r="I421" s="36"/>
      <c r="J421" s="20"/>
      <c r="K421" s="36"/>
      <c r="L421" s="22" t="str">
        <f>IF(B421="","",IF(I421="CompteCourant",IF(IF(ISNA(VLOOKUP(B421,DATA!$A$1:$A$16,1,0)),"",VLOOKUP(B421,DATA!$A$1:$A$16,1,0))="",L420+E421,L420-E421),L420))</f>
        <v/>
      </c>
      <c r="M421" s="23" t="str">
        <f>IF(B421="","",IF(I421="Coffre",IF(IF(ISNA(VLOOKUP(B421,DATA!$A$1:$A$16,1,0)),"",VLOOKUP(B421,DATA!$A$1:$A$16,1,0))="",M420+E421,M420-E421),M420))</f>
        <v/>
      </c>
      <c r="N421" s="23" t="str">
        <f>IF(B421="","",IF(I421="CompteEpargne",IF(IF(ISNA(VLOOKUP(B421,DATA!$A$1:$A$16,1,0)),"",VLOOKUP(B421,DATA!$A$1:$A$16,1,0))="",N420+E421,N420-E421),N420))</f>
        <v/>
      </c>
      <c r="O421" s="32" t="str">
        <f>IF(B421="","",IF(J421="CompteEpargne",IF(IF(ISNA(VLOOKUP(B421,DATA!$A$1:$A$16,1,0)),"",VLOOKUP(B421,DATA!$A$1:$A$16,1,0))="",O420+E421,O420-E421),O420))</f>
        <v/>
      </c>
      <c r="P421" s="22" t="str">
        <f t="shared" si="2"/>
        <v/>
      </c>
      <c r="Q421" s="32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4.25" customHeight="1" x14ac:dyDescent="0.2">
      <c r="A422" s="1"/>
      <c r="B422" s="33"/>
      <c r="C422" s="17">
        <f t="shared" si="3"/>
        <v>418</v>
      </c>
      <c r="D422" s="34"/>
      <c r="E422" s="35"/>
      <c r="F422" s="20"/>
      <c r="G422" s="20"/>
      <c r="H422" s="36"/>
      <c r="I422" s="36"/>
      <c r="J422" s="20"/>
      <c r="K422" s="36"/>
      <c r="L422" s="22" t="str">
        <f>IF(B422="","",IF(I422="CompteCourant",IF(IF(ISNA(VLOOKUP(B422,DATA!$A$1:$A$16,1,0)),"",VLOOKUP(B422,DATA!$A$1:$A$16,1,0))="",L421+E422,L421-E422),L421))</f>
        <v/>
      </c>
      <c r="M422" s="23" t="str">
        <f>IF(B422="","",IF(I422="Coffre",IF(IF(ISNA(VLOOKUP(B422,DATA!$A$1:$A$16,1,0)),"",VLOOKUP(B422,DATA!$A$1:$A$16,1,0))="",M421+E422,M421-E422),M421))</f>
        <v/>
      </c>
      <c r="N422" s="23" t="str">
        <f>IF(B422="","",IF(I422="CompteEpargne",IF(IF(ISNA(VLOOKUP(B422,DATA!$A$1:$A$16,1,0)),"",VLOOKUP(B422,DATA!$A$1:$A$16,1,0))="",N421+E422,N421-E422),N421))</f>
        <v/>
      </c>
      <c r="O422" s="32" t="str">
        <f>IF(B422="","",IF(J422="CompteEpargne",IF(IF(ISNA(VLOOKUP(B422,DATA!$A$1:$A$16,1,0)),"",VLOOKUP(B422,DATA!$A$1:$A$16,1,0))="",O421+E422,O421-E422),O421))</f>
        <v/>
      </c>
      <c r="P422" s="22" t="str">
        <f t="shared" si="2"/>
        <v/>
      </c>
      <c r="Q422" s="32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4.25" customHeight="1" x14ac:dyDescent="0.2">
      <c r="A423" s="1"/>
      <c r="B423" s="33"/>
      <c r="C423" s="17">
        <f t="shared" si="3"/>
        <v>419</v>
      </c>
      <c r="D423" s="34"/>
      <c r="E423" s="35"/>
      <c r="F423" s="20"/>
      <c r="G423" s="20"/>
      <c r="H423" s="36"/>
      <c r="I423" s="36"/>
      <c r="J423" s="20"/>
      <c r="K423" s="36"/>
      <c r="L423" s="22" t="str">
        <f>IF(B423="","",IF(I423="CompteCourant",IF(IF(ISNA(VLOOKUP(B423,DATA!$A$1:$A$16,1,0)),"",VLOOKUP(B423,DATA!$A$1:$A$16,1,0))="",L422+E423,L422-E423),L422))</f>
        <v/>
      </c>
      <c r="M423" s="23" t="str">
        <f>IF(B423="","",IF(I423="Coffre",IF(IF(ISNA(VLOOKUP(B423,DATA!$A$1:$A$16,1,0)),"",VLOOKUP(B423,DATA!$A$1:$A$16,1,0))="",M422+E423,M422-E423),M422))</f>
        <v/>
      </c>
      <c r="N423" s="23" t="str">
        <f>IF(B423="","",IF(I423="CompteEpargne",IF(IF(ISNA(VLOOKUP(B423,DATA!$A$1:$A$16,1,0)),"",VLOOKUP(B423,DATA!$A$1:$A$16,1,0))="",N422+E423,N422-E423),N422))</f>
        <v/>
      </c>
      <c r="O423" s="32" t="str">
        <f>IF(B423="","",IF(J423="CompteEpargne",IF(IF(ISNA(VLOOKUP(B423,DATA!$A$1:$A$16,1,0)),"",VLOOKUP(B423,DATA!$A$1:$A$16,1,0))="",O422+E423,O422-E423),O422))</f>
        <v/>
      </c>
      <c r="P423" s="22" t="str">
        <f t="shared" si="2"/>
        <v/>
      </c>
      <c r="Q423" s="32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4.25" customHeight="1" x14ac:dyDescent="0.2">
      <c r="A424" s="1"/>
      <c r="B424" s="33"/>
      <c r="C424" s="17">
        <f t="shared" si="3"/>
        <v>420</v>
      </c>
      <c r="D424" s="34"/>
      <c r="E424" s="35"/>
      <c r="F424" s="20"/>
      <c r="G424" s="20"/>
      <c r="H424" s="36"/>
      <c r="I424" s="36"/>
      <c r="J424" s="20"/>
      <c r="K424" s="36"/>
      <c r="L424" s="22" t="str">
        <f>IF(B424="","",IF(I424="CompteCourant",IF(IF(ISNA(VLOOKUP(B424,DATA!$A$1:$A$16,1,0)),"",VLOOKUP(B424,DATA!$A$1:$A$16,1,0))="",L423+E424,L423-E424),L423))</f>
        <v/>
      </c>
      <c r="M424" s="23" t="str">
        <f>IF(B424="","",IF(I424="Coffre",IF(IF(ISNA(VLOOKUP(B424,DATA!$A$1:$A$16,1,0)),"",VLOOKUP(B424,DATA!$A$1:$A$16,1,0))="",M423+E424,M423-E424),M423))</f>
        <v/>
      </c>
      <c r="N424" s="23" t="str">
        <f>IF(B424="","",IF(I424="CompteEpargne",IF(IF(ISNA(VLOOKUP(B424,DATA!$A$1:$A$16,1,0)),"",VLOOKUP(B424,DATA!$A$1:$A$16,1,0))="",N423+E424,N423-E424),N423))</f>
        <v/>
      </c>
      <c r="O424" s="32" t="str">
        <f>IF(B424="","",IF(J424="CompteEpargne",IF(IF(ISNA(VLOOKUP(B424,DATA!$A$1:$A$16,1,0)),"",VLOOKUP(B424,DATA!$A$1:$A$16,1,0))="",O423+E424,O423-E424),O423))</f>
        <v/>
      </c>
      <c r="P424" s="22" t="str">
        <f t="shared" si="2"/>
        <v/>
      </c>
      <c r="Q424" s="32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4.25" customHeight="1" x14ac:dyDescent="0.2">
      <c r="A425" s="1"/>
      <c r="B425" s="33"/>
      <c r="C425" s="17">
        <f t="shared" si="3"/>
        <v>421</v>
      </c>
      <c r="D425" s="34"/>
      <c r="E425" s="35"/>
      <c r="F425" s="20"/>
      <c r="G425" s="20"/>
      <c r="H425" s="36"/>
      <c r="I425" s="36"/>
      <c r="J425" s="20"/>
      <c r="K425" s="36"/>
      <c r="L425" s="22" t="str">
        <f>IF(B425="","",IF(I425="CompteCourant",IF(IF(ISNA(VLOOKUP(B425,DATA!$A$1:$A$16,1,0)),"",VLOOKUP(B425,DATA!$A$1:$A$16,1,0))="",L424+E425,L424-E425),L424))</f>
        <v/>
      </c>
      <c r="M425" s="23" t="str">
        <f>IF(B425="","",IF(I425="Coffre",IF(IF(ISNA(VLOOKUP(B425,DATA!$A$1:$A$16,1,0)),"",VLOOKUP(B425,DATA!$A$1:$A$16,1,0))="",M424+E425,M424-E425),M424))</f>
        <v/>
      </c>
      <c r="N425" s="23" t="str">
        <f>IF(B425="","",IF(I425="CompteEpargne",IF(IF(ISNA(VLOOKUP(B425,DATA!$A$1:$A$16,1,0)),"",VLOOKUP(B425,DATA!$A$1:$A$16,1,0))="",N424+E425,N424-E425),N424))</f>
        <v/>
      </c>
      <c r="O425" s="32" t="str">
        <f>IF(B425="","",IF(J425="CompteEpargne",IF(IF(ISNA(VLOOKUP(B425,DATA!$A$1:$A$16,1,0)),"",VLOOKUP(B425,DATA!$A$1:$A$16,1,0))="",O424+E425,O424-E425),O424))</f>
        <v/>
      </c>
      <c r="P425" s="22" t="str">
        <f t="shared" si="2"/>
        <v/>
      </c>
      <c r="Q425" s="32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4.25" customHeight="1" x14ac:dyDescent="0.2">
      <c r="A426" s="1"/>
      <c r="B426" s="33"/>
      <c r="C426" s="17">
        <f t="shared" si="3"/>
        <v>422</v>
      </c>
      <c r="D426" s="34"/>
      <c r="E426" s="35"/>
      <c r="F426" s="20"/>
      <c r="G426" s="20"/>
      <c r="H426" s="36"/>
      <c r="I426" s="36"/>
      <c r="J426" s="20"/>
      <c r="K426" s="36"/>
      <c r="L426" s="22" t="str">
        <f>IF(B426="","",IF(I426="CompteCourant",IF(IF(ISNA(VLOOKUP(B426,DATA!$A$1:$A$16,1,0)),"",VLOOKUP(B426,DATA!$A$1:$A$16,1,0))="",L425+E426,L425-E426),L425))</f>
        <v/>
      </c>
      <c r="M426" s="23" t="str">
        <f>IF(B426="","",IF(I426="Coffre",IF(IF(ISNA(VLOOKUP(B426,DATA!$A$1:$A$16,1,0)),"",VLOOKUP(B426,DATA!$A$1:$A$16,1,0))="",M425+E426,M425-E426),M425))</f>
        <v/>
      </c>
      <c r="N426" s="23" t="str">
        <f>IF(B426="","",IF(I426="CompteEpargne",IF(IF(ISNA(VLOOKUP(B426,DATA!$A$1:$A$16,1,0)),"",VLOOKUP(B426,DATA!$A$1:$A$16,1,0))="",N425+E426,N425-E426),N425))</f>
        <v/>
      </c>
      <c r="O426" s="32" t="str">
        <f>IF(B426="","",IF(J426="CompteEpargne",IF(IF(ISNA(VLOOKUP(B426,DATA!$A$1:$A$16,1,0)),"",VLOOKUP(B426,DATA!$A$1:$A$16,1,0))="",O425+E426,O425-E426),O425))</f>
        <v/>
      </c>
      <c r="P426" s="22" t="str">
        <f t="shared" si="2"/>
        <v/>
      </c>
      <c r="Q426" s="32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4.25" customHeight="1" x14ac:dyDescent="0.2">
      <c r="A427" s="1"/>
      <c r="B427" s="33"/>
      <c r="C427" s="17">
        <f t="shared" si="3"/>
        <v>423</v>
      </c>
      <c r="D427" s="34"/>
      <c r="E427" s="35"/>
      <c r="F427" s="20"/>
      <c r="G427" s="20"/>
      <c r="H427" s="36"/>
      <c r="I427" s="36"/>
      <c r="J427" s="20"/>
      <c r="K427" s="36"/>
      <c r="L427" s="22" t="str">
        <f>IF(B427="","",IF(I427="CompteCourant",IF(IF(ISNA(VLOOKUP(B427,DATA!$A$1:$A$16,1,0)),"",VLOOKUP(B427,DATA!$A$1:$A$16,1,0))="",L426+E427,L426-E427),L426))</f>
        <v/>
      </c>
      <c r="M427" s="23" t="str">
        <f>IF(B427="","",IF(I427="Coffre",IF(IF(ISNA(VLOOKUP(B427,DATA!$A$1:$A$16,1,0)),"",VLOOKUP(B427,DATA!$A$1:$A$16,1,0))="",M426+E427,M426-E427),M426))</f>
        <v/>
      </c>
      <c r="N427" s="23" t="str">
        <f>IF(B427="","",IF(I427="CompteEpargne",IF(IF(ISNA(VLOOKUP(B427,DATA!$A$1:$A$16,1,0)),"",VLOOKUP(B427,DATA!$A$1:$A$16,1,0))="",N426+E427,N426-E427),N426))</f>
        <v/>
      </c>
      <c r="O427" s="32" t="str">
        <f>IF(B427="","",IF(J427="CompteEpargne",IF(IF(ISNA(VLOOKUP(B427,DATA!$A$1:$A$16,1,0)),"",VLOOKUP(B427,DATA!$A$1:$A$16,1,0))="",O426+E427,O426-E427),O426))</f>
        <v/>
      </c>
      <c r="P427" s="22" t="str">
        <f t="shared" si="2"/>
        <v/>
      </c>
      <c r="Q427" s="32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4.25" customHeight="1" x14ac:dyDescent="0.2">
      <c r="A428" s="1"/>
      <c r="B428" s="33"/>
      <c r="C428" s="17">
        <f t="shared" si="3"/>
        <v>424</v>
      </c>
      <c r="D428" s="34"/>
      <c r="E428" s="35"/>
      <c r="F428" s="20"/>
      <c r="G428" s="20"/>
      <c r="H428" s="36"/>
      <c r="I428" s="36"/>
      <c r="J428" s="20"/>
      <c r="K428" s="36"/>
      <c r="L428" s="22" t="str">
        <f>IF(B428="","",IF(I428="CompteCourant",IF(IF(ISNA(VLOOKUP(B428,DATA!$A$1:$A$16,1,0)),"",VLOOKUP(B428,DATA!$A$1:$A$16,1,0))="",L427+E428,L427-E428),L427))</f>
        <v/>
      </c>
      <c r="M428" s="23" t="str">
        <f>IF(B428="","",IF(I428="Coffre",IF(IF(ISNA(VLOOKUP(B428,DATA!$A$1:$A$16,1,0)),"",VLOOKUP(B428,DATA!$A$1:$A$16,1,0))="",M427+E428,M427-E428),M427))</f>
        <v/>
      </c>
      <c r="N428" s="23" t="str">
        <f>IF(B428="","",IF(I428="CompteEpargne",IF(IF(ISNA(VLOOKUP(B428,DATA!$A$1:$A$16,1,0)),"",VLOOKUP(B428,DATA!$A$1:$A$16,1,0))="",N427+E428,N427-E428),N427))</f>
        <v/>
      </c>
      <c r="O428" s="32" t="str">
        <f>IF(B428="","",IF(J428="CompteEpargne",IF(IF(ISNA(VLOOKUP(B428,DATA!$A$1:$A$16,1,0)),"",VLOOKUP(B428,DATA!$A$1:$A$16,1,0))="",O427+E428,O427-E428),O427))</f>
        <v/>
      </c>
      <c r="P428" s="22" t="str">
        <f t="shared" si="2"/>
        <v/>
      </c>
      <c r="Q428" s="32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4.25" customHeight="1" x14ac:dyDescent="0.2">
      <c r="A429" s="1"/>
      <c r="B429" s="33"/>
      <c r="C429" s="17">
        <f t="shared" si="3"/>
        <v>425</v>
      </c>
      <c r="D429" s="34"/>
      <c r="E429" s="35"/>
      <c r="F429" s="20"/>
      <c r="G429" s="20"/>
      <c r="H429" s="36"/>
      <c r="I429" s="36"/>
      <c r="J429" s="20"/>
      <c r="K429" s="36"/>
      <c r="L429" s="22" t="str">
        <f>IF(B429="","",IF(I429="CompteCourant",IF(IF(ISNA(VLOOKUP(B429,DATA!$A$1:$A$16,1,0)),"",VLOOKUP(B429,DATA!$A$1:$A$16,1,0))="",L428+E429,L428-E429),L428))</f>
        <v/>
      </c>
      <c r="M429" s="23" t="str">
        <f>IF(B429="","",IF(I429="Coffre",IF(IF(ISNA(VLOOKUP(B429,DATA!$A$1:$A$16,1,0)),"",VLOOKUP(B429,DATA!$A$1:$A$16,1,0))="",M428+E429,M428-E429),M428))</f>
        <v/>
      </c>
      <c r="N429" s="23" t="str">
        <f>IF(B429="","",IF(I429="CompteEpargne",IF(IF(ISNA(VLOOKUP(B429,DATA!$A$1:$A$16,1,0)),"",VLOOKUP(B429,DATA!$A$1:$A$16,1,0))="",N428+E429,N428-E429),N428))</f>
        <v/>
      </c>
      <c r="O429" s="32" t="str">
        <f>IF(B429="","",IF(J429="CompteEpargne",IF(IF(ISNA(VLOOKUP(B429,DATA!$A$1:$A$16,1,0)),"",VLOOKUP(B429,DATA!$A$1:$A$16,1,0))="",O428+E429,O428-E429),O428))</f>
        <v/>
      </c>
      <c r="P429" s="22" t="str">
        <f t="shared" si="2"/>
        <v/>
      </c>
      <c r="Q429" s="32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4.25" customHeight="1" x14ac:dyDescent="0.2">
      <c r="A430" s="1"/>
      <c r="B430" s="33"/>
      <c r="C430" s="17">
        <f t="shared" si="3"/>
        <v>426</v>
      </c>
      <c r="D430" s="34"/>
      <c r="E430" s="35"/>
      <c r="F430" s="20"/>
      <c r="G430" s="20"/>
      <c r="H430" s="36"/>
      <c r="I430" s="36"/>
      <c r="J430" s="20"/>
      <c r="K430" s="36"/>
      <c r="L430" s="22" t="str">
        <f>IF(B430="","",IF(I430="CompteCourant",IF(IF(ISNA(VLOOKUP(B430,DATA!$A$1:$A$16,1,0)),"",VLOOKUP(B430,DATA!$A$1:$A$16,1,0))="",L429+E430,L429-E430),L429))</f>
        <v/>
      </c>
      <c r="M430" s="23" t="str">
        <f>IF(B430="","",IF(I430="Coffre",IF(IF(ISNA(VLOOKUP(B430,DATA!$A$1:$A$16,1,0)),"",VLOOKUP(B430,DATA!$A$1:$A$16,1,0))="",M429+E430,M429-E430),M429))</f>
        <v/>
      </c>
      <c r="N430" s="23" t="str">
        <f>IF(B430="","",IF(I430="CompteEpargne",IF(IF(ISNA(VLOOKUP(B430,DATA!$A$1:$A$16,1,0)),"",VLOOKUP(B430,DATA!$A$1:$A$16,1,0))="",N429+E430,N429-E430),N429))</f>
        <v/>
      </c>
      <c r="O430" s="32" t="str">
        <f>IF(B430="","",IF(J430="CompteEpargne",IF(IF(ISNA(VLOOKUP(B430,DATA!$A$1:$A$16,1,0)),"",VLOOKUP(B430,DATA!$A$1:$A$16,1,0))="",O429+E430,O429-E430),O429))</f>
        <v/>
      </c>
      <c r="P430" s="22" t="str">
        <f t="shared" si="2"/>
        <v/>
      </c>
      <c r="Q430" s="32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4.25" customHeight="1" x14ac:dyDescent="0.2">
      <c r="A431" s="1"/>
      <c r="B431" s="33"/>
      <c r="C431" s="17">
        <f t="shared" si="3"/>
        <v>427</v>
      </c>
      <c r="D431" s="34"/>
      <c r="E431" s="35"/>
      <c r="F431" s="20"/>
      <c r="G431" s="20"/>
      <c r="H431" s="36"/>
      <c r="I431" s="36"/>
      <c r="J431" s="20"/>
      <c r="K431" s="36"/>
      <c r="L431" s="22" t="str">
        <f>IF(B431="","",IF(I431="CompteCourant",IF(IF(ISNA(VLOOKUP(B431,DATA!$A$1:$A$16,1,0)),"",VLOOKUP(B431,DATA!$A$1:$A$16,1,0))="",L430+E431,L430-E431),L430))</f>
        <v/>
      </c>
      <c r="M431" s="23" t="str">
        <f>IF(B431="","",IF(I431="Coffre",IF(IF(ISNA(VLOOKUP(B431,DATA!$A$1:$A$16,1,0)),"",VLOOKUP(B431,DATA!$A$1:$A$16,1,0))="",M430+E431,M430-E431),M430))</f>
        <v/>
      </c>
      <c r="N431" s="23" t="str">
        <f>IF(B431="","",IF(I431="CompteEpargne",IF(IF(ISNA(VLOOKUP(B431,DATA!$A$1:$A$16,1,0)),"",VLOOKUP(B431,DATA!$A$1:$A$16,1,0))="",N430+E431,N430-E431),N430))</f>
        <v/>
      </c>
      <c r="O431" s="32" t="str">
        <f>IF(B431="","",IF(J431="CompteEpargne",IF(IF(ISNA(VLOOKUP(B431,DATA!$A$1:$A$16,1,0)),"",VLOOKUP(B431,DATA!$A$1:$A$16,1,0))="",O430+E431,O430-E431),O430))</f>
        <v/>
      </c>
      <c r="P431" s="22" t="str">
        <f t="shared" si="2"/>
        <v/>
      </c>
      <c r="Q431" s="32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4.25" customHeight="1" x14ac:dyDescent="0.2">
      <c r="A432" s="1"/>
      <c r="B432" s="33"/>
      <c r="C432" s="17">
        <f t="shared" si="3"/>
        <v>428</v>
      </c>
      <c r="D432" s="34"/>
      <c r="E432" s="35"/>
      <c r="F432" s="20"/>
      <c r="G432" s="20"/>
      <c r="H432" s="36"/>
      <c r="I432" s="36"/>
      <c r="J432" s="20"/>
      <c r="K432" s="36"/>
      <c r="L432" s="22" t="str">
        <f>IF(B432="","",IF(I432="CompteCourant",IF(IF(ISNA(VLOOKUP(B432,DATA!$A$1:$A$16,1,0)),"",VLOOKUP(B432,DATA!$A$1:$A$16,1,0))="",L431+E432,L431-E432),L431))</f>
        <v/>
      </c>
      <c r="M432" s="23" t="str">
        <f>IF(B432="","",IF(I432="Coffre",IF(IF(ISNA(VLOOKUP(B432,DATA!$A$1:$A$16,1,0)),"",VLOOKUP(B432,DATA!$A$1:$A$16,1,0))="",M431+E432,M431-E432),M431))</f>
        <v/>
      </c>
      <c r="N432" s="23" t="str">
        <f>IF(B432="","",IF(I432="CompteEpargne",IF(IF(ISNA(VLOOKUP(B432,DATA!$A$1:$A$16,1,0)),"",VLOOKUP(B432,DATA!$A$1:$A$16,1,0))="",N431+E432,N431-E432),N431))</f>
        <v/>
      </c>
      <c r="O432" s="32" t="str">
        <f>IF(B432="","",IF(J432="CompteEpargne",IF(IF(ISNA(VLOOKUP(B432,DATA!$A$1:$A$16,1,0)),"",VLOOKUP(B432,DATA!$A$1:$A$16,1,0))="",O431+E432,O431-E432),O431))</f>
        <v/>
      </c>
      <c r="P432" s="22" t="str">
        <f t="shared" si="2"/>
        <v/>
      </c>
      <c r="Q432" s="32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4.25" customHeight="1" x14ac:dyDescent="0.2">
      <c r="A433" s="1"/>
      <c r="B433" s="33"/>
      <c r="C433" s="17">
        <f t="shared" si="3"/>
        <v>429</v>
      </c>
      <c r="D433" s="34"/>
      <c r="E433" s="35"/>
      <c r="F433" s="20"/>
      <c r="G433" s="20"/>
      <c r="H433" s="36"/>
      <c r="I433" s="36"/>
      <c r="J433" s="20"/>
      <c r="K433" s="36"/>
      <c r="L433" s="22" t="str">
        <f>IF(B433="","",IF(I433="CompteCourant",IF(IF(ISNA(VLOOKUP(B433,DATA!$A$1:$A$16,1,0)),"",VLOOKUP(B433,DATA!$A$1:$A$16,1,0))="",L432+E433,L432-E433),L432))</f>
        <v/>
      </c>
      <c r="M433" s="23" t="str">
        <f>IF(B433="","",IF(I433="Coffre",IF(IF(ISNA(VLOOKUP(B433,DATA!$A$1:$A$16,1,0)),"",VLOOKUP(B433,DATA!$A$1:$A$16,1,0))="",M432+E433,M432-E433),M432))</f>
        <v/>
      </c>
      <c r="N433" s="23" t="str">
        <f>IF(B433="","",IF(I433="CompteEpargne",IF(IF(ISNA(VLOOKUP(B433,DATA!$A$1:$A$16,1,0)),"",VLOOKUP(B433,DATA!$A$1:$A$16,1,0))="",N432+E433,N432-E433),N432))</f>
        <v/>
      </c>
      <c r="O433" s="32" t="str">
        <f>IF(B433="","",IF(J433="CompteEpargne",IF(IF(ISNA(VLOOKUP(B433,DATA!$A$1:$A$16,1,0)),"",VLOOKUP(B433,DATA!$A$1:$A$16,1,0))="",O432+E433,O432-E433),O432))</f>
        <v/>
      </c>
      <c r="P433" s="22" t="str">
        <f t="shared" si="2"/>
        <v/>
      </c>
      <c r="Q433" s="32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4.25" customHeight="1" x14ac:dyDescent="0.2">
      <c r="A434" s="1"/>
      <c r="B434" s="33"/>
      <c r="C434" s="17">
        <f t="shared" si="3"/>
        <v>430</v>
      </c>
      <c r="D434" s="34"/>
      <c r="E434" s="35"/>
      <c r="F434" s="20"/>
      <c r="G434" s="20"/>
      <c r="H434" s="36"/>
      <c r="I434" s="36"/>
      <c r="J434" s="20"/>
      <c r="K434" s="36"/>
      <c r="L434" s="22" t="str">
        <f>IF(B434="","",IF(I434="CompteCourant",IF(IF(ISNA(VLOOKUP(B434,DATA!$A$1:$A$16,1,0)),"",VLOOKUP(B434,DATA!$A$1:$A$16,1,0))="",L433+E434,L433-E434),L433))</f>
        <v/>
      </c>
      <c r="M434" s="23" t="str">
        <f>IF(B434="","",IF(I434="Coffre",IF(IF(ISNA(VLOOKUP(B434,DATA!$A$1:$A$16,1,0)),"",VLOOKUP(B434,DATA!$A$1:$A$16,1,0))="",M433+E434,M433-E434),M433))</f>
        <v/>
      </c>
      <c r="N434" s="23" t="str">
        <f>IF(B434="","",IF(I434="CompteEpargne",IF(IF(ISNA(VLOOKUP(B434,DATA!$A$1:$A$16,1,0)),"",VLOOKUP(B434,DATA!$A$1:$A$16,1,0))="",N433+E434,N433-E434),N433))</f>
        <v/>
      </c>
      <c r="O434" s="32" t="str">
        <f>IF(B434="","",IF(J434="CompteEpargne",IF(IF(ISNA(VLOOKUP(B434,DATA!$A$1:$A$16,1,0)),"",VLOOKUP(B434,DATA!$A$1:$A$16,1,0))="",O433+E434,O433-E434),O433))</f>
        <v/>
      </c>
      <c r="P434" s="22" t="str">
        <f t="shared" si="2"/>
        <v/>
      </c>
      <c r="Q434" s="32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4.25" customHeight="1" x14ac:dyDescent="0.2">
      <c r="A435" s="1"/>
      <c r="B435" s="33"/>
      <c r="C435" s="17">
        <f t="shared" si="3"/>
        <v>431</v>
      </c>
      <c r="D435" s="34"/>
      <c r="E435" s="35"/>
      <c r="F435" s="20"/>
      <c r="G435" s="20"/>
      <c r="H435" s="36"/>
      <c r="I435" s="36"/>
      <c r="J435" s="20"/>
      <c r="K435" s="36"/>
      <c r="L435" s="22" t="str">
        <f>IF(B435="","",IF(I435="CompteCourant",IF(IF(ISNA(VLOOKUP(B435,DATA!$A$1:$A$16,1,0)),"",VLOOKUP(B435,DATA!$A$1:$A$16,1,0))="",L434+E435,L434-E435),L434))</f>
        <v/>
      </c>
      <c r="M435" s="23" t="str">
        <f>IF(B435="","",IF(I435="Coffre",IF(IF(ISNA(VLOOKUP(B435,DATA!$A$1:$A$16,1,0)),"",VLOOKUP(B435,DATA!$A$1:$A$16,1,0))="",M434+E435,M434-E435),M434))</f>
        <v/>
      </c>
      <c r="N435" s="23" t="str">
        <f>IF(B435="","",IF(I435="CompteEpargne",IF(IF(ISNA(VLOOKUP(B435,DATA!$A$1:$A$16,1,0)),"",VLOOKUP(B435,DATA!$A$1:$A$16,1,0))="",N434+E435,N434-E435),N434))</f>
        <v/>
      </c>
      <c r="O435" s="32" t="str">
        <f>IF(B435="","",IF(J435="CompteEpargne",IF(IF(ISNA(VLOOKUP(B435,DATA!$A$1:$A$16,1,0)),"",VLOOKUP(B435,DATA!$A$1:$A$16,1,0))="",O434+E435,O434-E435),O434))</f>
        <v/>
      </c>
      <c r="P435" s="22" t="str">
        <f t="shared" si="2"/>
        <v/>
      </c>
      <c r="Q435" s="32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4.25" customHeight="1" x14ac:dyDescent="0.2">
      <c r="A436" s="1"/>
      <c r="B436" s="33"/>
      <c r="C436" s="17">
        <f t="shared" si="3"/>
        <v>432</v>
      </c>
      <c r="D436" s="34"/>
      <c r="E436" s="35"/>
      <c r="F436" s="20"/>
      <c r="G436" s="20"/>
      <c r="H436" s="36"/>
      <c r="I436" s="36"/>
      <c r="J436" s="20"/>
      <c r="K436" s="36"/>
      <c r="L436" s="22" t="str">
        <f>IF(B436="","",IF(I436="CompteCourant",IF(IF(ISNA(VLOOKUP(B436,DATA!$A$1:$A$16,1,0)),"",VLOOKUP(B436,DATA!$A$1:$A$16,1,0))="",L435+E436,L435-E436),L435))</f>
        <v/>
      </c>
      <c r="M436" s="23" t="str">
        <f>IF(B436="","",IF(I436="Coffre",IF(IF(ISNA(VLOOKUP(B436,DATA!$A$1:$A$16,1,0)),"",VLOOKUP(B436,DATA!$A$1:$A$16,1,0))="",M435+E436,M435-E436),M435))</f>
        <v/>
      </c>
      <c r="N436" s="23" t="str">
        <f>IF(B436="","",IF(I436="CompteEpargne",IF(IF(ISNA(VLOOKUP(B436,DATA!$A$1:$A$16,1,0)),"",VLOOKUP(B436,DATA!$A$1:$A$16,1,0))="",N435+E436,N435-E436),N435))</f>
        <v/>
      </c>
      <c r="O436" s="32" t="str">
        <f>IF(B436="","",IF(J436="CompteEpargne",IF(IF(ISNA(VLOOKUP(B436,DATA!$A$1:$A$16,1,0)),"",VLOOKUP(B436,DATA!$A$1:$A$16,1,0))="",O435+E436,O435-E436),O435))</f>
        <v/>
      </c>
      <c r="P436" s="22" t="str">
        <f t="shared" si="2"/>
        <v/>
      </c>
      <c r="Q436" s="32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4.25" customHeight="1" x14ac:dyDescent="0.2">
      <c r="A437" s="1"/>
      <c r="B437" s="33"/>
      <c r="C437" s="17">
        <f t="shared" si="3"/>
        <v>433</v>
      </c>
      <c r="D437" s="34"/>
      <c r="E437" s="35"/>
      <c r="F437" s="20"/>
      <c r="G437" s="20"/>
      <c r="H437" s="36"/>
      <c r="I437" s="36"/>
      <c r="J437" s="20"/>
      <c r="K437" s="36"/>
      <c r="L437" s="22" t="str">
        <f>IF(B437="","",IF(I437="CompteCourant",IF(IF(ISNA(VLOOKUP(B437,DATA!$A$1:$A$16,1,0)),"",VLOOKUP(B437,DATA!$A$1:$A$16,1,0))="",L436+E437,L436-E437),L436))</f>
        <v/>
      </c>
      <c r="M437" s="23" t="str">
        <f>IF(B437="","",IF(I437="Coffre",IF(IF(ISNA(VLOOKUP(B437,DATA!$A$1:$A$16,1,0)),"",VLOOKUP(B437,DATA!$A$1:$A$16,1,0))="",M436+E437,M436-E437),M436))</f>
        <v/>
      </c>
      <c r="N437" s="23" t="str">
        <f>IF(B437="","",IF(I437="CompteEpargne",IF(IF(ISNA(VLOOKUP(B437,DATA!$A$1:$A$16,1,0)),"",VLOOKUP(B437,DATA!$A$1:$A$16,1,0))="",N436+E437,N436-E437),N436))</f>
        <v/>
      </c>
      <c r="O437" s="32" t="str">
        <f>IF(B437="","",IF(J437="CompteEpargne",IF(IF(ISNA(VLOOKUP(B437,DATA!$A$1:$A$16,1,0)),"",VLOOKUP(B437,DATA!$A$1:$A$16,1,0))="",O436+E437,O436-E437),O436))</f>
        <v/>
      </c>
      <c r="P437" s="22" t="str">
        <f t="shared" si="2"/>
        <v/>
      </c>
      <c r="Q437" s="32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4.25" customHeight="1" x14ac:dyDescent="0.2">
      <c r="A438" s="1"/>
      <c r="B438" s="33"/>
      <c r="C438" s="17">
        <f t="shared" si="3"/>
        <v>434</v>
      </c>
      <c r="D438" s="34"/>
      <c r="E438" s="35"/>
      <c r="F438" s="20"/>
      <c r="G438" s="20"/>
      <c r="H438" s="36"/>
      <c r="I438" s="36"/>
      <c r="J438" s="20"/>
      <c r="K438" s="36"/>
      <c r="L438" s="22" t="str">
        <f>IF(B438="","",IF(I438="CompteCourant",IF(IF(ISNA(VLOOKUP(B438,DATA!$A$1:$A$16,1,0)),"",VLOOKUP(B438,DATA!$A$1:$A$16,1,0))="",L437+E438,L437-E438),L437))</f>
        <v/>
      </c>
      <c r="M438" s="23" t="str">
        <f>IF(B438="","",IF(I438="Coffre",IF(IF(ISNA(VLOOKUP(B438,DATA!$A$1:$A$16,1,0)),"",VLOOKUP(B438,DATA!$A$1:$A$16,1,0))="",M437+E438,M437-E438),M437))</f>
        <v/>
      </c>
      <c r="N438" s="23" t="str">
        <f>IF(B438="","",IF(I438="CompteEpargne",IF(IF(ISNA(VLOOKUP(B438,DATA!$A$1:$A$16,1,0)),"",VLOOKUP(B438,DATA!$A$1:$A$16,1,0))="",N437+E438,N437-E438),N437))</f>
        <v/>
      </c>
      <c r="O438" s="32" t="str">
        <f>IF(B438="","",IF(J438="CompteEpargne",IF(IF(ISNA(VLOOKUP(B438,DATA!$A$1:$A$16,1,0)),"",VLOOKUP(B438,DATA!$A$1:$A$16,1,0))="",O437+E438,O437-E438),O437))</f>
        <v/>
      </c>
      <c r="P438" s="22" t="str">
        <f t="shared" si="2"/>
        <v/>
      </c>
      <c r="Q438" s="32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4.25" customHeight="1" x14ac:dyDescent="0.2">
      <c r="A439" s="1"/>
      <c r="B439" s="33"/>
      <c r="C439" s="17">
        <f t="shared" si="3"/>
        <v>435</v>
      </c>
      <c r="D439" s="34"/>
      <c r="E439" s="35"/>
      <c r="F439" s="20"/>
      <c r="G439" s="20"/>
      <c r="H439" s="36"/>
      <c r="I439" s="36"/>
      <c r="J439" s="20"/>
      <c r="K439" s="36"/>
      <c r="L439" s="22" t="str">
        <f>IF(B439="","",IF(I439="CompteCourant",IF(IF(ISNA(VLOOKUP(B439,DATA!$A$1:$A$16,1,0)),"",VLOOKUP(B439,DATA!$A$1:$A$16,1,0))="",L438+E439,L438-E439),L438))</f>
        <v/>
      </c>
      <c r="M439" s="23" t="str">
        <f>IF(B439="","",IF(I439="Coffre",IF(IF(ISNA(VLOOKUP(B439,DATA!$A$1:$A$16,1,0)),"",VLOOKUP(B439,DATA!$A$1:$A$16,1,0))="",M438+E439,M438-E439),M438))</f>
        <v/>
      </c>
      <c r="N439" s="23" t="str">
        <f>IF(B439="","",IF(I439="CompteEpargne",IF(IF(ISNA(VLOOKUP(B439,DATA!$A$1:$A$16,1,0)),"",VLOOKUP(B439,DATA!$A$1:$A$16,1,0))="",N438+E439,N438-E439),N438))</f>
        <v/>
      </c>
      <c r="O439" s="32" t="str">
        <f>IF(B439="","",IF(J439="CompteEpargne",IF(IF(ISNA(VLOOKUP(B439,DATA!$A$1:$A$16,1,0)),"",VLOOKUP(B439,DATA!$A$1:$A$16,1,0))="",O438+E439,O438-E439),O438))</f>
        <v/>
      </c>
      <c r="P439" s="22" t="str">
        <f t="shared" si="2"/>
        <v/>
      </c>
      <c r="Q439" s="32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4.25" customHeight="1" x14ac:dyDescent="0.2">
      <c r="A440" s="1"/>
      <c r="B440" s="33"/>
      <c r="C440" s="17">
        <f t="shared" si="3"/>
        <v>436</v>
      </c>
      <c r="D440" s="34"/>
      <c r="E440" s="35"/>
      <c r="F440" s="20"/>
      <c r="G440" s="20"/>
      <c r="H440" s="36"/>
      <c r="I440" s="36"/>
      <c r="J440" s="20"/>
      <c r="K440" s="36"/>
      <c r="L440" s="22" t="str">
        <f>IF(B440="","",IF(I440="CompteCourant",IF(IF(ISNA(VLOOKUP(B440,DATA!$A$1:$A$16,1,0)),"",VLOOKUP(B440,DATA!$A$1:$A$16,1,0))="",L439+E440,L439-E440),L439))</f>
        <v/>
      </c>
      <c r="M440" s="23" t="str">
        <f>IF(B440="","",IF(I440="Coffre",IF(IF(ISNA(VLOOKUP(B440,DATA!$A$1:$A$16,1,0)),"",VLOOKUP(B440,DATA!$A$1:$A$16,1,0))="",M439+E440,M439-E440),M439))</f>
        <v/>
      </c>
      <c r="N440" s="23" t="str">
        <f>IF(B440="","",IF(I440="CompteEpargne",IF(IF(ISNA(VLOOKUP(B440,DATA!$A$1:$A$16,1,0)),"",VLOOKUP(B440,DATA!$A$1:$A$16,1,0))="",N439+E440,N439-E440),N439))</f>
        <v/>
      </c>
      <c r="O440" s="32" t="str">
        <f>IF(B440="","",IF(J440="CompteEpargne",IF(IF(ISNA(VLOOKUP(B440,DATA!$A$1:$A$16,1,0)),"",VLOOKUP(B440,DATA!$A$1:$A$16,1,0))="",O439+E440,O439-E440),O439))</f>
        <v/>
      </c>
      <c r="P440" s="22" t="str">
        <f t="shared" si="2"/>
        <v/>
      </c>
      <c r="Q440" s="32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4.25" customHeight="1" x14ac:dyDescent="0.2">
      <c r="A441" s="1"/>
      <c r="B441" s="33"/>
      <c r="C441" s="17">
        <f t="shared" si="3"/>
        <v>437</v>
      </c>
      <c r="D441" s="34"/>
      <c r="E441" s="35"/>
      <c r="F441" s="20"/>
      <c r="G441" s="20"/>
      <c r="H441" s="36"/>
      <c r="I441" s="36"/>
      <c r="J441" s="20"/>
      <c r="K441" s="36"/>
      <c r="L441" s="22" t="str">
        <f>IF(B441="","",IF(I441="CompteCourant",IF(IF(ISNA(VLOOKUP(B441,DATA!$A$1:$A$16,1,0)),"",VLOOKUP(B441,DATA!$A$1:$A$16,1,0))="",L440+E441,L440-E441),L440))</f>
        <v/>
      </c>
      <c r="M441" s="23" t="str">
        <f>IF(B441="","",IF(I441="Coffre",IF(IF(ISNA(VLOOKUP(B441,DATA!$A$1:$A$16,1,0)),"",VLOOKUP(B441,DATA!$A$1:$A$16,1,0))="",M440+E441,M440-E441),M440))</f>
        <v/>
      </c>
      <c r="N441" s="23" t="str">
        <f>IF(B441="","",IF(I441="CompteEpargne",IF(IF(ISNA(VLOOKUP(B441,DATA!$A$1:$A$16,1,0)),"",VLOOKUP(B441,DATA!$A$1:$A$16,1,0))="",N440+E441,N440-E441),N440))</f>
        <v/>
      </c>
      <c r="O441" s="32" t="str">
        <f>IF(B441="","",IF(J441="CompteEpargne",IF(IF(ISNA(VLOOKUP(B441,DATA!$A$1:$A$16,1,0)),"",VLOOKUP(B441,DATA!$A$1:$A$16,1,0))="",O440+E441,O440-E441),O440))</f>
        <v/>
      </c>
      <c r="P441" s="22" t="str">
        <f t="shared" si="2"/>
        <v/>
      </c>
      <c r="Q441" s="32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4.25" customHeight="1" x14ac:dyDescent="0.2">
      <c r="A442" s="1"/>
      <c r="B442" s="33"/>
      <c r="C442" s="17">
        <f t="shared" si="3"/>
        <v>438</v>
      </c>
      <c r="D442" s="34"/>
      <c r="E442" s="35"/>
      <c r="F442" s="20"/>
      <c r="G442" s="20"/>
      <c r="H442" s="36"/>
      <c r="I442" s="36"/>
      <c r="J442" s="20"/>
      <c r="K442" s="36"/>
      <c r="L442" s="22" t="str">
        <f>IF(B442="","",IF(I442="CompteCourant",IF(IF(ISNA(VLOOKUP(B442,DATA!$A$1:$A$16,1,0)),"",VLOOKUP(B442,DATA!$A$1:$A$16,1,0))="",L441+E442,L441-E442),L441))</f>
        <v/>
      </c>
      <c r="M442" s="23" t="str">
        <f>IF(B442="","",IF(I442="Coffre",IF(IF(ISNA(VLOOKUP(B442,DATA!$A$1:$A$16,1,0)),"",VLOOKUP(B442,DATA!$A$1:$A$16,1,0))="",M441+E442,M441-E442),M441))</f>
        <v/>
      </c>
      <c r="N442" s="23" t="str">
        <f>IF(B442="","",IF(I442="CompteEpargne",IF(IF(ISNA(VLOOKUP(B442,DATA!$A$1:$A$16,1,0)),"",VLOOKUP(B442,DATA!$A$1:$A$16,1,0))="",N441+E442,N441-E442),N441))</f>
        <v/>
      </c>
      <c r="O442" s="32" t="str">
        <f>IF(B442="","",IF(J442="CompteEpargne",IF(IF(ISNA(VLOOKUP(B442,DATA!$A$1:$A$16,1,0)),"",VLOOKUP(B442,DATA!$A$1:$A$16,1,0))="",O441+E442,O441-E442),O441))</f>
        <v/>
      </c>
      <c r="P442" s="22" t="str">
        <f t="shared" si="2"/>
        <v/>
      </c>
      <c r="Q442" s="32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4.25" customHeight="1" x14ac:dyDescent="0.2">
      <c r="A443" s="1"/>
      <c r="B443" s="33"/>
      <c r="C443" s="17">
        <f t="shared" si="3"/>
        <v>439</v>
      </c>
      <c r="D443" s="34"/>
      <c r="E443" s="35"/>
      <c r="F443" s="20"/>
      <c r="G443" s="20"/>
      <c r="H443" s="36"/>
      <c r="I443" s="36"/>
      <c r="J443" s="20"/>
      <c r="K443" s="36"/>
      <c r="L443" s="22" t="str">
        <f>IF(B443="","",IF(I443="CompteCourant",IF(IF(ISNA(VLOOKUP(B443,DATA!$A$1:$A$16,1,0)),"",VLOOKUP(B443,DATA!$A$1:$A$16,1,0))="",L442+E443,L442-E443),L442))</f>
        <v/>
      </c>
      <c r="M443" s="23" t="str">
        <f>IF(B443="","",IF(I443="Coffre",IF(IF(ISNA(VLOOKUP(B443,DATA!$A$1:$A$16,1,0)),"",VLOOKUP(B443,DATA!$A$1:$A$16,1,0))="",M442+E443,M442-E443),M442))</f>
        <v/>
      </c>
      <c r="N443" s="23" t="str">
        <f>IF(B443="","",IF(I443="CompteEpargne",IF(IF(ISNA(VLOOKUP(B443,DATA!$A$1:$A$16,1,0)),"",VLOOKUP(B443,DATA!$A$1:$A$16,1,0))="",N442+E443,N442-E443),N442))</f>
        <v/>
      </c>
      <c r="O443" s="32" t="str">
        <f>IF(B443="","",IF(J443="CompteEpargne",IF(IF(ISNA(VLOOKUP(B443,DATA!$A$1:$A$16,1,0)),"",VLOOKUP(B443,DATA!$A$1:$A$16,1,0))="",O442+E443,O442-E443),O442))</f>
        <v/>
      </c>
      <c r="P443" s="22" t="str">
        <f t="shared" si="2"/>
        <v/>
      </c>
      <c r="Q443" s="32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4.25" customHeight="1" x14ac:dyDescent="0.2">
      <c r="A444" s="1"/>
      <c r="B444" s="33"/>
      <c r="C444" s="17">
        <f t="shared" si="3"/>
        <v>440</v>
      </c>
      <c r="D444" s="34"/>
      <c r="E444" s="35"/>
      <c r="F444" s="20"/>
      <c r="G444" s="20"/>
      <c r="H444" s="36"/>
      <c r="I444" s="36"/>
      <c r="J444" s="20"/>
      <c r="K444" s="36"/>
      <c r="L444" s="22" t="str">
        <f>IF(B444="","",IF(I444="CompteCourant",IF(IF(ISNA(VLOOKUP(B444,DATA!$A$1:$A$16,1,0)),"",VLOOKUP(B444,DATA!$A$1:$A$16,1,0))="",L443+E444,L443-E444),L443))</f>
        <v/>
      </c>
      <c r="M444" s="23" t="str">
        <f>IF(B444="","",IF(I444="Coffre",IF(IF(ISNA(VLOOKUP(B444,DATA!$A$1:$A$16,1,0)),"",VLOOKUP(B444,DATA!$A$1:$A$16,1,0))="",M443+E444,M443-E444),M443))</f>
        <v/>
      </c>
      <c r="N444" s="23" t="str">
        <f>IF(B444="","",IF(I444="CompteEpargne",IF(IF(ISNA(VLOOKUP(B444,DATA!$A$1:$A$16,1,0)),"",VLOOKUP(B444,DATA!$A$1:$A$16,1,0))="",N443+E444,N443-E444),N443))</f>
        <v/>
      </c>
      <c r="O444" s="32" t="str">
        <f>IF(B444="","",IF(J444="CompteEpargne",IF(IF(ISNA(VLOOKUP(B444,DATA!$A$1:$A$16,1,0)),"",VLOOKUP(B444,DATA!$A$1:$A$16,1,0))="",O443+E444,O443-E444),O443))</f>
        <v/>
      </c>
      <c r="P444" s="22" t="str">
        <f t="shared" si="2"/>
        <v/>
      </c>
      <c r="Q444" s="32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4.25" customHeight="1" x14ac:dyDescent="0.2">
      <c r="A445" s="1"/>
      <c r="B445" s="33"/>
      <c r="C445" s="17">
        <f t="shared" si="3"/>
        <v>441</v>
      </c>
      <c r="D445" s="34"/>
      <c r="E445" s="35"/>
      <c r="F445" s="20"/>
      <c r="G445" s="20"/>
      <c r="H445" s="36"/>
      <c r="I445" s="36"/>
      <c r="J445" s="20"/>
      <c r="K445" s="36"/>
      <c r="L445" s="22" t="str">
        <f>IF(B445="","",IF(I445="CompteCourant",IF(IF(ISNA(VLOOKUP(B445,DATA!$A$1:$A$16,1,0)),"",VLOOKUP(B445,DATA!$A$1:$A$16,1,0))="",L444+E445,L444-E445),L444))</f>
        <v/>
      </c>
      <c r="M445" s="23" t="str">
        <f>IF(B445="","",IF(I445="Coffre",IF(IF(ISNA(VLOOKUP(B445,DATA!$A$1:$A$16,1,0)),"",VLOOKUP(B445,DATA!$A$1:$A$16,1,0))="",M444+E445,M444-E445),M444))</f>
        <v/>
      </c>
      <c r="N445" s="23" t="str">
        <f>IF(B445="","",IF(I445="CompteEpargne",IF(IF(ISNA(VLOOKUP(B445,DATA!$A$1:$A$16,1,0)),"",VLOOKUP(B445,DATA!$A$1:$A$16,1,0))="",N444+E445,N444-E445),N444))</f>
        <v/>
      </c>
      <c r="O445" s="32" t="str">
        <f>IF(B445="","",IF(J445="CompteEpargne",IF(IF(ISNA(VLOOKUP(B445,DATA!$A$1:$A$16,1,0)),"",VLOOKUP(B445,DATA!$A$1:$A$16,1,0))="",O444+E445,O444-E445),O444))</f>
        <v/>
      </c>
      <c r="P445" s="22" t="str">
        <f t="shared" si="2"/>
        <v/>
      </c>
      <c r="Q445" s="32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4.25" customHeight="1" x14ac:dyDescent="0.2">
      <c r="A446" s="1"/>
      <c r="B446" s="33"/>
      <c r="C446" s="17">
        <f t="shared" si="3"/>
        <v>442</v>
      </c>
      <c r="D446" s="34"/>
      <c r="E446" s="35"/>
      <c r="F446" s="20"/>
      <c r="G446" s="20"/>
      <c r="H446" s="36"/>
      <c r="I446" s="36"/>
      <c r="J446" s="20"/>
      <c r="K446" s="36"/>
      <c r="L446" s="22" t="str">
        <f>IF(B446="","",IF(I446="CompteCourant",IF(IF(ISNA(VLOOKUP(B446,DATA!$A$1:$A$16,1,0)),"",VLOOKUP(B446,DATA!$A$1:$A$16,1,0))="",L445+E446,L445-E446),L445))</f>
        <v/>
      </c>
      <c r="M446" s="23" t="str">
        <f>IF(B446="","",IF(I446="Coffre",IF(IF(ISNA(VLOOKUP(B446,DATA!$A$1:$A$16,1,0)),"",VLOOKUP(B446,DATA!$A$1:$A$16,1,0))="",M445+E446,M445-E446),M445))</f>
        <v/>
      </c>
      <c r="N446" s="23" t="str">
        <f>IF(B446="","",IF(I446="CompteEpargne",IF(IF(ISNA(VLOOKUP(B446,DATA!$A$1:$A$16,1,0)),"",VLOOKUP(B446,DATA!$A$1:$A$16,1,0))="",N445+E446,N445-E446),N445))</f>
        <v/>
      </c>
      <c r="O446" s="32" t="str">
        <f>IF(B446="","",IF(J446="CompteEpargne",IF(IF(ISNA(VLOOKUP(B446,DATA!$A$1:$A$16,1,0)),"",VLOOKUP(B446,DATA!$A$1:$A$16,1,0))="",O445+E446,O445-E446),O445))</f>
        <v/>
      </c>
      <c r="P446" s="22" t="str">
        <f t="shared" si="2"/>
        <v/>
      </c>
      <c r="Q446" s="32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4.25" customHeight="1" x14ac:dyDescent="0.2">
      <c r="A447" s="1"/>
      <c r="B447" s="33"/>
      <c r="C447" s="17">
        <f t="shared" si="3"/>
        <v>443</v>
      </c>
      <c r="D447" s="34"/>
      <c r="E447" s="35"/>
      <c r="F447" s="20"/>
      <c r="G447" s="20"/>
      <c r="H447" s="36"/>
      <c r="I447" s="36"/>
      <c r="J447" s="20"/>
      <c r="K447" s="36"/>
      <c r="L447" s="22" t="str">
        <f>IF(B447="","",IF(I447="CompteCourant",IF(IF(ISNA(VLOOKUP(B447,DATA!$A$1:$A$16,1,0)),"",VLOOKUP(B447,DATA!$A$1:$A$16,1,0))="",L446+E447,L446-E447),L446))</f>
        <v/>
      </c>
      <c r="M447" s="23" t="str">
        <f>IF(B447="","",IF(I447="Coffre",IF(IF(ISNA(VLOOKUP(B447,DATA!$A$1:$A$16,1,0)),"",VLOOKUP(B447,DATA!$A$1:$A$16,1,0))="",M446+E447,M446-E447),M446))</f>
        <v/>
      </c>
      <c r="N447" s="23" t="str">
        <f>IF(B447="","",IF(I447="CompteEpargne",IF(IF(ISNA(VLOOKUP(B447,DATA!$A$1:$A$16,1,0)),"",VLOOKUP(B447,DATA!$A$1:$A$16,1,0))="",N446+E447,N446-E447),N446))</f>
        <v/>
      </c>
      <c r="O447" s="32" t="str">
        <f>IF(B447="","",IF(J447="CompteEpargne",IF(IF(ISNA(VLOOKUP(B447,DATA!$A$1:$A$16,1,0)),"",VLOOKUP(B447,DATA!$A$1:$A$16,1,0))="",O446+E447,O446-E447),O446))</f>
        <v/>
      </c>
      <c r="P447" s="22" t="str">
        <f t="shared" si="2"/>
        <v/>
      </c>
      <c r="Q447" s="32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4.25" customHeight="1" x14ac:dyDescent="0.2">
      <c r="A448" s="1"/>
      <c r="B448" s="33"/>
      <c r="C448" s="17">
        <f t="shared" si="3"/>
        <v>444</v>
      </c>
      <c r="D448" s="34"/>
      <c r="E448" s="35"/>
      <c r="F448" s="20"/>
      <c r="G448" s="20"/>
      <c r="H448" s="36"/>
      <c r="I448" s="36"/>
      <c r="J448" s="20"/>
      <c r="K448" s="36"/>
      <c r="L448" s="22" t="str">
        <f>IF(B448="","",IF(I448="CompteCourant",IF(IF(ISNA(VLOOKUP(B448,DATA!$A$1:$A$16,1,0)),"",VLOOKUP(B448,DATA!$A$1:$A$16,1,0))="",L447+E448,L447-E448),L447))</f>
        <v/>
      </c>
      <c r="M448" s="23" t="str">
        <f>IF(B448="","",IF(I448="Coffre",IF(IF(ISNA(VLOOKUP(B448,DATA!$A$1:$A$16,1,0)),"",VLOOKUP(B448,DATA!$A$1:$A$16,1,0))="",M447+E448,M447-E448),M447))</f>
        <v/>
      </c>
      <c r="N448" s="23" t="str">
        <f>IF(B448="","",IF(I448="CompteEpargne",IF(IF(ISNA(VLOOKUP(B448,DATA!$A$1:$A$16,1,0)),"",VLOOKUP(B448,DATA!$A$1:$A$16,1,0))="",N447+E448,N447-E448),N447))</f>
        <v/>
      </c>
      <c r="O448" s="32" t="str">
        <f>IF(B448="","",IF(J448="CompteEpargne",IF(IF(ISNA(VLOOKUP(B448,DATA!$A$1:$A$16,1,0)),"",VLOOKUP(B448,DATA!$A$1:$A$16,1,0))="",O447+E448,O447-E448),O447))</f>
        <v/>
      </c>
      <c r="P448" s="22" t="str">
        <f t="shared" si="2"/>
        <v/>
      </c>
      <c r="Q448" s="32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4.25" customHeight="1" x14ac:dyDescent="0.2">
      <c r="A449" s="1"/>
      <c r="B449" s="33"/>
      <c r="C449" s="17">
        <f t="shared" si="3"/>
        <v>445</v>
      </c>
      <c r="D449" s="34"/>
      <c r="E449" s="35"/>
      <c r="F449" s="20"/>
      <c r="G449" s="20"/>
      <c r="H449" s="36"/>
      <c r="I449" s="36"/>
      <c r="J449" s="20"/>
      <c r="K449" s="36"/>
      <c r="L449" s="22" t="str">
        <f>IF(B449="","",IF(I449="CompteCourant",IF(IF(ISNA(VLOOKUP(B449,DATA!$A$1:$A$16,1,0)),"",VLOOKUP(B449,DATA!$A$1:$A$16,1,0))="",L448+E449,L448-E449),L448))</f>
        <v/>
      </c>
      <c r="M449" s="23" t="str">
        <f>IF(B449="","",IF(I449="Coffre",IF(IF(ISNA(VLOOKUP(B449,DATA!$A$1:$A$16,1,0)),"",VLOOKUP(B449,DATA!$A$1:$A$16,1,0))="",M448+E449,M448-E449),M448))</f>
        <v/>
      </c>
      <c r="N449" s="23" t="str">
        <f>IF(B449="","",IF(I449="CompteEpargne",IF(IF(ISNA(VLOOKUP(B449,DATA!$A$1:$A$16,1,0)),"",VLOOKUP(B449,DATA!$A$1:$A$16,1,0))="",N448+E449,N448-E449),N448))</f>
        <v/>
      </c>
      <c r="O449" s="32" t="str">
        <f>IF(B449="","",IF(J449="CompteEpargne",IF(IF(ISNA(VLOOKUP(B449,DATA!$A$1:$A$16,1,0)),"",VLOOKUP(B449,DATA!$A$1:$A$16,1,0))="",O448+E449,O448-E449),O448))</f>
        <v/>
      </c>
      <c r="P449" s="22" t="str">
        <f t="shared" si="2"/>
        <v/>
      </c>
      <c r="Q449" s="32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4.25" customHeight="1" x14ac:dyDescent="0.2">
      <c r="A450" s="1"/>
      <c r="B450" s="33"/>
      <c r="C450" s="17">
        <f t="shared" si="3"/>
        <v>446</v>
      </c>
      <c r="D450" s="34"/>
      <c r="E450" s="35"/>
      <c r="F450" s="20"/>
      <c r="G450" s="20"/>
      <c r="H450" s="36"/>
      <c r="I450" s="36"/>
      <c r="J450" s="20"/>
      <c r="K450" s="36"/>
      <c r="L450" s="22" t="str">
        <f>IF(B450="","",IF(I450="CompteCourant",IF(IF(ISNA(VLOOKUP(B450,DATA!$A$1:$A$16,1,0)),"",VLOOKUP(B450,DATA!$A$1:$A$16,1,0))="",L449+E450,L449-E450),L449))</f>
        <v/>
      </c>
      <c r="M450" s="23" t="str">
        <f>IF(B450="","",IF(I450="Coffre",IF(IF(ISNA(VLOOKUP(B450,DATA!$A$1:$A$16,1,0)),"",VLOOKUP(B450,DATA!$A$1:$A$16,1,0))="",M449+E450,M449-E450),M449))</f>
        <v/>
      </c>
      <c r="N450" s="23" t="str">
        <f>IF(B450="","",IF(I450="CompteEpargne",IF(IF(ISNA(VLOOKUP(B450,DATA!$A$1:$A$16,1,0)),"",VLOOKUP(B450,DATA!$A$1:$A$16,1,0))="",N449+E450,N449-E450),N449))</f>
        <v/>
      </c>
      <c r="O450" s="32" t="str">
        <f>IF(B450="","",IF(J450="CompteEpargne",IF(IF(ISNA(VLOOKUP(B450,DATA!$A$1:$A$16,1,0)),"",VLOOKUP(B450,DATA!$A$1:$A$16,1,0))="",O449+E450,O449-E450),O449))</f>
        <v/>
      </c>
      <c r="P450" s="22" t="str">
        <f t="shared" si="2"/>
        <v/>
      </c>
      <c r="Q450" s="32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4.25" customHeight="1" x14ac:dyDescent="0.2">
      <c r="A451" s="1"/>
      <c r="B451" s="33"/>
      <c r="C451" s="17">
        <f t="shared" si="3"/>
        <v>447</v>
      </c>
      <c r="D451" s="34"/>
      <c r="E451" s="35"/>
      <c r="F451" s="20"/>
      <c r="G451" s="20"/>
      <c r="H451" s="36"/>
      <c r="I451" s="36"/>
      <c r="J451" s="20"/>
      <c r="K451" s="36"/>
      <c r="L451" s="22" t="str">
        <f>IF(B451="","",IF(I451="CompteCourant",IF(IF(ISNA(VLOOKUP(B451,DATA!$A$1:$A$16,1,0)),"",VLOOKUP(B451,DATA!$A$1:$A$16,1,0))="",L450+E451,L450-E451),L450))</f>
        <v/>
      </c>
      <c r="M451" s="23" t="str">
        <f>IF(B451="","",IF(I451="Coffre",IF(IF(ISNA(VLOOKUP(B451,DATA!$A$1:$A$16,1,0)),"",VLOOKUP(B451,DATA!$A$1:$A$16,1,0))="",M450+E451,M450-E451),M450))</f>
        <v/>
      </c>
      <c r="N451" s="23" t="str">
        <f>IF(B451="","",IF(I451="CompteEpargne",IF(IF(ISNA(VLOOKUP(B451,DATA!$A$1:$A$16,1,0)),"",VLOOKUP(B451,DATA!$A$1:$A$16,1,0))="",N450+E451,N450-E451),N450))</f>
        <v/>
      </c>
      <c r="O451" s="32" t="str">
        <f>IF(B451="","",IF(J451="CompteEpargne",IF(IF(ISNA(VLOOKUP(B451,DATA!$A$1:$A$16,1,0)),"",VLOOKUP(B451,DATA!$A$1:$A$16,1,0))="",O450+E451,O450-E451),O450))</f>
        <v/>
      </c>
      <c r="P451" s="22" t="str">
        <f t="shared" si="2"/>
        <v/>
      </c>
      <c r="Q451" s="32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4.25" customHeight="1" x14ac:dyDescent="0.2">
      <c r="A452" s="1"/>
      <c r="B452" s="33"/>
      <c r="C452" s="17">
        <f t="shared" si="3"/>
        <v>448</v>
      </c>
      <c r="D452" s="34"/>
      <c r="E452" s="35"/>
      <c r="F452" s="20"/>
      <c r="G452" s="20"/>
      <c r="H452" s="36"/>
      <c r="I452" s="36"/>
      <c r="J452" s="20"/>
      <c r="K452" s="36"/>
      <c r="L452" s="22" t="str">
        <f>IF(B452="","",IF(I452="CompteCourant",IF(IF(ISNA(VLOOKUP(B452,DATA!$A$1:$A$16,1,0)),"",VLOOKUP(B452,DATA!$A$1:$A$16,1,0))="",L451+E452,L451-E452),L451))</f>
        <v/>
      </c>
      <c r="M452" s="23" t="str">
        <f>IF(B452="","",IF(I452="Coffre",IF(IF(ISNA(VLOOKUP(B452,DATA!$A$1:$A$16,1,0)),"",VLOOKUP(B452,DATA!$A$1:$A$16,1,0))="",M451+E452,M451-E452),M451))</f>
        <v/>
      </c>
      <c r="N452" s="23" t="str">
        <f>IF(B452="","",IF(I452="CompteEpargne",IF(IF(ISNA(VLOOKUP(B452,DATA!$A$1:$A$16,1,0)),"",VLOOKUP(B452,DATA!$A$1:$A$16,1,0))="",N451+E452,N451-E452),N451))</f>
        <v/>
      </c>
      <c r="O452" s="32" t="str">
        <f>IF(B452="","",IF(J452="CompteEpargne",IF(IF(ISNA(VLOOKUP(B452,DATA!$A$1:$A$16,1,0)),"",VLOOKUP(B452,DATA!$A$1:$A$16,1,0))="",O451+E452,O451-E452),O451))</f>
        <v/>
      </c>
      <c r="P452" s="22" t="str">
        <f t="shared" si="2"/>
        <v/>
      </c>
      <c r="Q452" s="32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4.25" customHeight="1" x14ac:dyDescent="0.2">
      <c r="A453" s="1"/>
      <c r="B453" s="33"/>
      <c r="C453" s="17">
        <f t="shared" si="3"/>
        <v>449</v>
      </c>
      <c r="D453" s="34"/>
      <c r="E453" s="35"/>
      <c r="F453" s="20"/>
      <c r="G453" s="20"/>
      <c r="H453" s="36"/>
      <c r="I453" s="36"/>
      <c r="J453" s="20"/>
      <c r="K453" s="36"/>
      <c r="L453" s="22" t="str">
        <f>IF(B453="","",IF(I453="CompteCourant",IF(IF(ISNA(VLOOKUP(B453,DATA!$A$1:$A$16,1,0)),"",VLOOKUP(B453,DATA!$A$1:$A$16,1,0))="",L452+E453,L452-E453),L452))</f>
        <v/>
      </c>
      <c r="M453" s="23" t="str">
        <f>IF(B453="","",IF(I453="Coffre",IF(IF(ISNA(VLOOKUP(B453,DATA!$A$1:$A$16,1,0)),"",VLOOKUP(B453,DATA!$A$1:$A$16,1,0))="",M452+E453,M452-E453),M452))</f>
        <v/>
      </c>
      <c r="N453" s="23" t="str">
        <f>IF(B453="","",IF(I453="CompteEpargne",IF(IF(ISNA(VLOOKUP(B453,DATA!$A$1:$A$16,1,0)),"",VLOOKUP(B453,DATA!$A$1:$A$16,1,0))="",N452+E453,N452-E453),N452))</f>
        <v/>
      </c>
      <c r="O453" s="32" t="str">
        <f>IF(B453="","",IF(J453="CompteEpargne",IF(IF(ISNA(VLOOKUP(B453,DATA!$A$1:$A$16,1,0)),"",VLOOKUP(B453,DATA!$A$1:$A$16,1,0))="",O452+E453,O452-E453),O452))</f>
        <v/>
      </c>
      <c r="P453" s="22" t="str">
        <f t="shared" si="2"/>
        <v/>
      </c>
      <c r="Q453" s="32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4.25" customHeight="1" x14ac:dyDescent="0.2">
      <c r="A454" s="1"/>
      <c r="B454" s="33"/>
      <c r="C454" s="17">
        <f t="shared" si="3"/>
        <v>450</v>
      </c>
      <c r="D454" s="34"/>
      <c r="E454" s="35"/>
      <c r="F454" s="20"/>
      <c r="G454" s="20"/>
      <c r="H454" s="36"/>
      <c r="I454" s="36"/>
      <c r="J454" s="20"/>
      <c r="K454" s="36"/>
      <c r="L454" s="22" t="str">
        <f>IF(B454="","",IF(I454="CompteCourant",IF(IF(ISNA(VLOOKUP(B454,DATA!$A$1:$A$16,1,0)),"",VLOOKUP(B454,DATA!$A$1:$A$16,1,0))="",L453+E454,L453-E454),L453))</f>
        <v/>
      </c>
      <c r="M454" s="23" t="str">
        <f>IF(B454="","",IF(I454="Coffre",IF(IF(ISNA(VLOOKUP(B454,DATA!$A$1:$A$16,1,0)),"",VLOOKUP(B454,DATA!$A$1:$A$16,1,0))="",M453+E454,M453-E454),M453))</f>
        <v/>
      </c>
      <c r="N454" s="23" t="str">
        <f>IF(B454="","",IF(I454="CompteEpargne",IF(IF(ISNA(VLOOKUP(B454,DATA!$A$1:$A$16,1,0)),"",VLOOKUP(B454,DATA!$A$1:$A$16,1,0))="",N453+E454,N453-E454),N453))</f>
        <v/>
      </c>
      <c r="O454" s="32" t="str">
        <f>IF(B454="","",IF(J454="CompteEpargne",IF(IF(ISNA(VLOOKUP(B454,DATA!$A$1:$A$16,1,0)),"",VLOOKUP(B454,DATA!$A$1:$A$16,1,0))="",O453+E454,O453-E454),O453))</f>
        <v/>
      </c>
      <c r="P454" s="22" t="str">
        <f t="shared" si="2"/>
        <v/>
      </c>
      <c r="Q454" s="32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4.25" customHeight="1" x14ac:dyDescent="0.2">
      <c r="A455" s="1"/>
      <c r="B455" s="33"/>
      <c r="C455" s="17">
        <f t="shared" si="3"/>
        <v>451</v>
      </c>
      <c r="D455" s="34"/>
      <c r="E455" s="35"/>
      <c r="F455" s="20"/>
      <c r="G455" s="20"/>
      <c r="H455" s="36"/>
      <c r="I455" s="36"/>
      <c r="J455" s="20"/>
      <c r="K455" s="36"/>
      <c r="L455" s="22" t="str">
        <f>IF(B455="","",IF(I455="CompteCourant",IF(IF(ISNA(VLOOKUP(B455,DATA!$A$1:$A$16,1,0)),"",VLOOKUP(B455,DATA!$A$1:$A$16,1,0))="",L454+E455,L454-E455),L454))</f>
        <v/>
      </c>
      <c r="M455" s="23" t="str">
        <f>IF(B455="","",IF(I455="Coffre",IF(IF(ISNA(VLOOKUP(B455,DATA!$A$1:$A$16,1,0)),"",VLOOKUP(B455,DATA!$A$1:$A$16,1,0))="",M454+E455,M454-E455),M454))</f>
        <v/>
      </c>
      <c r="N455" s="23" t="str">
        <f>IF(B455="","",IF(I455="CompteEpargne",IF(IF(ISNA(VLOOKUP(B455,DATA!$A$1:$A$16,1,0)),"",VLOOKUP(B455,DATA!$A$1:$A$16,1,0))="",N454+E455,N454-E455),N454))</f>
        <v/>
      </c>
      <c r="O455" s="32" t="str">
        <f>IF(B455="","",IF(J455="CompteEpargne",IF(IF(ISNA(VLOOKUP(B455,DATA!$A$1:$A$16,1,0)),"",VLOOKUP(B455,DATA!$A$1:$A$16,1,0))="",O454+E455,O454-E455),O454))</f>
        <v/>
      </c>
      <c r="P455" s="22" t="str">
        <f t="shared" si="2"/>
        <v/>
      </c>
      <c r="Q455" s="32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4.25" customHeight="1" x14ac:dyDescent="0.2">
      <c r="A456" s="1"/>
      <c r="B456" s="33"/>
      <c r="C456" s="17">
        <f t="shared" si="3"/>
        <v>452</v>
      </c>
      <c r="D456" s="34"/>
      <c r="E456" s="35"/>
      <c r="F456" s="20"/>
      <c r="G456" s="20"/>
      <c r="H456" s="36"/>
      <c r="I456" s="36"/>
      <c r="J456" s="20"/>
      <c r="K456" s="36"/>
      <c r="L456" s="22" t="str">
        <f>IF(B456="","",IF(I456="CompteCourant",IF(IF(ISNA(VLOOKUP(B456,DATA!$A$1:$A$16,1,0)),"",VLOOKUP(B456,DATA!$A$1:$A$16,1,0))="",L455+E456,L455-E456),L455))</f>
        <v/>
      </c>
      <c r="M456" s="23" t="str">
        <f>IF(B456="","",IF(I456="Coffre",IF(IF(ISNA(VLOOKUP(B456,DATA!$A$1:$A$16,1,0)),"",VLOOKUP(B456,DATA!$A$1:$A$16,1,0))="",M455+E456,M455-E456),M455))</f>
        <v/>
      </c>
      <c r="N456" s="23" t="str">
        <f>IF(B456="","",IF(I456="CompteEpargne",IF(IF(ISNA(VLOOKUP(B456,DATA!$A$1:$A$16,1,0)),"",VLOOKUP(B456,DATA!$A$1:$A$16,1,0))="",N455+E456,N455-E456),N455))</f>
        <v/>
      </c>
      <c r="O456" s="32" t="str">
        <f>IF(B456="","",IF(J456="CompteEpargne",IF(IF(ISNA(VLOOKUP(B456,DATA!$A$1:$A$16,1,0)),"",VLOOKUP(B456,DATA!$A$1:$A$16,1,0))="",O455+E456,O455-E456),O455))</f>
        <v/>
      </c>
      <c r="P456" s="22" t="str">
        <f t="shared" si="2"/>
        <v/>
      </c>
      <c r="Q456" s="32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4.25" customHeight="1" x14ac:dyDescent="0.2">
      <c r="A457" s="1"/>
      <c r="B457" s="33"/>
      <c r="C457" s="17">
        <f t="shared" si="3"/>
        <v>453</v>
      </c>
      <c r="D457" s="34"/>
      <c r="E457" s="35"/>
      <c r="F457" s="20"/>
      <c r="G457" s="20"/>
      <c r="H457" s="36"/>
      <c r="I457" s="36"/>
      <c r="J457" s="20"/>
      <c r="K457" s="36"/>
      <c r="L457" s="22" t="str">
        <f>IF(B457="","",IF(I457="CompteCourant",IF(IF(ISNA(VLOOKUP(B457,DATA!$A$1:$A$16,1,0)),"",VLOOKUP(B457,DATA!$A$1:$A$16,1,0))="",L456+E457,L456-E457),L456))</f>
        <v/>
      </c>
      <c r="M457" s="23" t="str">
        <f>IF(B457="","",IF(I457="Coffre",IF(IF(ISNA(VLOOKUP(B457,DATA!$A$1:$A$16,1,0)),"",VLOOKUP(B457,DATA!$A$1:$A$16,1,0))="",M456+E457,M456-E457),M456))</f>
        <v/>
      </c>
      <c r="N457" s="23" t="str">
        <f>IF(B457="","",IF(I457="CompteEpargne",IF(IF(ISNA(VLOOKUP(B457,DATA!$A$1:$A$16,1,0)),"",VLOOKUP(B457,DATA!$A$1:$A$16,1,0))="",N456+E457,N456-E457),N456))</f>
        <v/>
      </c>
      <c r="O457" s="32" t="str">
        <f>IF(B457="","",IF(J457="CompteEpargne",IF(IF(ISNA(VLOOKUP(B457,DATA!$A$1:$A$16,1,0)),"",VLOOKUP(B457,DATA!$A$1:$A$16,1,0))="",O456+E457,O456-E457),O456))</f>
        <v/>
      </c>
      <c r="P457" s="22" t="str">
        <f t="shared" si="2"/>
        <v/>
      </c>
      <c r="Q457" s="32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4.25" customHeight="1" x14ac:dyDescent="0.2">
      <c r="A458" s="1"/>
      <c r="B458" s="33"/>
      <c r="C458" s="17">
        <f t="shared" si="3"/>
        <v>454</v>
      </c>
      <c r="D458" s="34"/>
      <c r="E458" s="35"/>
      <c r="F458" s="20"/>
      <c r="G458" s="20"/>
      <c r="H458" s="36"/>
      <c r="I458" s="36"/>
      <c r="J458" s="20"/>
      <c r="K458" s="36"/>
      <c r="L458" s="22" t="str">
        <f>IF(B458="","",IF(I458="CompteCourant",IF(IF(ISNA(VLOOKUP(B458,DATA!$A$1:$A$16,1,0)),"",VLOOKUP(B458,DATA!$A$1:$A$16,1,0))="",L457+E458,L457-E458),L457))</f>
        <v/>
      </c>
      <c r="M458" s="23" t="str">
        <f>IF(B458="","",IF(I458="Coffre",IF(IF(ISNA(VLOOKUP(B458,DATA!$A$1:$A$16,1,0)),"",VLOOKUP(B458,DATA!$A$1:$A$16,1,0))="",M457+E458,M457-E458),M457))</f>
        <v/>
      </c>
      <c r="N458" s="23" t="str">
        <f>IF(B458="","",IF(I458="CompteEpargne",IF(IF(ISNA(VLOOKUP(B458,DATA!$A$1:$A$16,1,0)),"",VLOOKUP(B458,DATA!$A$1:$A$16,1,0))="",N457+E458,N457-E458),N457))</f>
        <v/>
      </c>
      <c r="O458" s="32" t="str">
        <f>IF(B458="","",IF(J458="CompteEpargne",IF(IF(ISNA(VLOOKUP(B458,DATA!$A$1:$A$16,1,0)),"",VLOOKUP(B458,DATA!$A$1:$A$16,1,0))="",O457+E458,O457-E458),O457))</f>
        <v/>
      </c>
      <c r="P458" s="22" t="str">
        <f t="shared" si="2"/>
        <v/>
      </c>
      <c r="Q458" s="32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4.25" customHeight="1" x14ac:dyDescent="0.2">
      <c r="A459" s="1"/>
      <c r="B459" s="33"/>
      <c r="C459" s="17">
        <f t="shared" si="3"/>
        <v>455</v>
      </c>
      <c r="D459" s="34"/>
      <c r="E459" s="35"/>
      <c r="F459" s="20"/>
      <c r="G459" s="20"/>
      <c r="H459" s="36"/>
      <c r="I459" s="36"/>
      <c r="J459" s="20"/>
      <c r="K459" s="36"/>
      <c r="L459" s="22" t="str">
        <f>IF(B459="","",IF(I459="CompteCourant",IF(IF(ISNA(VLOOKUP(B459,DATA!$A$1:$A$16,1,0)),"",VLOOKUP(B459,DATA!$A$1:$A$16,1,0))="",L458+E459,L458-E459),L458))</f>
        <v/>
      </c>
      <c r="M459" s="23" t="str">
        <f>IF(B459="","",IF(I459="Coffre",IF(IF(ISNA(VLOOKUP(B459,DATA!$A$1:$A$16,1,0)),"",VLOOKUP(B459,DATA!$A$1:$A$16,1,0))="",M458+E459,M458-E459),M458))</f>
        <v/>
      </c>
      <c r="N459" s="23" t="str">
        <f>IF(B459="","",IF(I459="CompteEpargne",IF(IF(ISNA(VLOOKUP(B459,DATA!$A$1:$A$16,1,0)),"",VLOOKUP(B459,DATA!$A$1:$A$16,1,0))="",N458+E459,N458-E459),N458))</f>
        <v/>
      </c>
      <c r="O459" s="32" t="str">
        <f>IF(B459="","",IF(J459="CompteEpargne",IF(IF(ISNA(VLOOKUP(B459,DATA!$A$1:$A$16,1,0)),"",VLOOKUP(B459,DATA!$A$1:$A$16,1,0))="",O458+E459,O458-E459),O458))</f>
        <v/>
      </c>
      <c r="P459" s="22" t="str">
        <f t="shared" si="2"/>
        <v/>
      </c>
      <c r="Q459" s="32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4.25" customHeight="1" x14ac:dyDescent="0.2">
      <c r="A460" s="1"/>
      <c r="B460" s="33"/>
      <c r="C460" s="17">
        <f t="shared" si="3"/>
        <v>456</v>
      </c>
      <c r="D460" s="34"/>
      <c r="E460" s="35"/>
      <c r="F460" s="20"/>
      <c r="G460" s="20"/>
      <c r="H460" s="36"/>
      <c r="I460" s="36"/>
      <c r="J460" s="20"/>
      <c r="K460" s="36"/>
      <c r="L460" s="22" t="str">
        <f>IF(B460="","",IF(I460="CompteCourant",IF(IF(ISNA(VLOOKUP(B460,DATA!$A$1:$A$16,1,0)),"",VLOOKUP(B460,DATA!$A$1:$A$16,1,0))="",L459+E460,L459-E460),L459))</f>
        <v/>
      </c>
      <c r="M460" s="23" t="str">
        <f>IF(B460="","",IF(I460="Coffre",IF(IF(ISNA(VLOOKUP(B460,DATA!$A$1:$A$16,1,0)),"",VLOOKUP(B460,DATA!$A$1:$A$16,1,0))="",M459+E460,M459-E460),M459))</f>
        <v/>
      </c>
      <c r="N460" s="23" t="str">
        <f>IF(B460="","",IF(I460="CompteEpargne",IF(IF(ISNA(VLOOKUP(B460,DATA!$A$1:$A$16,1,0)),"",VLOOKUP(B460,DATA!$A$1:$A$16,1,0))="",N459+E460,N459-E460),N459))</f>
        <v/>
      </c>
      <c r="O460" s="32" t="str">
        <f>IF(B460="","",IF(J460="CompteEpargne",IF(IF(ISNA(VLOOKUP(B460,DATA!$A$1:$A$16,1,0)),"",VLOOKUP(B460,DATA!$A$1:$A$16,1,0))="",O459+E460,O459-E460),O459))</f>
        <v/>
      </c>
      <c r="P460" s="22" t="str">
        <f t="shared" si="2"/>
        <v/>
      </c>
      <c r="Q460" s="32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4.25" customHeight="1" x14ac:dyDescent="0.2">
      <c r="A461" s="1"/>
      <c r="B461" s="33"/>
      <c r="C461" s="17">
        <f t="shared" si="3"/>
        <v>457</v>
      </c>
      <c r="D461" s="34"/>
      <c r="E461" s="35"/>
      <c r="F461" s="20"/>
      <c r="G461" s="20"/>
      <c r="H461" s="36"/>
      <c r="I461" s="36"/>
      <c r="J461" s="20"/>
      <c r="K461" s="36"/>
      <c r="L461" s="22" t="str">
        <f>IF(B461="","",IF(I461="CompteCourant",IF(IF(ISNA(VLOOKUP(B461,DATA!$A$1:$A$16,1,0)),"",VLOOKUP(B461,DATA!$A$1:$A$16,1,0))="",L460+E461,L460-E461),L460))</f>
        <v/>
      </c>
      <c r="M461" s="23" t="str">
        <f>IF(B461="","",IF(I461="Coffre",IF(IF(ISNA(VLOOKUP(B461,DATA!$A$1:$A$16,1,0)),"",VLOOKUP(B461,DATA!$A$1:$A$16,1,0))="",M460+E461,M460-E461),M460))</f>
        <v/>
      </c>
      <c r="N461" s="23" t="str">
        <f>IF(B461="","",IF(I461="CompteEpargne",IF(IF(ISNA(VLOOKUP(B461,DATA!$A$1:$A$16,1,0)),"",VLOOKUP(B461,DATA!$A$1:$A$16,1,0))="",N460+E461,N460-E461),N460))</f>
        <v/>
      </c>
      <c r="O461" s="32" t="str">
        <f>IF(B461="","",IF(J461="CompteEpargne",IF(IF(ISNA(VLOOKUP(B461,DATA!$A$1:$A$16,1,0)),"",VLOOKUP(B461,DATA!$A$1:$A$16,1,0))="",O460+E461,O460-E461),O460))</f>
        <v/>
      </c>
      <c r="P461" s="22" t="str">
        <f t="shared" si="2"/>
        <v/>
      </c>
      <c r="Q461" s="32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4.25" customHeight="1" x14ac:dyDescent="0.2">
      <c r="A462" s="1"/>
      <c r="B462" s="33"/>
      <c r="C462" s="17">
        <f t="shared" si="3"/>
        <v>458</v>
      </c>
      <c r="D462" s="34"/>
      <c r="E462" s="35"/>
      <c r="F462" s="20"/>
      <c r="G462" s="20"/>
      <c r="H462" s="36"/>
      <c r="I462" s="36"/>
      <c r="J462" s="20"/>
      <c r="K462" s="36"/>
      <c r="L462" s="22" t="str">
        <f>IF(B462="","",IF(I462="CompteCourant",IF(IF(ISNA(VLOOKUP(B462,DATA!$A$1:$A$16,1,0)),"",VLOOKUP(B462,DATA!$A$1:$A$16,1,0))="",L461+E462,L461-E462),L461))</f>
        <v/>
      </c>
      <c r="M462" s="23" t="str">
        <f>IF(B462="","",IF(I462="Coffre",IF(IF(ISNA(VLOOKUP(B462,DATA!$A$1:$A$16,1,0)),"",VLOOKUP(B462,DATA!$A$1:$A$16,1,0))="",M461+E462,M461-E462),M461))</f>
        <v/>
      </c>
      <c r="N462" s="23" t="str">
        <f>IF(B462="","",IF(I462="CompteEpargne",IF(IF(ISNA(VLOOKUP(B462,DATA!$A$1:$A$16,1,0)),"",VLOOKUP(B462,DATA!$A$1:$A$16,1,0))="",N461+E462,N461-E462),N461))</f>
        <v/>
      </c>
      <c r="O462" s="32" t="str">
        <f>IF(B462="","",IF(J462="CompteEpargne",IF(IF(ISNA(VLOOKUP(B462,DATA!$A$1:$A$16,1,0)),"",VLOOKUP(B462,DATA!$A$1:$A$16,1,0))="",O461+E462,O461-E462),O461))</f>
        <v/>
      </c>
      <c r="P462" s="22" t="str">
        <f t="shared" si="2"/>
        <v/>
      </c>
      <c r="Q462" s="32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4.25" customHeight="1" x14ac:dyDescent="0.2">
      <c r="A463" s="1"/>
      <c r="B463" s="33"/>
      <c r="C463" s="17">
        <f t="shared" si="3"/>
        <v>459</v>
      </c>
      <c r="D463" s="34"/>
      <c r="E463" s="35"/>
      <c r="F463" s="20"/>
      <c r="G463" s="20"/>
      <c r="H463" s="36"/>
      <c r="I463" s="36"/>
      <c r="J463" s="20"/>
      <c r="K463" s="36"/>
      <c r="L463" s="22" t="str">
        <f>IF(B463="","",IF(I463="CompteCourant",IF(IF(ISNA(VLOOKUP(B463,DATA!$A$1:$A$16,1,0)),"",VLOOKUP(B463,DATA!$A$1:$A$16,1,0))="",L462+E463,L462-E463),L462))</f>
        <v/>
      </c>
      <c r="M463" s="23" t="str">
        <f>IF(B463="","",IF(I463="Coffre",IF(IF(ISNA(VLOOKUP(B463,DATA!$A$1:$A$16,1,0)),"",VLOOKUP(B463,DATA!$A$1:$A$16,1,0))="",M462+E463,M462-E463),M462))</f>
        <v/>
      </c>
      <c r="N463" s="23" t="str">
        <f>IF(B463="","",IF(I463="CompteEpargne",IF(IF(ISNA(VLOOKUP(B463,DATA!$A$1:$A$16,1,0)),"",VLOOKUP(B463,DATA!$A$1:$A$16,1,0))="",N462+E463,N462-E463),N462))</f>
        <v/>
      </c>
      <c r="O463" s="32" t="str">
        <f>IF(B463="","",IF(J463="CompteEpargne",IF(IF(ISNA(VLOOKUP(B463,DATA!$A$1:$A$16,1,0)),"",VLOOKUP(B463,DATA!$A$1:$A$16,1,0))="",O462+E463,O462-E463),O462))</f>
        <v/>
      </c>
      <c r="P463" s="22" t="str">
        <f t="shared" si="2"/>
        <v/>
      </c>
      <c r="Q463" s="32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4.25" customHeight="1" x14ac:dyDescent="0.2">
      <c r="A464" s="1"/>
      <c r="B464" s="33"/>
      <c r="C464" s="17">
        <f t="shared" si="3"/>
        <v>460</v>
      </c>
      <c r="D464" s="34"/>
      <c r="E464" s="35"/>
      <c r="F464" s="20"/>
      <c r="G464" s="20"/>
      <c r="H464" s="36"/>
      <c r="I464" s="36"/>
      <c r="J464" s="20"/>
      <c r="K464" s="36"/>
      <c r="L464" s="22" t="str">
        <f>IF(B464="","",IF(I464="CompteCourant",IF(IF(ISNA(VLOOKUP(B464,DATA!$A$1:$A$16,1,0)),"",VLOOKUP(B464,DATA!$A$1:$A$16,1,0))="",L463+E464,L463-E464),L463))</f>
        <v/>
      </c>
      <c r="M464" s="23" t="str">
        <f>IF(B464="","",IF(I464="Coffre",IF(IF(ISNA(VLOOKUP(B464,DATA!$A$1:$A$16,1,0)),"",VLOOKUP(B464,DATA!$A$1:$A$16,1,0))="",M463+E464,M463-E464),M463))</f>
        <v/>
      </c>
      <c r="N464" s="23" t="str">
        <f>IF(B464="","",IF(I464="CompteEpargne",IF(IF(ISNA(VLOOKUP(B464,DATA!$A$1:$A$16,1,0)),"",VLOOKUP(B464,DATA!$A$1:$A$16,1,0))="",N463+E464,N463-E464),N463))</f>
        <v/>
      </c>
      <c r="O464" s="32" t="str">
        <f>IF(B464="","",IF(J464="CompteEpargne",IF(IF(ISNA(VLOOKUP(B464,DATA!$A$1:$A$16,1,0)),"",VLOOKUP(B464,DATA!$A$1:$A$16,1,0))="",O463+E464,O463-E464),O463))</f>
        <v/>
      </c>
      <c r="P464" s="22" t="str">
        <f t="shared" si="2"/>
        <v/>
      </c>
      <c r="Q464" s="32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4.25" customHeight="1" x14ac:dyDescent="0.2">
      <c r="A465" s="1"/>
      <c r="B465" s="33"/>
      <c r="C465" s="17">
        <f t="shared" si="3"/>
        <v>461</v>
      </c>
      <c r="D465" s="34"/>
      <c r="E465" s="35"/>
      <c r="F465" s="20"/>
      <c r="G465" s="20"/>
      <c r="H465" s="36"/>
      <c r="I465" s="36"/>
      <c r="J465" s="20"/>
      <c r="K465" s="36"/>
      <c r="L465" s="22" t="str">
        <f>IF(B465="","",IF(I465="CompteCourant",IF(IF(ISNA(VLOOKUP(B465,DATA!$A$1:$A$16,1,0)),"",VLOOKUP(B465,DATA!$A$1:$A$16,1,0))="",L464+E465,L464-E465),L464))</f>
        <v/>
      </c>
      <c r="M465" s="23" t="str">
        <f>IF(B465="","",IF(I465="Coffre",IF(IF(ISNA(VLOOKUP(B465,DATA!$A$1:$A$16,1,0)),"",VLOOKUP(B465,DATA!$A$1:$A$16,1,0))="",M464+E465,M464-E465),M464))</f>
        <v/>
      </c>
      <c r="N465" s="23" t="str">
        <f>IF(B465="","",IF(I465="CompteEpargne",IF(IF(ISNA(VLOOKUP(B465,DATA!$A$1:$A$16,1,0)),"",VLOOKUP(B465,DATA!$A$1:$A$16,1,0))="",N464+E465,N464-E465),N464))</f>
        <v/>
      </c>
      <c r="O465" s="32" t="str">
        <f>IF(B465="","",IF(J465="CompteEpargne",IF(IF(ISNA(VLOOKUP(B465,DATA!$A$1:$A$16,1,0)),"",VLOOKUP(B465,DATA!$A$1:$A$16,1,0))="",O464+E465,O464-E465),O464))</f>
        <v/>
      </c>
      <c r="P465" s="22" t="str">
        <f t="shared" si="2"/>
        <v/>
      </c>
      <c r="Q465" s="32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4.25" customHeight="1" x14ac:dyDescent="0.2">
      <c r="A466" s="1"/>
      <c r="B466" s="33"/>
      <c r="C466" s="17">
        <f t="shared" si="3"/>
        <v>462</v>
      </c>
      <c r="D466" s="34"/>
      <c r="E466" s="35"/>
      <c r="F466" s="20"/>
      <c r="G466" s="20"/>
      <c r="H466" s="36"/>
      <c r="I466" s="36"/>
      <c r="J466" s="20"/>
      <c r="K466" s="36"/>
      <c r="L466" s="22" t="str">
        <f>IF(B466="","",IF(I466="CompteCourant",IF(IF(ISNA(VLOOKUP(B466,DATA!$A$1:$A$16,1,0)),"",VLOOKUP(B466,DATA!$A$1:$A$16,1,0))="",L465+E466,L465-E466),L465))</f>
        <v/>
      </c>
      <c r="M466" s="23" t="str">
        <f>IF(B466="","",IF(I466="Coffre",IF(IF(ISNA(VLOOKUP(B466,DATA!$A$1:$A$16,1,0)),"",VLOOKUP(B466,DATA!$A$1:$A$16,1,0))="",M465+E466,M465-E466),M465))</f>
        <v/>
      </c>
      <c r="N466" s="23" t="str">
        <f>IF(B466="","",IF(I466="CompteEpargne",IF(IF(ISNA(VLOOKUP(B466,DATA!$A$1:$A$16,1,0)),"",VLOOKUP(B466,DATA!$A$1:$A$16,1,0))="",N465+E466,N465-E466),N465))</f>
        <v/>
      </c>
      <c r="O466" s="32" t="str">
        <f>IF(B466="","",IF(J466="CompteEpargne",IF(IF(ISNA(VLOOKUP(B466,DATA!$A$1:$A$16,1,0)),"",VLOOKUP(B466,DATA!$A$1:$A$16,1,0))="",O465+E466,O465-E466),O465))</f>
        <v/>
      </c>
      <c r="P466" s="22" t="str">
        <f t="shared" si="2"/>
        <v/>
      </c>
      <c r="Q466" s="32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4.25" customHeight="1" x14ac:dyDescent="0.2">
      <c r="A467" s="1"/>
      <c r="B467" s="33"/>
      <c r="C467" s="17">
        <f t="shared" si="3"/>
        <v>463</v>
      </c>
      <c r="D467" s="34"/>
      <c r="E467" s="35"/>
      <c r="F467" s="20"/>
      <c r="G467" s="20"/>
      <c r="H467" s="36"/>
      <c r="I467" s="36"/>
      <c r="J467" s="20"/>
      <c r="K467" s="36"/>
      <c r="L467" s="22" t="str">
        <f>IF(B467="","",IF(I467="CompteCourant",IF(IF(ISNA(VLOOKUP(B467,DATA!$A$1:$A$16,1,0)),"",VLOOKUP(B467,DATA!$A$1:$A$16,1,0))="",L466+E467,L466-E467),L466))</f>
        <v/>
      </c>
      <c r="M467" s="23" t="str">
        <f>IF(B467="","",IF(I467="Coffre",IF(IF(ISNA(VLOOKUP(B467,DATA!$A$1:$A$16,1,0)),"",VLOOKUP(B467,DATA!$A$1:$A$16,1,0))="",M466+E467,M466-E467),M466))</f>
        <v/>
      </c>
      <c r="N467" s="23" t="str">
        <f>IF(B467="","",IF(I467="CompteEpargne",IF(IF(ISNA(VLOOKUP(B467,DATA!$A$1:$A$16,1,0)),"",VLOOKUP(B467,DATA!$A$1:$A$16,1,0))="",N466+E467,N466-E467),N466))</f>
        <v/>
      </c>
      <c r="O467" s="32" t="str">
        <f>IF(B467="","",IF(J467="CompteEpargne",IF(IF(ISNA(VLOOKUP(B467,DATA!$A$1:$A$16,1,0)),"",VLOOKUP(B467,DATA!$A$1:$A$16,1,0))="",O466+E467,O466-E467),O466))</f>
        <v/>
      </c>
      <c r="P467" s="22" t="str">
        <f t="shared" si="2"/>
        <v/>
      </c>
      <c r="Q467" s="32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4.25" customHeight="1" x14ac:dyDescent="0.2">
      <c r="A468" s="1"/>
      <c r="B468" s="33"/>
      <c r="C468" s="17">
        <f t="shared" si="3"/>
        <v>464</v>
      </c>
      <c r="D468" s="34"/>
      <c r="E468" s="35"/>
      <c r="F468" s="20"/>
      <c r="G468" s="20"/>
      <c r="H468" s="36"/>
      <c r="I468" s="36"/>
      <c r="J468" s="20"/>
      <c r="K468" s="36"/>
      <c r="L468" s="22" t="str">
        <f>IF(B468="","",IF(I468="CompteCourant",IF(IF(ISNA(VLOOKUP(B468,DATA!$A$1:$A$16,1,0)),"",VLOOKUP(B468,DATA!$A$1:$A$16,1,0))="",L467+E468,L467-E468),L467))</f>
        <v/>
      </c>
      <c r="M468" s="23" t="str">
        <f>IF(B468="","",IF(I468="Coffre",IF(IF(ISNA(VLOOKUP(B468,DATA!$A$1:$A$16,1,0)),"",VLOOKUP(B468,DATA!$A$1:$A$16,1,0))="",M467+E468,M467-E468),M467))</f>
        <v/>
      </c>
      <c r="N468" s="23" t="str">
        <f>IF(B468="","",IF(I468="CompteEpargne",IF(IF(ISNA(VLOOKUP(B468,DATA!$A$1:$A$16,1,0)),"",VLOOKUP(B468,DATA!$A$1:$A$16,1,0))="",N467+E468,N467-E468),N467))</f>
        <v/>
      </c>
      <c r="O468" s="32" t="str">
        <f>IF(B468="","",IF(J468="CompteEpargne",IF(IF(ISNA(VLOOKUP(B468,DATA!$A$1:$A$16,1,0)),"",VLOOKUP(B468,DATA!$A$1:$A$16,1,0))="",O467+E468,O467-E468),O467))</f>
        <v/>
      </c>
      <c r="P468" s="22" t="str">
        <f t="shared" si="2"/>
        <v/>
      </c>
      <c r="Q468" s="32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4.25" customHeight="1" x14ac:dyDescent="0.2">
      <c r="A469" s="1"/>
      <c r="B469" s="33"/>
      <c r="C469" s="17">
        <f t="shared" si="3"/>
        <v>465</v>
      </c>
      <c r="D469" s="34"/>
      <c r="E469" s="35"/>
      <c r="F469" s="20"/>
      <c r="G469" s="20"/>
      <c r="H469" s="36"/>
      <c r="I469" s="36"/>
      <c r="J469" s="20"/>
      <c r="K469" s="36"/>
      <c r="L469" s="22" t="str">
        <f>IF(B469="","",IF(I469="CompteCourant",IF(IF(ISNA(VLOOKUP(B469,DATA!$A$1:$A$16,1,0)),"",VLOOKUP(B469,DATA!$A$1:$A$16,1,0))="",L468+E469,L468-E469),L468))</f>
        <v/>
      </c>
      <c r="M469" s="23" t="str">
        <f>IF(B469="","",IF(I469="Coffre",IF(IF(ISNA(VLOOKUP(B469,DATA!$A$1:$A$16,1,0)),"",VLOOKUP(B469,DATA!$A$1:$A$16,1,0))="",M468+E469,M468-E469),M468))</f>
        <v/>
      </c>
      <c r="N469" s="23" t="str">
        <f>IF(B469="","",IF(I469="CompteEpargne",IF(IF(ISNA(VLOOKUP(B469,DATA!$A$1:$A$16,1,0)),"",VLOOKUP(B469,DATA!$A$1:$A$16,1,0))="",N468+E469,N468-E469),N468))</f>
        <v/>
      </c>
      <c r="O469" s="32" t="str">
        <f>IF(B469="","",IF(J469="CompteEpargne",IF(IF(ISNA(VLOOKUP(B469,DATA!$A$1:$A$16,1,0)),"",VLOOKUP(B469,DATA!$A$1:$A$16,1,0))="",O468+E469,O468-E469),O468))</f>
        <v/>
      </c>
      <c r="P469" s="22" t="str">
        <f t="shared" si="2"/>
        <v/>
      </c>
      <c r="Q469" s="32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4.25" customHeight="1" x14ac:dyDescent="0.2">
      <c r="A470" s="1"/>
      <c r="B470" s="33"/>
      <c r="C470" s="17">
        <f t="shared" si="3"/>
        <v>466</v>
      </c>
      <c r="D470" s="34"/>
      <c r="E470" s="35"/>
      <c r="F470" s="20"/>
      <c r="G470" s="20"/>
      <c r="H470" s="36"/>
      <c r="I470" s="36"/>
      <c r="J470" s="20"/>
      <c r="K470" s="36"/>
      <c r="L470" s="22" t="str">
        <f>IF(B470="","",IF(I470="CompteCourant",IF(IF(ISNA(VLOOKUP(B470,DATA!$A$1:$A$16,1,0)),"",VLOOKUP(B470,DATA!$A$1:$A$16,1,0))="",L469+E470,L469-E470),L469))</f>
        <v/>
      </c>
      <c r="M470" s="23" t="str">
        <f>IF(B470="","",IF(I470="Coffre",IF(IF(ISNA(VLOOKUP(B470,DATA!$A$1:$A$16,1,0)),"",VLOOKUP(B470,DATA!$A$1:$A$16,1,0))="",M469+E470,M469-E470),M469))</f>
        <v/>
      </c>
      <c r="N470" s="23" t="str">
        <f>IF(B470="","",IF(I470="CompteEpargne",IF(IF(ISNA(VLOOKUP(B470,DATA!$A$1:$A$16,1,0)),"",VLOOKUP(B470,DATA!$A$1:$A$16,1,0))="",N469+E470,N469-E470),N469))</f>
        <v/>
      </c>
      <c r="O470" s="32" t="str">
        <f>IF(B470="","",IF(J470="CompteEpargne",IF(IF(ISNA(VLOOKUP(B470,DATA!$A$1:$A$16,1,0)),"",VLOOKUP(B470,DATA!$A$1:$A$16,1,0))="",O469+E470,O469-E470),O469))</f>
        <v/>
      </c>
      <c r="P470" s="22" t="str">
        <f t="shared" si="2"/>
        <v/>
      </c>
      <c r="Q470" s="32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4.25" customHeight="1" x14ac:dyDescent="0.2">
      <c r="A471" s="1"/>
      <c r="B471" s="33"/>
      <c r="C471" s="17">
        <f t="shared" si="3"/>
        <v>467</v>
      </c>
      <c r="D471" s="34"/>
      <c r="E471" s="35"/>
      <c r="F471" s="20"/>
      <c r="G471" s="20"/>
      <c r="H471" s="36"/>
      <c r="I471" s="36"/>
      <c r="J471" s="20"/>
      <c r="K471" s="36"/>
      <c r="L471" s="22" t="str">
        <f>IF(B471="","",IF(I471="CompteCourant",IF(IF(ISNA(VLOOKUP(B471,DATA!$A$1:$A$16,1,0)),"",VLOOKUP(B471,DATA!$A$1:$A$16,1,0))="",L470+E471,L470-E471),L470))</f>
        <v/>
      </c>
      <c r="M471" s="23" t="str">
        <f>IF(B471="","",IF(I471="Coffre",IF(IF(ISNA(VLOOKUP(B471,DATA!$A$1:$A$16,1,0)),"",VLOOKUP(B471,DATA!$A$1:$A$16,1,0))="",M470+E471,M470-E471),M470))</f>
        <v/>
      </c>
      <c r="N471" s="23" t="str">
        <f>IF(B471="","",IF(I471="CompteEpargne",IF(IF(ISNA(VLOOKUP(B471,DATA!$A$1:$A$16,1,0)),"",VLOOKUP(B471,DATA!$A$1:$A$16,1,0))="",N470+E471,N470-E471),N470))</f>
        <v/>
      </c>
      <c r="O471" s="32" t="str">
        <f>IF(B471="","",IF(J471="CompteEpargne",IF(IF(ISNA(VLOOKUP(B471,DATA!$A$1:$A$16,1,0)),"",VLOOKUP(B471,DATA!$A$1:$A$16,1,0))="",O470+E471,O470-E471),O470))</f>
        <v/>
      </c>
      <c r="P471" s="22" t="str">
        <f t="shared" si="2"/>
        <v/>
      </c>
      <c r="Q471" s="32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4.25" customHeight="1" x14ac:dyDescent="0.2">
      <c r="A472" s="1"/>
      <c r="B472" s="33"/>
      <c r="C472" s="17">
        <f t="shared" si="3"/>
        <v>468</v>
      </c>
      <c r="D472" s="34"/>
      <c r="E472" s="35"/>
      <c r="F472" s="20"/>
      <c r="G472" s="20"/>
      <c r="H472" s="36"/>
      <c r="I472" s="36"/>
      <c r="J472" s="20"/>
      <c r="K472" s="36"/>
      <c r="L472" s="22" t="str">
        <f>IF(B472="","",IF(I472="CompteCourant",IF(IF(ISNA(VLOOKUP(B472,DATA!$A$1:$A$16,1,0)),"",VLOOKUP(B472,DATA!$A$1:$A$16,1,0))="",L471+E472,L471-E472),L471))</f>
        <v/>
      </c>
      <c r="M472" s="23" t="str">
        <f>IF(B472="","",IF(I472="Coffre",IF(IF(ISNA(VLOOKUP(B472,DATA!$A$1:$A$16,1,0)),"",VLOOKUP(B472,DATA!$A$1:$A$16,1,0))="",M471+E472,M471-E472),M471))</f>
        <v/>
      </c>
      <c r="N472" s="23" t="str">
        <f>IF(B472="","",IF(I472="CompteEpargne",IF(IF(ISNA(VLOOKUP(B472,DATA!$A$1:$A$16,1,0)),"",VLOOKUP(B472,DATA!$A$1:$A$16,1,0))="",N471+E472,N471-E472),N471))</f>
        <v/>
      </c>
      <c r="O472" s="32" t="str">
        <f>IF(B472="","",IF(J472="CompteEpargne",IF(IF(ISNA(VLOOKUP(B472,DATA!$A$1:$A$16,1,0)),"",VLOOKUP(B472,DATA!$A$1:$A$16,1,0))="",O471+E472,O471-E472),O471))</f>
        <v/>
      </c>
      <c r="P472" s="22" t="str">
        <f t="shared" si="2"/>
        <v/>
      </c>
      <c r="Q472" s="32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4.25" customHeight="1" x14ac:dyDescent="0.2">
      <c r="A473" s="1"/>
      <c r="B473" s="33"/>
      <c r="C473" s="17">
        <f t="shared" si="3"/>
        <v>469</v>
      </c>
      <c r="D473" s="34"/>
      <c r="E473" s="35"/>
      <c r="F473" s="20"/>
      <c r="G473" s="20"/>
      <c r="H473" s="36"/>
      <c r="I473" s="36"/>
      <c r="J473" s="20"/>
      <c r="K473" s="36"/>
      <c r="L473" s="22" t="str">
        <f>IF(B473="","",IF(I473="CompteCourant",IF(IF(ISNA(VLOOKUP(B473,DATA!$A$1:$A$16,1,0)),"",VLOOKUP(B473,DATA!$A$1:$A$16,1,0))="",L472+E473,L472-E473),L472))</f>
        <v/>
      </c>
      <c r="M473" s="23" t="str">
        <f>IF(B473="","",IF(I473="Coffre",IF(IF(ISNA(VLOOKUP(B473,DATA!$A$1:$A$16,1,0)),"",VLOOKUP(B473,DATA!$A$1:$A$16,1,0))="",M472+E473,M472-E473),M472))</f>
        <v/>
      </c>
      <c r="N473" s="23" t="str">
        <f>IF(B473="","",IF(I473="CompteEpargne",IF(IF(ISNA(VLOOKUP(B473,DATA!$A$1:$A$16,1,0)),"",VLOOKUP(B473,DATA!$A$1:$A$16,1,0))="",N472+E473,N472-E473),N472))</f>
        <v/>
      </c>
      <c r="O473" s="32" t="str">
        <f>IF(B473="","",IF(J473="CompteEpargne",IF(IF(ISNA(VLOOKUP(B473,DATA!$A$1:$A$16,1,0)),"",VLOOKUP(B473,DATA!$A$1:$A$16,1,0))="",O472+E473,O472-E473),O472))</f>
        <v/>
      </c>
      <c r="P473" s="22" t="str">
        <f t="shared" si="2"/>
        <v/>
      </c>
      <c r="Q473" s="32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4.25" customHeight="1" x14ac:dyDescent="0.2">
      <c r="A474" s="1"/>
      <c r="B474" s="33"/>
      <c r="C474" s="17">
        <f t="shared" si="3"/>
        <v>470</v>
      </c>
      <c r="D474" s="34"/>
      <c r="E474" s="35"/>
      <c r="F474" s="20"/>
      <c r="G474" s="20"/>
      <c r="H474" s="36"/>
      <c r="I474" s="36"/>
      <c r="J474" s="20"/>
      <c r="K474" s="36"/>
      <c r="L474" s="22" t="str">
        <f>IF(B474="","",IF(I474="CompteCourant",IF(IF(ISNA(VLOOKUP(B474,DATA!$A$1:$A$16,1,0)),"",VLOOKUP(B474,DATA!$A$1:$A$16,1,0))="",L473+E474,L473-E474),L473))</f>
        <v/>
      </c>
      <c r="M474" s="23" t="str">
        <f>IF(B474="","",IF(I474="Coffre",IF(IF(ISNA(VLOOKUP(B474,DATA!$A$1:$A$16,1,0)),"",VLOOKUP(B474,DATA!$A$1:$A$16,1,0))="",M473+E474,M473-E474),M473))</f>
        <v/>
      </c>
      <c r="N474" s="23" t="str">
        <f>IF(B474="","",IF(I474="CompteEpargne",IF(IF(ISNA(VLOOKUP(B474,DATA!$A$1:$A$16,1,0)),"",VLOOKUP(B474,DATA!$A$1:$A$16,1,0))="",N473+E474,N473-E474),N473))</f>
        <v/>
      </c>
      <c r="O474" s="32" t="str">
        <f>IF(B474="","",IF(J474="CompteEpargne",IF(IF(ISNA(VLOOKUP(B474,DATA!$A$1:$A$16,1,0)),"",VLOOKUP(B474,DATA!$A$1:$A$16,1,0))="",O473+E474,O473-E474),O473))</f>
        <v/>
      </c>
      <c r="P474" s="22" t="str">
        <f t="shared" si="2"/>
        <v/>
      </c>
      <c r="Q474" s="32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4.25" customHeight="1" x14ac:dyDescent="0.2">
      <c r="A475" s="1"/>
      <c r="B475" s="33"/>
      <c r="C475" s="17">
        <f t="shared" si="3"/>
        <v>471</v>
      </c>
      <c r="D475" s="34"/>
      <c r="E475" s="35"/>
      <c r="F475" s="20"/>
      <c r="G475" s="20"/>
      <c r="H475" s="36"/>
      <c r="I475" s="36"/>
      <c r="J475" s="20"/>
      <c r="K475" s="36"/>
      <c r="L475" s="22" t="str">
        <f>IF(B475="","",IF(I475="CompteCourant",IF(IF(ISNA(VLOOKUP(B475,DATA!$A$1:$A$16,1,0)),"",VLOOKUP(B475,DATA!$A$1:$A$16,1,0))="",L474+E475,L474-E475),L474))</f>
        <v/>
      </c>
      <c r="M475" s="23" t="str">
        <f>IF(B475="","",IF(I475="Coffre",IF(IF(ISNA(VLOOKUP(B475,DATA!$A$1:$A$16,1,0)),"",VLOOKUP(B475,DATA!$A$1:$A$16,1,0))="",M474+E475,M474-E475),M474))</f>
        <v/>
      </c>
      <c r="N475" s="23" t="str">
        <f>IF(B475="","",IF(I475="CompteEpargne",IF(IF(ISNA(VLOOKUP(B475,DATA!$A$1:$A$16,1,0)),"",VLOOKUP(B475,DATA!$A$1:$A$16,1,0))="",N474+E475,N474-E475),N474))</f>
        <v/>
      </c>
      <c r="O475" s="32" t="str">
        <f>IF(B475="","",IF(J475="CompteEpargne",IF(IF(ISNA(VLOOKUP(B475,DATA!$A$1:$A$16,1,0)),"",VLOOKUP(B475,DATA!$A$1:$A$16,1,0))="",O474+E475,O474-E475),O474))</f>
        <v/>
      </c>
      <c r="P475" s="22" t="str">
        <f t="shared" si="2"/>
        <v/>
      </c>
      <c r="Q475" s="32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4.25" customHeight="1" x14ac:dyDescent="0.2">
      <c r="A476" s="1"/>
      <c r="B476" s="33"/>
      <c r="C476" s="17">
        <f t="shared" si="3"/>
        <v>472</v>
      </c>
      <c r="D476" s="34"/>
      <c r="E476" s="35"/>
      <c r="F476" s="20"/>
      <c r="G476" s="20"/>
      <c r="H476" s="36"/>
      <c r="I476" s="36"/>
      <c r="J476" s="20"/>
      <c r="K476" s="36"/>
      <c r="L476" s="22" t="str">
        <f>IF(B476="","",IF(I476="CompteCourant",IF(IF(ISNA(VLOOKUP(B476,DATA!$A$1:$A$16,1,0)),"",VLOOKUP(B476,DATA!$A$1:$A$16,1,0))="",L475+E476,L475-E476),L475))</f>
        <v/>
      </c>
      <c r="M476" s="23" t="str">
        <f>IF(B476="","",IF(I476="Coffre",IF(IF(ISNA(VLOOKUP(B476,DATA!$A$1:$A$16,1,0)),"",VLOOKUP(B476,DATA!$A$1:$A$16,1,0))="",M475+E476,M475-E476),M475))</f>
        <v/>
      </c>
      <c r="N476" s="23" t="str">
        <f>IF(B476="","",IF(I476="CompteEpargne",IF(IF(ISNA(VLOOKUP(B476,DATA!$A$1:$A$16,1,0)),"",VLOOKUP(B476,DATA!$A$1:$A$16,1,0))="",N475+E476,N475-E476),N475))</f>
        <v/>
      </c>
      <c r="O476" s="32" t="str">
        <f>IF(B476="","",IF(J476="CompteEpargne",IF(IF(ISNA(VLOOKUP(B476,DATA!$A$1:$A$16,1,0)),"",VLOOKUP(B476,DATA!$A$1:$A$16,1,0))="",O475+E476,O475-E476),O475))</f>
        <v/>
      </c>
      <c r="P476" s="22" t="str">
        <f t="shared" si="2"/>
        <v/>
      </c>
      <c r="Q476" s="32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4.25" customHeight="1" x14ac:dyDescent="0.2">
      <c r="A477" s="1"/>
      <c r="B477" s="33"/>
      <c r="C477" s="17">
        <f t="shared" si="3"/>
        <v>473</v>
      </c>
      <c r="D477" s="34"/>
      <c r="E477" s="35"/>
      <c r="F477" s="20"/>
      <c r="G477" s="20"/>
      <c r="H477" s="36"/>
      <c r="I477" s="36"/>
      <c r="J477" s="20"/>
      <c r="K477" s="36"/>
      <c r="L477" s="22" t="str">
        <f>IF(B477="","",IF(I477="CompteCourant",IF(IF(ISNA(VLOOKUP(B477,DATA!$A$1:$A$16,1,0)),"",VLOOKUP(B477,DATA!$A$1:$A$16,1,0))="",L476+E477,L476-E477),L476))</f>
        <v/>
      </c>
      <c r="M477" s="23" t="str">
        <f>IF(B477="","",IF(I477="Coffre",IF(IF(ISNA(VLOOKUP(B477,DATA!$A$1:$A$16,1,0)),"",VLOOKUP(B477,DATA!$A$1:$A$16,1,0))="",M476+E477,M476-E477),M476))</f>
        <v/>
      </c>
      <c r="N477" s="23" t="str">
        <f>IF(B477="","",IF(I477="CompteEpargne",IF(IF(ISNA(VLOOKUP(B477,DATA!$A$1:$A$16,1,0)),"",VLOOKUP(B477,DATA!$A$1:$A$16,1,0))="",N476+E477,N476-E477),N476))</f>
        <v/>
      </c>
      <c r="O477" s="32" t="str">
        <f>IF(B477="","",IF(J477="CompteEpargne",IF(IF(ISNA(VLOOKUP(B477,DATA!$A$1:$A$16,1,0)),"",VLOOKUP(B477,DATA!$A$1:$A$16,1,0))="",O476+E477,O476-E477),O476))</f>
        <v/>
      </c>
      <c r="P477" s="22" t="str">
        <f t="shared" si="2"/>
        <v/>
      </c>
      <c r="Q477" s="32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4.25" customHeight="1" x14ac:dyDescent="0.2">
      <c r="A478" s="1"/>
      <c r="B478" s="33"/>
      <c r="C478" s="17">
        <f t="shared" si="3"/>
        <v>474</v>
      </c>
      <c r="D478" s="34"/>
      <c r="E478" s="35"/>
      <c r="F478" s="20"/>
      <c r="G478" s="20"/>
      <c r="H478" s="36"/>
      <c r="I478" s="36"/>
      <c r="J478" s="20"/>
      <c r="K478" s="36"/>
      <c r="L478" s="22" t="str">
        <f>IF(B478="","",IF(I478="CompteCourant",IF(IF(ISNA(VLOOKUP(B478,DATA!$A$1:$A$16,1,0)),"",VLOOKUP(B478,DATA!$A$1:$A$16,1,0))="",L477+E478,L477-E478),L477))</f>
        <v/>
      </c>
      <c r="M478" s="23" t="str">
        <f>IF(B478="","",IF(I478="Coffre",IF(IF(ISNA(VLOOKUP(B478,DATA!$A$1:$A$16,1,0)),"",VLOOKUP(B478,DATA!$A$1:$A$16,1,0))="",M477+E478,M477-E478),M477))</f>
        <v/>
      </c>
      <c r="N478" s="23" t="str">
        <f>IF(B478="","",IF(I478="CompteEpargne",IF(IF(ISNA(VLOOKUP(B478,DATA!$A$1:$A$16,1,0)),"",VLOOKUP(B478,DATA!$A$1:$A$16,1,0))="",N477+E478,N477-E478),N477))</f>
        <v/>
      </c>
      <c r="O478" s="32" t="str">
        <f>IF(B478="","",IF(J478="CompteEpargne",IF(IF(ISNA(VLOOKUP(B478,DATA!$A$1:$A$16,1,0)),"",VLOOKUP(B478,DATA!$A$1:$A$16,1,0))="",O477+E478,O477-E478),O477))</f>
        <v/>
      </c>
      <c r="P478" s="22" t="str">
        <f t="shared" si="2"/>
        <v/>
      </c>
      <c r="Q478" s="32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4.25" customHeight="1" x14ac:dyDescent="0.2">
      <c r="A479" s="1"/>
      <c r="B479" s="33"/>
      <c r="C479" s="17">
        <f t="shared" si="3"/>
        <v>475</v>
      </c>
      <c r="D479" s="34"/>
      <c r="E479" s="35"/>
      <c r="F479" s="20"/>
      <c r="G479" s="20"/>
      <c r="H479" s="36"/>
      <c r="I479" s="36"/>
      <c r="J479" s="20"/>
      <c r="K479" s="36"/>
      <c r="L479" s="22" t="str">
        <f>IF(B479="","",IF(I479="CompteCourant",IF(IF(ISNA(VLOOKUP(B479,DATA!$A$1:$A$16,1,0)),"",VLOOKUP(B479,DATA!$A$1:$A$16,1,0))="",L478+E479,L478-E479),L478))</f>
        <v/>
      </c>
      <c r="M479" s="23" t="str">
        <f>IF(B479="","",IF(I479="Coffre",IF(IF(ISNA(VLOOKUP(B479,DATA!$A$1:$A$16,1,0)),"",VLOOKUP(B479,DATA!$A$1:$A$16,1,0))="",M478+E479,M478-E479),M478))</f>
        <v/>
      </c>
      <c r="N479" s="23" t="str">
        <f>IF(B479="","",IF(I479="CompteEpargne",IF(IF(ISNA(VLOOKUP(B479,DATA!$A$1:$A$16,1,0)),"",VLOOKUP(B479,DATA!$A$1:$A$16,1,0))="",N478+E479,N478-E479),N478))</f>
        <v/>
      </c>
      <c r="O479" s="32" t="str">
        <f>IF(B479="","",IF(J479="CompteEpargne",IF(IF(ISNA(VLOOKUP(B479,DATA!$A$1:$A$16,1,0)),"",VLOOKUP(B479,DATA!$A$1:$A$16,1,0))="",O478+E479,O478-E479),O478))</f>
        <v/>
      </c>
      <c r="P479" s="22" t="str">
        <f t="shared" si="2"/>
        <v/>
      </c>
      <c r="Q479" s="32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4.25" customHeight="1" x14ac:dyDescent="0.2">
      <c r="A480" s="1"/>
      <c r="B480" s="33"/>
      <c r="C480" s="17">
        <f t="shared" si="3"/>
        <v>476</v>
      </c>
      <c r="D480" s="34"/>
      <c r="E480" s="35"/>
      <c r="F480" s="20"/>
      <c r="G480" s="20"/>
      <c r="H480" s="36"/>
      <c r="I480" s="36"/>
      <c r="J480" s="20"/>
      <c r="K480" s="36"/>
      <c r="L480" s="22" t="str">
        <f>IF(B480="","",IF(I480="CompteCourant",IF(IF(ISNA(VLOOKUP(B480,DATA!$A$1:$A$16,1,0)),"",VLOOKUP(B480,DATA!$A$1:$A$16,1,0))="",L479+E480,L479-E480),L479))</f>
        <v/>
      </c>
      <c r="M480" s="23" t="str">
        <f>IF(B480="","",IF(I480="Coffre",IF(IF(ISNA(VLOOKUP(B480,DATA!$A$1:$A$16,1,0)),"",VLOOKUP(B480,DATA!$A$1:$A$16,1,0))="",M479+E480,M479-E480),M479))</f>
        <v/>
      </c>
      <c r="N480" s="23" t="str">
        <f>IF(B480="","",IF(I480="CompteEpargne",IF(IF(ISNA(VLOOKUP(B480,DATA!$A$1:$A$16,1,0)),"",VLOOKUP(B480,DATA!$A$1:$A$16,1,0))="",N479+E480,N479-E480),N479))</f>
        <v/>
      </c>
      <c r="O480" s="32" t="str">
        <f>IF(B480="","",IF(J480="CompteEpargne",IF(IF(ISNA(VLOOKUP(B480,DATA!$A$1:$A$16,1,0)),"",VLOOKUP(B480,DATA!$A$1:$A$16,1,0))="",O479+E480,O479-E480),O479))</f>
        <v/>
      </c>
      <c r="P480" s="22" t="str">
        <f t="shared" si="2"/>
        <v/>
      </c>
      <c r="Q480" s="32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4.25" customHeight="1" x14ac:dyDescent="0.2">
      <c r="A481" s="1"/>
      <c r="B481" s="33"/>
      <c r="C481" s="17">
        <f t="shared" si="3"/>
        <v>477</v>
      </c>
      <c r="D481" s="34"/>
      <c r="E481" s="35"/>
      <c r="F481" s="20"/>
      <c r="G481" s="20"/>
      <c r="H481" s="36"/>
      <c r="I481" s="36"/>
      <c r="J481" s="20"/>
      <c r="K481" s="36"/>
      <c r="L481" s="22" t="str">
        <f>IF(B481="","",IF(I481="CompteCourant",IF(IF(ISNA(VLOOKUP(B481,DATA!$A$1:$A$16,1,0)),"",VLOOKUP(B481,DATA!$A$1:$A$16,1,0))="",L480+E481,L480-E481),L480))</f>
        <v/>
      </c>
      <c r="M481" s="23" t="str">
        <f>IF(B481="","",IF(I481="Coffre",IF(IF(ISNA(VLOOKUP(B481,DATA!$A$1:$A$16,1,0)),"",VLOOKUP(B481,DATA!$A$1:$A$16,1,0))="",M480+E481,M480-E481),M480))</f>
        <v/>
      </c>
      <c r="N481" s="23" t="str">
        <f>IF(B481="","",IF(I481="CompteEpargne",IF(IF(ISNA(VLOOKUP(B481,DATA!$A$1:$A$16,1,0)),"",VLOOKUP(B481,DATA!$A$1:$A$16,1,0))="",N480+E481,N480-E481),N480))</f>
        <v/>
      </c>
      <c r="O481" s="32" t="str">
        <f>IF(B481="","",IF(J481="CompteEpargne",IF(IF(ISNA(VLOOKUP(B481,DATA!$A$1:$A$16,1,0)),"",VLOOKUP(B481,DATA!$A$1:$A$16,1,0))="",O480+E481,O480-E481),O480))</f>
        <v/>
      </c>
      <c r="P481" s="22" t="str">
        <f t="shared" si="2"/>
        <v/>
      </c>
      <c r="Q481" s="32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4.25" customHeight="1" x14ac:dyDescent="0.2">
      <c r="A482" s="1"/>
      <c r="B482" s="33"/>
      <c r="C482" s="17">
        <f t="shared" si="3"/>
        <v>478</v>
      </c>
      <c r="D482" s="34"/>
      <c r="E482" s="35"/>
      <c r="F482" s="20"/>
      <c r="G482" s="20"/>
      <c r="H482" s="36"/>
      <c r="I482" s="36"/>
      <c r="J482" s="20"/>
      <c r="K482" s="36"/>
      <c r="L482" s="22" t="str">
        <f>IF(B482="","",IF(I482="CompteCourant",IF(IF(ISNA(VLOOKUP(B482,DATA!$A$1:$A$16,1,0)),"",VLOOKUP(B482,DATA!$A$1:$A$16,1,0))="",L481+E482,L481-E482),L481))</f>
        <v/>
      </c>
      <c r="M482" s="23" t="str">
        <f>IF(B482="","",IF(I482="Coffre",IF(IF(ISNA(VLOOKUP(B482,DATA!$A$1:$A$16,1,0)),"",VLOOKUP(B482,DATA!$A$1:$A$16,1,0))="",M481+E482,M481-E482),M481))</f>
        <v/>
      </c>
      <c r="N482" s="23" t="str">
        <f>IF(B482="","",IF(I482="CompteEpargne",IF(IF(ISNA(VLOOKUP(B482,DATA!$A$1:$A$16,1,0)),"",VLOOKUP(B482,DATA!$A$1:$A$16,1,0))="",N481+E482,N481-E482),N481))</f>
        <v/>
      </c>
      <c r="O482" s="32" t="str">
        <f>IF(B482="","",IF(J482="CompteEpargne",IF(IF(ISNA(VLOOKUP(B482,DATA!$A$1:$A$16,1,0)),"",VLOOKUP(B482,DATA!$A$1:$A$16,1,0))="",O481+E482,O481-E482),O481))</f>
        <v/>
      </c>
      <c r="P482" s="22" t="str">
        <f t="shared" si="2"/>
        <v/>
      </c>
      <c r="Q482" s="32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4.25" customHeight="1" x14ac:dyDescent="0.2">
      <c r="A483" s="1"/>
      <c r="B483" s="33"/>
      <c r="C483" s="17">
        <f t="shared" si="3"/>
        <v>479</v>
      </c>
      <c r="D483" s="34"/>
      <c r="E483" s="35"/>
      <c r="F483" s="20"/>
      <c r="G483" s="20"/>
      <c r="H483" s="36"/>
      <c r="I483" s="36"/>
      <c r="J483" s="20"/>
      <c r="K483" s="36"/>
      <c r="L483" s="22" t="str">
        <f>IF(B483="","",IF(I483="CompteCourant",IF(IF(ISNA(VLOOKUP(B483,DATA!$A$1:$A$16,1,0)),"",VLOOKUP(B483,DATA!$A$1:$A$16,1,0))="",L482+E483,L482-E483),L482))</f>
        <v/>
      </c>
      <c r="M483" s="23" t="str">
        <f>IF(B483="","",IF(I483="Coffre",IF(IF(ISNA(VLOOKUP(B483,DATA!$A$1:$A$16,1,0)),"",VLOOKUP(B483,DATA!$A$1:$A$16,1,0))="",M482+E483,M482-E483),M482))</f>
        <v/>
      </c>
      <c r="N483" s="23" t="str">
        <f>IF(B483="","",IF(I483="CompteEpargne",IF(IF(ISNA(VLOOKUP(B483,DATA!$A$1:$A$16,1,0)),"",VLOOKUP(B483,DATA!$A$1:$A$16,1,0))="",N482+E483,N482-E483),N482))</f>
        <v/>
      </c>
      <c r="O483" s="32" t="str">
        <f>IF(B483="","",IF(J483="CompteEpargne",IF(IF(ISNA(VLOOKUP(B483,DATA!$A$1:$A$16,1,0)),"",VLOOKUP(B483,DATA!$A$1:$A$16,1,0))="",O482+E483,O482-E483),O482))</f>
        <v/>
      </c>
      <c r="P483" s="22" t="str">
        <f t="shared" si="2"/>
        <v/>
      </c>
      <c r="Q483" s="32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4.25" customHeight="1" x14ac:dyDescent="0.2">
      <c r="A484" s="1"/>
      <c r="B484" s="33"/>
      <c r="C484" s="17">
        <f t="shared" si="3"/>
        <v>480</v>
      </c>
      <c r="D484" s="34"/>
      <c r="E484" s="35"/>
      <c r="F484" s="20"/>
      <c r="G484" s="20"/>
      <c r="H484" s="36"/>
      <c r="I484" s="36"/>
      <c r="J484" s="20"/>
      <c r="K484" s="36"/>
      <c r="L484" s="22" t="str">
        <f>IF(B484="","",IF(I484="CompteCourant",IF(IF(ISNA(VLOOKUP(B484,DATA!$A$1:$A$16,1,0)),"",VLOOKUP(B484,DATA!$A$1:$A$16,1,0))="",L483+E484,L483-E484),L483))</f>
        <v/>
      </c>
      <c r="M484" s="23" t="str">
        <f>IF(B484="","",IF(I484="Coffre",IF(IF(ISNA(VLOOKUP(B484,DATA!$A$1:$A$16,1,0)),"",VLOOKUP(B484,DATA!$A$1:$A$16,1,0))="",M483+E484,M483-E484),M483))</f>
        <v/>
      </c>
      <c r="N484" s="23" t="str">
        <f>IF(B484="","",IF(I484="CompteEpargne",IF(IF(ISNA(VLOOKUP(B484,DATA!$A$1:$A$16,1,0)),"",VLOOKUP(B484,DATA!$A$1:$A$16,1,0))="",N483+E484,N483-E484),N483))</f>
        <v/>
      </c>
      <c r="O484" s="32" t="str">
        <f>IF(B484="","",IF(J484="CompteEpargne",IF(IF(ISNA(VLOOKUP(B484,DATA!$A$1:$A$16,1,0)),"",VLOOKUP(B484,DATA!$A$1:$A$16,1,0))="",O483+E484,O483-E484),O483))</f>
        <v/>
      </c>
      <c r="P484" s="22" t="str">
        <f t="shared" si="2"/>
        <v/>
      </c>
      <c r="Q484" s="32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4.25" customHeight="1" x14ac:dyDescent="0.2">
      <c r="A485" s="1"/>
      <c r="B485" s="33"/>
      <c r="C485" s="17">
        <f t="shared" si="3"/>
        <v>481</v>
      </c>
      <c r="D485" s="34"/>
      <c r="E485" s="35"/>
      <c r="F485" s="20"/>
      <c r="G485" s="20"/>
      <c r="H485" s="36"/>
      <c r="I485" s="36"/>
      <c r="J485" s="20"/>
      <c r="K485" s="36"/>
      <c r="L485" s="22" t="str">
        <f>IF(B485="","",IF(I485="CompteCourant",IF(IF(ISNA(VLOOKUP(B485,DATA!$A$1:$A$16,1,0)),"",VLOOKUP(B485,DATA!$A$1:$A$16,1,0))="",L484+E485,L484-E485),L484))</f>
        <v/>
      </c>
      <c r="M485" s="23" t="str">
        <f>IF(B485="","",IF(I485="Coffre",IF(IF(ISNA(VLOOKUP(B485,DATA!$A$1:$A$16,1,0)),"",VLOOKUP(B485,DATA!$A$1:$A$16,1,0))="",M484+E485,M484-E485),M484))</f>
        <v/>
      </c>
      <c r="N485" s="23" t="str">
        <f>IF(B485="","",IF(I485="CompteEpargne",IF(IF(ISNA(VLOOKUP(B485,DATA!$A$1:$A$16,1,0)),"",VLOOKUP(B485,DATA!$A$1:$A$16,1,0))="",N484+E485,N484-E485),N484))</f>
        <v/>
      </c>
      <c r="O485" s="32" t="str">
        <f>IF(B485="","",IF(J485="CompteEpargne",IF(IF(ISNA(VLOOKUP(B485,DATA!$A$1:$A$16,1,0)),"",VLOOKUP(B485,DATA!$A$1:$A$16,1,0))="",O484+E485,O484-E485),O484))</f>
        <v/>
      </c>
      <c r="P485" s="22" t="str">
        <f t="shared" si="2"/>
        <v/>
      </c>
      <c r="Q485" s="32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4.25" customHeight="1" x14ac:dyDescent="0.2">
      <c r="A486" s="1"/>
      <c r="B486" s="33"/>
      <c r="C486" s="17">
        <f t="shared" si="3"/>
        <v>482</v>
      </c>
      <c r="D486" s="34"/>
      <c r="E486" s="35"/>
      <c r="F486" s="20"/>
      <c r="G486" s="20"/>
      <c r="H486" s="36"/>
      <c r="I486" s="36"/>
      <c r="J486" s="20"/>
      <c r="K486" s="36"/>
      <c r="L486" s="22" t="str">
        <f>IF(B486="","",IF(I486="CompteCourant",IF(IF(ISNA(VLOOKUP(B486,DATA!$A$1:$A$16,1,0)),"",VLOOKUP(B486,DATA!$A$1:$A$16,1,0))="",L485+E486,L485-E486),L485))</f>
        <v/>
      </c>
      <c r="M486" s="23" t="str">
        <f>IF(B486="","",IF(I486="Coffre",IF(IF(ISNA(VLOOKUP(B486,DATA!$A$1:$A$16,1,0)),"",VLOOKUP(B486,DATA!$A$1:$A$16,1,0))="",M485+E486,M485-E486),M485))</f>
        <v/>
      </c>
      <c r="N486" s="23" t="str">
        <f>IF(B486="","",IF(I486="CompteEpargne",IF(IF(ISNA(VLOOKUP(B486,DATA!$A$1:$A$16,1,0)),"",VLOOKUP(B486,DATA!$A$1:$A$16,1,0))="",N485+E486,N485-E486),N485))</f>
        <v/>
      </c>
      <c r="O486" s="32" t="str">
        <f>IF(B486="","",IF(J486="CompteEpargne",IF(IF(ISNA(VLOOKUP(B486,DATA!$A$1:$A$16,1,0)),"",VLOOKUP(B486,DATA!$A$1:$A$16,1,0))="",O485+E486,O485-E486),O485))</f>
        <v/>
      </c>
      <c r="P486" s="22" t="str">
        <f t="shared" si="2"/>
        <v/>
      </c>
      <c r="Q486" s="32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4.25" customHeight="1" x14ac:dyDescent="0.2">
      <c r="A487" s="1"/>
      <c r="B487" s="33"/>
      <c r="C487" s="17">
        <f t="shared" si="3"/>
        <v>483</v>
      </c>
      <c r="D487" s="34"/>
      <c r="E487" s="35"/>
      <c r="F487" s="20"/>
      <c r="G487" s="20"/>
      <c r="H487" s="36"/>
      <c r="I487" s="36"/>
      <c r="J487" s="20"/>
      <c r="K487" s="36"/>
      <c r="L487" s="22" t="str">
        <f>IF(B487="","",IF(I487="CompteCourant",IF(IF(ISNA(VLOOKUP(B487,DATA!$A$1:$A$16,1,0)),"",VLOOKUP(B487,DATA!$A$1:$A$16,1,0))="",L486+E487,L486-E487),L486))</f>
        <v/>
      </c>
      <c r="M487" s="23" t="str">
        <f>IF(B487="","",IF(I487="Coffre",IF(IF(ISNA(VLOOKUP(B487,DATA!$A$1:$A$16,1,0)),"",VLOOKUP(B487,DATA!$A$1:$A$16,1,0))="",M486+E487,M486-E487),M486))</f>
        <v/>
      </c>
      <c r="N487" s="23" t="str">
        <f>IF(B487="","",IF(I487="CompteEpargne",IF(IF(ISNA(VLOOKUP(B487,DATA!$A$1:$A$16,1,0)),"",VLOOKUP(B487,DATA!$A$1:$A$16,1,0))="",N486+E487,N486-E487),N486))</f>
        <v/>
      </c>
      <c r="O487" s="32" t="str">
        <f>IF(B487="","",IF(J487="CompteEpargne",IF(IF(ISNA(VLOOKUP(B487,DATA!$A$1:$A$16,1,0)),"",VLOOKUP(B487,DATA!$A$1:$A$16,1,0))="",O486+E487,O486-E487),O486))</f>
        <v/>
      </c>
      <c r="P487" s="22" t="str">
        <f t="shared" si="2"/>
        <v/>
      </c>
      <c r="Q487" s="32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4.25" customHeight="1" x14ac:dyDescent="0.2">
      <c r="A488" s="1"/>
      <c r="B488" s="33"/>
      <c r="C488" s="17">
        <f t="shared" si="3"/>
        <v>484</v>
      </c>
      <c r="D488" s="34"/>
      <c r="E488" s="35"/>
      <c r="F488" s="20"/>
      <c r="G488" s="20"/>
      <c r="H488" s="36"/>
      <c r="I488" s="36"/>
      <c r="J488" s="20"/>
      <c r="K488" s="36"/>
      <c r="L488" s="22" t="str">
        <f>IF(B488="","",IF(I488="CompteCourant",IF(IF(ISNA(VLOOKUP(B488,DATA!$A$1:$A$16,1,0)),"",VLOOKUP(B488,DATA!$A$1:$A$16,1,0))="",L487+E488,L487-E488),L487))</f>
        <v/>
      </c>
      <c r="M488" s="23" t="str">
        <f>IF(B488="","",IF(I488="Coffre",IF(IF(ISNA(VLOOKUP(B488,DATA!$A$1:$A$16,1,0)),"",VLOOKUP(B488,DATA!$A$1:$A$16,1,0))="",M487+E488,M487-E488),M487))</f>
        <v/>
      </c>
      <c r="N488" s="23" t="str">
        <f>IF(B488="","",IF(I488="CompteEpargne",IF(IF(ISNA(VLOOKUP(B488,DATA!$A$1:$A$16,1,0)),"",VLOOKUP(B488,DATA!$A$1:$A$16,1,0))="",N487+E488,N487-E488),N487))</f>
        <v/>
      </c>
      <c r="O488" s="32" t="str">
        <f>IF(B488="","",IF(J488="CompteEpargne",IF(IF(ISNA(VLOOKUP(B488,DATA!$A$1:$A$16,1,0)),"",VLOOKUP(B488,DATA!$A$1:$A$16,1,0))="",O487+E488,O487-E488),O487))</f>
        <v/>
      </c>
      <c r="P488" s="22" t="str">
        <f t="shared" si="2"/>
        <v/>
      </c>
      <c r="Q488" s="32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4.25" customHeight="1" x14ac:dyDescent="0.2">
      <c r="A489" s="1"/>
      <c r="B489" s="33"/>
      <c r="C489" s="17">
        <f t="shared" si="3"/>
        <v>485</v>
      </c>
      <c r="D489" s="34"/>
      <c r="E489" s="35"/>
      <c r="F489" s="20"/>
      <c r="G489" s="20"/>
      <c r="H489" s="36"/>
      <c r="I489" s="36"/>
      <c r="J489" s="20"/>
      <c r="K489" s="36"/>
      <c r="L489" s="22" t="str">
        <f>IF(B489="","",IF(I489="CompteCourant",IF(IF(ISNA(VLOOKUP(B489,DATA!$A$1:$A$16,1,0)),"",VLOOKUP(B489,DATA!$A$1:$A$16,1,0))="",L488+E489,L488-E489),L488))</f>
        <v/>
      </c>
      <c r="M489" s="23" t="str">
        <f>IF(B489="","",IF(I489="Coffre",IF(IF(ISNA(VLOOKUP(B489,DATA!$A$1:$A$16,1,0)),"",VLOOKUP(B489,DATA!$A$1:$A$16,1,0))="",M488+E489,M488-E489),M488))</f>
        <v/>
      </c>
      <c r="N489" s="23" t="str">
        <f>IF(B489="","",IF(I489="CompteEpargne",IF(IF(ISNA(VLOOKUP(B489,DATA!$A$1:$A$16,1,0)),"",VLOOKUP(B489,DATA!$A$1:$A$16,1,0))="",N488+E489,N488-E489),N488))</f>
        <v/>
      </c>
      <c r="O489" s="32" t="str">
        <f>IF(B489="","",IF(J489="CompteEpargne",IF(IF(ISNA(VLOOKUP(B489,DATA!$A$1:$A$16,1,0)),"",VLOOKUP(B489,DATA!$A$1:$A$16,1,0))="",O488+E489,O488-E489),O488))</f>
        <v/>
      </c>
      <c r="P489" s="22" t="str">
        <f t="shared" si="2"/>
        <v/>
      </c>
      <c r="Q489" s="32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4.25" customHeight="1" x14ac:dyDescent="0.2">
      <c r="A490" s="1"/>
      <c r="B490" s="33"/>
      <c r="C490" s="17">
        <f t="shared" si="3"/>
        <v>486</v>
      </c>
      <c r="D490" s="34"/>
      <c r="E490" s="35"/>
      <c r="F490" s="20"/>
      <c r="G490" s="20"/>
      <c r="H490" s="36"/>
      <c r="I490" s="36"/>
      <c r="J490" s="20"/>
      <c r="K490" s="36"/>
      <c r="L490" s="22" t="str">
        <f>IF(B490="","",IF(I490="CompteCourant",IF(IF(ISNA(VLOOKUP(B490,DATA!$A$1:$A$16,1,0)),"",VLOOKUP(B490,DATA!$A$1:$A$16,1,0))="",L489+E490,L489-E490),L489))</f>
        <v/>
      </c>
      <c r="M490" s="23" t="str">
        <f>IF(B490="","",IF(I490="Coffre",IF(IF(ISNA(VLOOKUP(B490,DATA!$A$1:$A$16,1,0)),"",VLOOKUP(B490,DATA!$A$1:$A$16,1,0))="",M489+E490,M489-E490),M489))</f>
        <v/>
      </c>
      <c r="N490" s="23" t="str">
        <f>IF(B490="","",IF(I490="CompteEpargne",IF(IF(ISNA(VLOOKUP(B490,DATA!$A$1:$A$16,1,0)),"",VLOOKUP(B490,DATA!$A$1:$A$16,1,0))="",N489+E490,N489-E490),N489))</f>
        <v/>
      </c>
      <c r="O490" s="32" t="str">
        <f>IF(B490="","",IF(J490="CompteEpargne",IF(IF(ISNA(VLOOKUP(B490,DATA!$A$1:$A$16,1,0)),"",VLOOKUP(B490,DATA!$A$1:$A$16,1,0))="",O489+E490,O489-E490),O489))</f>
        <v/>
      </c>
      <c r="P490" s="22" t="str">
        <f t="shared" si="2"/>
        <v/>
      </c>
      <c r="Q490" s="32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4.25" customHeight="1" x14ac:dyDescent="0.2">
      <c r="A491" s="1"/>
      <c r="B491" s="33"/>
      <c r="C491" s="17">
        <f t="shared" si="3"/>
        <v>487</v>
      </c>
      <c r="D491" s="34"/>
      <c r="E491" s="35"/>
      <c r="F491" s="20"/>
      <c r="G491" s="20"/>
      <c r="H491" s="36"/>
      <c r="I491" s="36"/>
      <c r="J491" s="20"/>
      <c r="K491" s="36"/>
      <c r="L491" s="22" t="str">
        <f>IF(B491="","",IF(I491="CompteCourant",IF(IF(ISNA(VLOOKUP(B491,DATA!$A$1:$A$16,1,0)),"",VLOOKUP(B491,DATA!$A$1:$A$16,1,0))="",L490+E491,L490-E491),L490))</f>
        <v/>
      </c>
      <c r="M491" s="23" t="str">
        <f>IF(B491="","",IF(I491="Coffre",IF(IF(ISNA(VLOOKUP(B491,DATA!$A$1:$A$16,1,0)),"",VLOOKUP(B491,DATA!$A$1:$A$16,1,0))="",M490+E491,M490-E491),M490))</f>
        <v/>
      </c>
      <c r="N491" s="23" t="str">
        <f>IF(B491="","",IF(I491="CompteEpargne",IF(IF(ISNA(VLOOKUP(B491,DATA!$A$1:$A$16,1,0)),"",VLOOKUP(B491,DATA!$A$1:$A$16,1,0))="",N490+E491,N490-E491),N490))</f>
        <v/>
      </c>
      <c r="O491" s="32" t="str">
        <f>IF(B491="","",IF(J491="CompteEpargne",IF(IF(ISNA(VLOOKUP(B491,DATA!$A$1:$A$16,1,0)),"",VLOOKUP(B491,DATA!$A$1:$A$16,1,0))="",O490+E491,O490-E491),O490))</f>
        <v/>
      </c>
      <c r="P491" s="22" t="str">
        <f t="shared" si="2"/>
        <v/>
      </c>
      <c r="Q491" s="32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4.25" customHeight="1" x14ac:dyDescent="0.2">
      <c r="A492" s="1"/>
      <c r="B492" s="33"/>
      <c r="C492" s="17">
        <f t="shared" si="3"/>
        <v>488</v>
      </c>
      <c r="D492" s="34"/>
      <c r="E492" s="35"/>
      <c r="F492" s="20"/>
      <c r="G492" s="20"/>
      <c r="H492" s="36"/>
      <c r="I492" s="36"/>
      <c r="J492" s="20"/>
      <c r="K492" s="36"/>
      <c r="L492" s="22" t="str">
        <f>IF(B492="","",IF(I492="CompteCourant",IF(IF(ISNA(VLOOKUP(B492,DATA!$A$1:$A$16,1,0)),"",VLOOKUP(B492,DATA!$A$1:$A$16,1,0))="",L491+E492,L491-E492),L491))</f>
        <v/>
      </c>
      <c r="M492" s="23" t="str">
        <f>IF(B492="","",IF(I492="Coffre",IF(IF(ISNA(VLOOKUP(B492,DATA!$A$1:$A$16,1,0)),"",VLOOKUP(B492,DATA!$A$1:$A$16,1,0))="",M491+E492,M491-E492),M491))</f>
        <v/>
      </c>
      <c r="N492" s="23" t="str">
        <f>IF(B492="","",IF(I492="CompteEpargne",IF(IF(ISNA(VLOOKUP(B492,DATA!$A$1:$A$16,1,0)),"",VLOOKUP(B492,DATA!$A$1:$A$16,1,0))="",N491+E492,N491-E492),N491))</f>
        <v/>
      </c>
      <c r="O492" s="32" t="str">
        <f>IF(B492="","",IF(J492="CompteEpargne",IF(IF(ISNA(VLOOKUP(B492,DATA!$A$1:$A$16,1,0)),"",VLOOKUP(B492,DATA!$A$1:$A$16,1,0))="",O491+E492,O491-E492),O491))</f>
        <v/>
      </c>
      <c r="P492" s="22" t="str">
        <f t="shared" si="2"/>
        <v/>
      </c>
      <c r="Q492" s="32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4.25" customHeight="1" x14ac:dyDescent="0.2">
      <c r="A493" s="1"/>
      <c r="B493" s="33"/>
      <c r="C493" s="17">
        <f t="shared" si="3"/>
        <v>489</v>
      </c>
      <c r="D493" s="34"/>
      <c r="E493" s="35"/>
      <c r="F493" s="20"/>
      <c r="G493" s="20"/>
      <c r="H493" s="36"/>
      <c r="I493" s="36"/>
      <c r="J493" s="20"/>
      <c r="K493" s="36"/>
      <c r="L493" s="22" t="str">
        <f>IF(B493="","",IF(I493="CompteCourant",IF(IF(ISNA(VLOOKUP(B493,DATA!$A$1:$A$16,1,0)),"",VLOOKUP(B493,DATA!$A$1:$A$16,1,0))="",L492+E493,L492-E493),L492))</f>
        <v/>
      </c>
      <c r="M493" s="23" t="str">
        <f>IF(B493="","",IF(I493="Coffre",IF(IF(ISNA(VLOOKUP(B493,DATA!$A$1:$A$16,1,0)),"",VLOOKUP(B493,DATA!$A$1:$A$16,1,0))="",M492+E493,M492-E493),M492))</f>
        <v/>
      </c>
      <c r="N493" s="23" t="str">
        <f>IF(B493="","",IF(I493="CompteEpargne",IF(IF(ISNA(VLOOKUP(B493,DATA!$A$1:$A$16,1,0)),"",VLOOKUP(B493,DATA!$A$1:$A$16,1,0))="",N492+E493,N492-E493),N492))</f>
        <v/>
      </c>
      <c r="O493" s="32" t="str">
        <f>IF(B493="","",IF(J493="CompteEpargne",IF(IF(ISNA(VLOOKUP(B493,DATA!$A$1:$A$16,1,0)),"",VLOOKUP(B493,DATA!$A$1:$A$16,1,0))="",O492+E493,O492-E493),O492))</f>
        <v/>
      </c>
      <c r="P493" s="22" t="str">
        <f t="shared" si="2"/>
        <v/>
      </c>
      <c r="Q493" s="32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4.25" customHeight="1" x14ac:dyDescent="0.2">
      <c r="A494" s="1"/>
      <c r="B494" s="33"/>
      <c r="C494" s="17">
        <f t="shared" si="3"/>
        <v>490</v>
      </c>
      <c r="D494" s="34"/>
      <c r="E494" s="35"/>
      <c r="F494" s="20"/>
      <c r="G494" s="20"/>
      <c r="H494" s="36"/>
      <c r="I494" s="36"/>
      <c r="J494" s="20"/>
      <c r="K494" s="36"/>
      <c r="L494" s="22" t="str">
        <f>IF(B494="","",IF(I494="CompteCourant",IF(IF(ISNA(VLOOKUP(B494,DATA!$A$1:$A$16,1,0)),"",VLOOKUP(B494,DATA!$A$1:$A$16,1,0))="",L493+E494,L493-E494),L493))</f>
        <v/>
      </c>
      <c r="M494" s="23" t="str">
        <f>IF(B494="","",IF(I494="Coffre",IF(IF(ISNA(VLOOKUP(B494,DATA!$A$1:$A$16,1,0)),"",VLOOKUP(B494,DATA!$A$1:$A$16,1,0))="",M493+E494,M493-E494),M493))</f>
        <v/>
      </c>
      <c r="N494" s="23" t="str">
        <f>IF(B494="","",IF(I494="CompteEpargne",IF(IF(ISNA(VLOOKUP(B494,DATA!$A$1:$A$16,1,0)),"",VLOOKUP(B494,DATA!$A$1:$A$16,1,0))="",N493+E494,N493-E494),N493))</f>
        <v/>
      </c>
      <c r="O494" s="32" t="str">
        <f>IF(B494="","",IF(J494="CompteEpargne",IF(IF(ISNA(VLOOKUP(B494,DATA!$A$1:$A$16,1,0)),"",VLOOKUP(B494,DATA!$A$1:$A$16,1,0))="",O493+E494,O493-E494),O493))</f>
        <v/>
      </c>
      <c r="P494" s="22" t="str">
        <f t="shared" si="2"/>
        <v/>
      </c>
      <c r="Q494" s="32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4.25" customHeight="1" x14ac:dyDescent="0.2">
      <c r="A495" s="1"/>
      <c r="B495" s="33"/>
      <c r="C495" s="17">
        <f t="shared" si="3"/>
        <v>491</v>
      </c>
      <c r="D495" s="34"/>
      <c r="E495" s="35"/>
      <c r="F495" s="20"/>
      <c r="G495" s="20"/>
      <c r="H495" s="36"/>
      <c r="I495" s="36"/>
      <c r="J495" s="20"/>
      <c r="K495" s="36"/>
      <c r="L495" s="22" t="str">
        <f>IF(B495="","",IF(I495="CompteCourant",IF(IF(ISNA(VLOOKUP(B495,DATA!$A$1:$A$16,1,0)),"",VLOOKUP(B495,DATA!$A$1:$A$16,1,0))="",L494+E495,L494-E495),L494))</f>
        <v/>
      </c>
      <c r="M495" s="23" t="str">
        <f>IF(B495="","",IF(I495="Coffre",IF(IF(ISNA(VLOOKUP(B495,DATA!$A$1:$A$16,1,0)),"",VLOOKUP(B495,DATA!$A$1:$A$16,1,0))="",M494+E495,M494-E495),M494))</f>
        <v/>
      </c>
      <c r="N495" s="23" t="str">
        <f>IF(B495="","",IF(I495="CompteEpargne",IF(IF(ISNA(VLOOKUP(B495,DATA!$A$1:$A$16,1,0)),"",VLOOKUP(B495,DATA!$A$1:$A$16,1,0))="",N494+E495,N494-E495),N494))</f>
        <v/>
      </c>
      <c r="O495" s="32" t="str">
        <f>IF(B495="","",IF(J495="CompteEpargne",IF(IF(ISNA(VLOOKUP(B495,DATA!$A$1:$A$16,1,0)),"",VLOOKUP(B495,DATA!$A$1:$A$16,1,0))="",O494+E495,O494-E495),O494))</f>
        <v/>
      </c>
      <c r="P495" s="22" t="str">
        <f t="shared" si="2"/>
        <v/>
      </c>
      <c r="Q495" s="32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4.25" customHeight="1" x14ac:dyDescent="0.2">
      <c r="A496" s="1"/>
      <c r="B496" s="33"/>
      <c r="C496" s="17">
        <f t="shared" si="3"/>
        <v>492</v>
      </c>
      <c r="D496" s="34"/>
      <c r="E496" s="35"/>
      <c r="F496" s="20"/>
      <c r="G496" s="20"/>
      <c r="H496" s="36"/>
      <c r="I496" s="36"/>
      <c r="J496" s="20"/>
      <c r="K496" s="36"/>
      <c r="L496" s="22" t="str">
        <f>IF(B496="","",IF(I496="CompteCourant",IF(IF(ISNA(VLOOKUP(B496,DATA!$A$1:$A$16,1,0)),"",VLOOKUP(B496,DATA!$A$1:$A$16,1,0))="",L495+E496,L495-E496),L495))</f>
        <v/>
      </c>
      <c r="M496" s="23" t="str">
        <f>IF(B496="","",IF(I496="Coffre",IF(IF(ISNA(VLOOKUP(B496,DATA!$A$1:$A$16,1,0)),"",VLOOKUP(B496,DATA!$A$1:$A$16,1,0))="",M495+E496,M495-E496),M495))</f>
        <v/>
      </c>
      <c r="N496" s="23" t="str">
        <f>IF(B496="","",IF(I496="CompteEpargne",IF(IF(ISNA(VLOOKUP(B496,DATA!$A$1:$A$16,1,0)),"",VLOOKUP(B496,DATA!$A$1:$A$16,1,0))="",N495+E496,N495-E496),N495))</f>
        <v/>
      </c>
      <c r="O496" s="32" t="str">
        <f>IF(B496="","",IF(J496="CompteEpargne",IF(IF(ISNA(VLOOKUP(B496,DATA!$A$1:$A$16,1,0)),"",VLOOKUP(B496,DATA!$A$1:$A$16,1,0))="",O495+E496,O495-E496),O495))</f>
        <v/>
      </c>
      <c r="P496" s="22" t="str">
        <f t="shared" si="2"/>
        <v/>
      </c>
      <c r="Q496" s="32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4.25" customHeight="1" x14ac:dyDescent="0.2">
      <c r="A497" s="1"/>
      <c r="B497" s="33"/>
      <c r="C497" s="17">
        <f t="shared" si="3"/>
        <v>493</v>
      </c>
      <c r="D497" s="34"/>
      <c r="E497" s="35"/>
      <c r="F497" s="20"/>
      <c r="G497" s="20"/>
      <c r="H497" s="36"/>
      <c r="I497" s="36"/>
      <c r="J497" s="20"/>
      <c r="K497" s="36"/>
      <c r="L497" s="22" t="str">
        <f>IF(B497="","",IF(I497="CompteCourant",IF(IF(ISNA(VLOOKUP(B497,DATA!$A$1:$A$16,1,0)),"",VLOOKUP(B497,DATA!$A$1:$A$16,1,0))="",L496+E497,L496-E497),L496))</f>
        <v/>
      </c>
      <c r="M497" s="23" t="str">
        <f>IF(B497="","",IF(I497="Coffre",IF(IF(ISNA(VLOOKUP(B497,DATA!$A$1:$A$16,1,0)),"",VLOOKUP(B497,DATA!$A$1:$A$16,1,0))="",M496+E497,M496-E497),M496))</f>
        <v/>
      </c>
      <c r="N497" s="23" t="str">
        <f>IF(B497="","",IF(I497="CompteEpargne",IF(IF(ISNA(VLOOKUP(B497,DATA!$A$1:$A$16,1,0)),"",VLOOKUP(B497,DATA!$A$1:$A$16,1,0))="",N496+E497,N496-E497),N496))</f>
        <v/>
      </c>
      <c r="O497" s="32" t="str">
        <f>IF(B497="","",IF(J497="CompteEpargne",IF(IF(ISNA(VLOOKUP(B497,DATA!$A$1:$A$16,1,0)),"",VLOOKUP(B497,DATA!$A$1:$A$16,1,0))="",O496+E497,O496-E497),O496))</f>
        <v/>
      </c>
      <c r="P497" s="22" t="str">
        <f t="shared" si="2"/>
        <v/>
      </c>
      <c r="Q497" s="32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4.25" customHeight="1" x14ac:dyDescent="0.2">
      <c r="A498" s="1"/>
      <c r="B498" s="33"/>
      <c r="C498" s="17">
        <f t="shared" si="3"/>
        <v>494</v>
      </c>
      <c r="D498" s="34"/>
      <c r="E498" s="35"/>
      <c r="F498" s="20"/>
      <c r="G498" s="20"/>
      <c r="H498" s="36"/>
      <c r="I498" s="36"/>
      <c r="J498" s="20"/>
      <c r="K498" s="36"/>
      <c r="L498" s="22" t="str">
        <f>IF(B498="","",IF(I498="CompteCourant",IF(IF(ISNA(VLOOKUP(B498,DATA!$A$1:$A$16,1,0)),"",VLOOKUP(B498,DATA!$A$1:$A$16,1,0))="",L497+E498,L497-E498),L497))</f>
        <v/>
      </c>
      <c r="M498" s="23" t="str">
        <f>IF(B498="","",IF(I498="Coffre",IF(IF(ISNA(VLOOKUP(B498,DATA!$A$1:$A$16,1,0)),"",VLOOKUP(B498,DATA!$A$1:$A$16,1,0))="",M497+E498,M497-E498),M497))</f>
        <v/>
      </c>
      <c r="N498" s="23" t="str">
        <f>IF(B498="","",IF(I498="CompteEpargne",IF(IF(ISNA(VLOOKUP(B498,DATA!$A$1:$A$16,1,0)),"",VLOOKUP(B498,DATA!$A$1:$A$16,1,0))="",N497+E498,N497-E498),N497))</f>
        <v/>
      </c>
      <c r="O498" s="32" t="str">
        <f>IF(B498="","",IF(J498="CompteEpargne",IF(IF(ISNA(VLOOKUP(B498,DATA!$A$1:$A$16,1,0)),"",VLOOKUP(B498,DATA!$A$1:$A$16,1,0))="",O497+E498,O497-E498),O497))</f>
        <v/>
      </c>
      <c r="P498" s="22" t="str">
        <f t="shared" si="2"/>
        <v/>
      </c>
      <c r="Q498" s="32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4.25" customHeight="1" x14ac:dyDescent="0.2">
      <c r="A499" s="1"/>
      <c r="B499" s="33"/>
      <c r="C499" s="17">
        <f t="shared" si="3"/>
        <v>495</v>
      </c>
      <c r="D499" s="34"/>
      <c r="E499" s="35"/>
      <c r="F499" s="20"/>
      <c r="G499" s="20"/>
      <c r="H499" s="36"/>
      <c r="I499" s="36"/>
      <c r="J499" s="20"/>
      <c r="K499" s="36"/>
      <c r="L499" s="22" t="str">
        <f>IF(B499="","",IF(I499="CompteCourant",IF(IF(ISNA(VLOOKUP(B499,DATA!$A$1:$A$16,1,0)),"",VLOOKUP(B499,DATA!$A$1:$A$16,1,0))="",L498+E499,L498-E499),L498))</f>
        <v/>
      </c>
      <c r="M499" s="23" t="str">
        <f>IF(B499="","",IF(I499="Coffre",IF(IF(ISNA(VLOOKUP(B499,DATA!$A$1:$A$16,1,0)),"",VLOOKUP(B499,DATA!$A$1:$A$16,1,0))="",M498+E499,M498-E499),M498))</f>
        <v/>
      </c>
      <c r="N499" s="23" t="str">
        <f>IF(B499="","",IF(I499="CompteEpargne",IF(IF(ISNA(VLOOKUP(B499,DATA!$A$1:$A$16,1,0)),"",VLOOKUP(B499,DATA!$A$1:$A$16,1,0))="",N498+E499,N498-E499),N498))</f>
        <v/>
      </c>
      <c r="O499" s="32" t="str">
        <f>IF(B499="","",IF(J499="CompteEpargne",IF(IF(ISNA(VLOOKUP(B499,DATA!$A$1:$A$16,1,0)),"",VLOOKUP(B499,DATA!$A$1:$A$16,1,0))="",O498+E499,O498-E499),O498))</f>
        <v/>
      </c>
      <c r="P499" s="22" t="str">
        <f t="shared" si="2"/>
        <v/>
      </c>
      <c r="Q499" s="32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4.25" customHeight="1" x14ac:dyDescent="0.2">
      <c r="A500" s="1"/>
      <c r="B500" s="33"/>
      <c r="C500" s="40"/>
      <c r="D500" s="34"/>
      <c r="E500" s="35"/>
      <c r="F500" s="36"/>
      <c r="H500" s="36"/>
      <c r="I500" s="36"/>
      <c r="J500" s="36"/>
      <c r="K500" s="36"/>
      <c r="L500" s="41"/>
      <c r="M500" s="32" t="str">
        <f>IF(B500="","",IF(J500="CompteCourant",IF(IF(ISNA(VLOOKUP(B500,DATA!$A$1:$A$16,1,0)),"",VLOOKUP(B500,DATA!$A$1:$A$16,1,0))="",M499+E500,M499-E500),M499))</f>
        <v/>
      </c>
      <c r="N500" s="32" t="str">
        <f>IF(B500="","",IF(J500="Coffre",IF(IF(ISNA(VLOOKUP(B500,DATA!$A$1:$A$16,1,0)),"",VLOOKUP(B500,DATA!$A$1:$A$16,1,0))="",N499+E500,N499-E500),N499))</f>
        <v/>
      </c>
      <c r="O500" s="32" t="str">
        <f>IF(B500="","",IF(J500="CompteEpargne",IF(IF(ISNA(VLOOKUP(B500,DATA!$A$1:$A$16,1,0)),"",VLOOKUP(B500,DATA!$A$1:$A$16,1,0))="",O499+E500,O499-E500),O499))</f>
        <v/>
      </c>
      <c r="P500" s="32" t="str">
        <f>IF(B500="","",IF(J500="CompteMyPos",IF(IF(ISNA(VLOOKUP(B500,DATA!$A$1:$A$15,1,0)),"",VLOOKUP(B500,DATA!$A$1:$A$15,1,0))="",P499+E500,P499-E500),P499))</f>
        <v/>
      </c>
      <c r="Q500" s="32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4.25" customHeight="1" x14ac:dyDescent="0.2">
      <c r="A501" s="1"/>
      <c r="B501" s="33"/>
      <c r="C501" s="40"/>
      <c r="D501" s="34"/>
      <c r="E501" s="35"/>
      <c r="F501" s="36"/>
      <c r="H501" s="36"/>
      <c r="I501" s="36"/>
      <c r="J501" s="36"/>
      <c r="K501" s="36"/>
      <c r="L501" s="41"/>
      <c r="M501" s="32" t="str">
        <f>IF(B501="","",IF(J501="CompteCourant",IF(IF(ISNA(VLOOKUP(B501,DATA!$A$1:$A$16,1,0)),"",VLOOKUP(B501,DATA!$A$1:$A$16,1,0))="",M500+E501,M500-E501),M500))</f>
        <v/>
      </c>
      <c r="N501" s="32" t="str">
        <f>IF(B501="","",IF(J501="Coffre",IF(IF(ISNA(VLOOKUP(B501,DATA!$A$1:$A$16,1,0)),"",VLOOKUP(B501,DATA!$A$1:$A$16,1,0))="",N500+E501,N500-E501),N500))</f>
        <v/>
      </c>
      <c r="O501" s="32" t="str">
        <f>IF(B501="","",IF(J501="CompteEpargne",IF(IF(ISNA(VLOOKUP(B501,DATA!$A$1:$A$16,1,0)),"",VLOOKUP(B501,DATA!$A$1:$A$16,1,0))="",O500+E501,O500-E501),O500))</f>
        <v/>
      </c>
      <c r="P501" s="32" t="str">
        <f>IF(B501="","",IF(J501="CompteMyPos",IF(IF(ISNA(VLOOKUP(B501,DATA!$A$1:$A$15,1,0)),"",VLOOKUP(B501,DATA!$A$1:$A$15,1,0))="",P500+E501,P500-E501),P500))</f>
        <v/>
      </c>
      <c r="Q501" s="32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4.25" customHeight="1" x14ac:dyDescent="0.2">
      <c r="A502" s="1"/>
      <c r="B502" s="33"/>
      <c r="C502" s="40"/>
      <c r="D502" s="34"/>
      <c r="E502" s="35"/>
      <c r="F502" s="36"/>
      <c r="H502" s="36"/>
      <c r="I502" s="36"/>
      <c r="J502" s="36"/>
      <c r="K502" s="36"/>
      <c r="L502" s="41"/>
      <c r="M502" s="32" t="str">
        <f>IF(B502="","",IF(J502="CompteCourant",IF(IF(ISNA(VLOOKUP(B502,DATA!$A$1:$A$16,1,0)),"",VLOOKUP(B502,DATA!$A$1:$A$16,1,0))="",M501+E502,M501-E502),M501))</f>
        <v/>
      </c>
      <c r="N502" s="32" t="str">
        <f>IF(B502="","",IF(J502="Coffre",IF(IF(ISNA(VLOOKUP(B502,DATA!$A$1:$A$16,1,0)),"",VLOOKUP(B502,DATA!$A$1:$A$16,1,0))="",N501+E502,N501-E502),N501))</f>
        <v/>
      </c>
      <c r="O502" s="32" t="str">
        <f>IF(B502="","",IF(J502="CompteEpargne",IF(IF(ISNA(VLOOKUP(B502,DATA!$A$1:$A$16,1,0)),"",VLOOKUP(B502,DATA!$A$1:$A$16,1,0))="",O501+E502,O501-E502),O501))</f>
        <v/>
      </c>
      <c r="P502" s="32" t="str">
        <f>IF(B502="","",IF(J502="CompteMyPos",IF(IF(ISNA(VLOOKUP(B502,DATA!$A$1:$A$15,1,0)),"",VLOOKUP(B502,DATA!$A$1:$A$15,1,0))="",P501+E502,P501-E502),P501))</f>
        <v/>
      </c>
      <c r="Q502" s="32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4.25" customHeight="1" x14ac:dyDescent="0.2">
      <c r="A503" s="1"/>
      <c r="B503" s="33"/>
      <c r="C503" s="40"/>
      <c r="D503" s="34"/>
      <c r="E503" s="35"/>
      <c r="F503" s="36"/>
      <c r="H503" s="36"/>
      <c r="I503" s="36"/>
      <c r="J503" s="36"/>
      <c r="K503" s="36"/>
      <c r="L503" s="41"/>
      <c r="M503" s="32" t="str">
        <f>IF(B503="","",IF(J503="CompteCourant",IF(IF(ISNA(VLOOKUP(B503,DATA!$A$1:$A$16,1,0)),"",VLOOKUP(B503,DATA!$A$1:$A$16,1,0))="",M502+E503,M502-E503),M502))</f>
        <v/>
      </c>
      <c r="N503" s="32" t="str">
        <f>IF(B503="","",IF(J503="Coffre",IF(IF(ISNA(VLOOKUP(B503,DATA!$A$1:$A$16,1,0)),"",VLOOKUP(B503,DATA!$A$1:$A$16,1,0))="",N502+E503,N502-E503),N502))</f>
        <v/>
      </c>
      <c r="O503" s="32" t="str">
        <f>IF(B503="","",IF(J503="CompteEpargne",IF(IF(ISNA(VLOOKUP(B503,DATA!$A$1:$A$16,1,0)),"",VLOOKUP(B503,DATA!$A$1:$A$16,1,0))="",O502+E503,O502-E503),O502))</f>
        <v/>
      </c>
      <c r="P503" s="32" t="str">
        <f>IF(B503="","",IF(J503="CompteMyPos",IF(IF(ISNA(VLOOKUP(B503,DATA!$A$1:$A$15,1,0)),"",VLOOKUP(B503,DATA!$A$1:$A$15,1,0))="",P502+E503,P502-E503),P502))</f>
        <v/>
      </c>
      <c r="Q503" s="32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4.25" customHeight="1" x14ac:dyDescent="0.2">
      <c r="A504" s="1"/>
      <c r="B504" s="33"/>
      <c r="C504" s="40"/>
      <c r="D504" s="34"/>
      <c r="E504" s="35"/>
      <c r="F504" s="36"/>
      <c r="H504" s="36"/>
      <c r="I504" s="36"/>
      <c r="J504" s="36"/>
      <c r="K504" s="36"/>
      <c r="L504" s="41"/>
      <c r="M504" s="32" t="str">
        <f>IF(B504="","",IF(J504="CompteCourant",IF(IF(ISNA(VLOOKUP(B504,DATA!$A$1:$A$16,1,0)),"",VLOOKUP(B504,DATA!$A$1:$A$16,1,0))="",M503+E504,M503-E504),M503))</f>
        <v/>
      </c>
      <c r="N504" s="32" t="str">
        <f>IF(B504="","",IF(J504="Coffre",IF(IF(ISNA(VLOOKUP(B504,DATA!$A$1:$A$16,1,0)),"",VLOOKUP(B504,DATA!$A$1:$A$16,1,0))="",N503+E504,N503-E504),N503))</f>
        <v/>
      </c>
      <c r="O504" s="32" t="str">
        <f>IF(B504="","",IF(J504="CompteEpargne",IF(IF(ISNA(VLOOKUP(B504,DATA!$A$1:$A$16,1,0)),"",VLOOKUP(B504,DATA!$A$1:$A$16,1,0))="",O503+E504,O503-E504),O503))</f>
        <v/>
      </c>
      <c r="P504" s="32" t="str">
        <f>IF(B504="","",IF(J504="CompteMyPos",IF(IF(ISNA(VLOOKUP(B504,DATA!$A$1:$A$15,1,0)),"",VLOOKUP(B504,DATA!$A$1:$A$15,1,0))="",P503+E504,P503-E504),P503))</f>
        <v/>
      </c>
      <c r="Q504" s="32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4.25" customHeight="1" x14ac:dyDescent="0.2">
      <c r="A505" s="1"/>
      <c r="B505" s="33"/>
      <c r="C505" s="40"/>
      <c r="D505" s="34"/>
      <c r="E505" s="35"/>
      <c r="F505" s="36"/>
      <c r="H505" s="36"/>
      <c r="I505" s="36"/>
      <c r="J505" s="36"/>
      <c r="K505" s="36"/>
      <c r="L505" s="41"/>
      <c r="M505" s="32" t="str">
        <f>IF(B505="","",IF(J505="CompteCourant",IF(IF(ISNA(VLOOKUP(B505,DATA!$A$1:$A$16,1,0)),"",VLOOKUP(B505,DATA!$A$1:$A$16,1,0))="",M504+E505,M504-E505),M504))</f>
        <v/>
      </c>
      <c r="N505" s="32" t="str">
        <f>IF(B505="","",IF(J505="Coffre",IF(IF(ISNA(VLOOKUP(B505,DATA!$A$1:$A$16,1,0)),"",VLOOKUP(B505,DATA!$A$1:$A$16,1,0))="",N504+E505,N504-E505),N504))</f>
        <v/>
      </c>
      <c r="O505" s="32" t="str">
        <f>IF(B505="","",IF(J505="CompteEpargne",IF(IF(ISNA(VLOOKUP(B505,DATA!$A$1:$A$16,1,0)),"",VLOOKUP(B505,DATA!$A$1:$A$16,1,0))="",O504+E505,O504-E505),O504))</f>
        <v/>
      </c>
      <c r="P505" s="32" t="str">
        <f>IF(B505="","",IF(J505="CompteMyPos",IF(IF(ISNA(VLOOKUP(B505,DATA!$A$1:$A$15,1,0)),"",VLOOKUP(B505,DATA!$A$1:$A$15,1,0))="",P504+E505,P504-E505),P504))</f>
        <v/>
      </c>
      <c r="Q505" s="32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4.25" customHeight="1" x14ac:dyDescent="0.2">
      <c r="A506" s="1"/>
      <c r="B506" s="33"/>
      <c r="C506" s="40"/>
      <c r="D506" s="34"/>
      <c r="E506" s="35"/>
      <c r="F506" s="36"/>
      <c r="H506" s="36"/>
      <c r="I506" s="36"/>
      <c r="J506" s="36"/>
      <c r="K506" s="36"/>
      <c r="L506" s="41"/>
      <c r="M506" s="32" t="str">
        <f>IF(B506="","",IF(J506="CompteCourant",IF(IF(ISNA(VLOOKUP(B506,DATA!$A$1:$A$16,1,0)),"",VLOOKUP(B506,DATA!$A$1:$A$16,1,0))="",M505+E506,M505-E506),M505))</f>
        <v/>
      </c>
      <c r="N506" s="32" t="str">
        <f>IF(B506="","",IF(J506="Coffre",IF(IF(ISNA(VLOOKUP(B506,DATA!$A$1:$A$16,1,0)),"",VLOOKUP(B506,DATA!$A$1:$A$16,1,0))="",N505+E506,N505-E506),N505))</f>
        <v/>
      </c>
      <c r="O506" s="32" t="str">
        <f>IF(B506="","",IF(J506="CompteEpargne",IF(IF(ISNA(VLOOKUP(B506,DATA!$A$1:$A$16,1,0)),"",VLOOKUP(B506,DATA!$A$1:$A$16,1,0))="",O505+E506,O505-E506),O505))</f>
        <v/>
      </c>
      <c r="P506" s="32" t="str">
        <f>IF(B506="","",IF(J506="CompteMyPos",IF(IF(ISNA(VLOOKUP(B506,DATA!$A$1:$A$15,1,0)),"",VLOOKUP(B506,DATA!$A$1:$A$15,1,0))="",P505+E506,P505-E506),P505))</f>
        <v/>
      </c>
      <c r="Q506" s="32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4.25" customHeight="1" x14ac:dyDescent="0.2">
      <c r="A507" s="1"/>
      <c r="B507" s="33"/>
      <c r="C507" s="40"/>
      <c r="D507" s="34"/>
      <c r="E507" s="35"/>
      <c r="F507" s="36"/>
      <c r="H507" s="36"/>
      <c r="I507" s="36"/>
      <c r="J507" s="36"/>
      <c r="K507" s="36"/>
      <c r="L507" s="41"/>
      <c r="M507" s="32" t="str">
        <f>IF(B507="","",IF(J507="CompteCourant",IF(IF(ISNA(VLOOKUP(B507,DATA!$A$1:$A$16,1,0)),"",VLOOKUP(B507,DATA!$A$1:$A$16,1,0))="",M506+E507,M506-E507),M506))</f>
        <v/>
      </c>
      <c r="N507" s="32" t="str">
        <f>IF(B507="","",IF(J507="Coffre",IF(IF(ISNA(VLOOKUP(B507,DATA!$A$1:$A$16,1,0)),"",VLOOKUP(B507,DATA!$A$1:$A$16,1,0))="",N506+E507,N506-E507),N506))</f>
        <v/>
      </c>
      <c r="O507" s="32" t="str">
        <f>IF(B507="","",IF(J507="CompteEpargne",IF(IF(ISNA(VLOOKUP(B507,DATA!$A$1:$A$16,1,0)),"",VLOOKUP(B507,DATA!$A$1:$A$16,1,0))="",O506+E507,O506-E507),O506))</f>
        <v/>
      </c>
      <c r="P507" s="32" t="str">
        <f>IF(B507="","",IF(J507="CompteMyPos",IF(IF(ISNA(VLOOKUP(B507,DATA!$A$1:$A$15,1,0)),"",VLOOKUP(B507,DATA!$A$1:$A$15,1,0))="",P506+E507,P506-E507),P506))</f>
        <v/>
      </c>
      <c r="Q507" s="32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4.25" customHeight="1" x14ac:dyDescent="0.2">
      <c r="A508" s="1"/>
      <c r="B508" s="33"/>
      <c r="C508" s="40"/>
      <c r="D508" s="34"/>
      <c r="E508" s="35"/>
      <c r="F508" s="36"/>
      <c r="H508" s="36"/>
      <c r="I508" s="36"/>
      <c r="J508" s="36"/>
      <c r="K508" s="36"/>
      <c r="L508" s="41"/>
      <c r="M508" s="32" t="str">
        <f>IF(B508="","",IF(J508="CompteCourant",IF(IF(ISNA(VLOOKUP(B508,DATA!$A$1:$A$16,1,0)),"",VLOOKUP(B508,DATA!$A$1:$A$16,1,0))="",M507+E508,M507-E508),M507))</f>
        <v/>
      </c>
      <c r="N508" s="32" t="str">
        <f>IF(B508="","",IF(J508="Coffre",IF(IF(ISNA(VLOOKUP(B508,DATA!$A$1:$A$16,1,0)),"",VLOOKUP(B508,DATA!$A$1:$A$16,1,0))="",N507+E508,N507-E508),N507))</f>
        <v/>
      </c>
      <c r="O508" s="32" t="str">
        <f>IF(B508="","",IF(J508="CompteEpargne",IF(IF(ISNA(VLOOKUP(B508,DATA!$A$1:$A$16,1,0)),"",VLOOKUP(B508,DATA!$A$1:$A$16,1,0))="",O507+E508,O507-E508),O507))</f>
        <v/>
      </c>
      <c r="P508" s="32" t="str">
        <f>IF(B508="","",IF(J508="CompteMyPos",IF(IF(ISNA(VLOOKUP(B508,DATA!$A$1:$A$15,1,0)),"",VLOOKUP(B508,DATA!$A$1:$A$15,1,0))="",P507+E508,P507-E508),P507))</f>
        <v/>
      </c>
      <c r="Q508" s="32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4.25" customHeight="1" x14ac:dyDescent="0.2">
      <c r="A509" s="1"/>
      <c r="B509" s="33"/>
      <c r="C509" s="40"/>
      <c r="D509" s="34"/>
      <c r="E509" s="35"/>
      <c r="F509" s="36"/>
      <c r="H509" s="36"/>
      <c r="I509" s="36"/>
      <c r="J509" s="36"/>
      <c r="K509" s="36"/>
      <c r="L509" s="41"/>
      <c r="M509" s="32" t="str">
        <f>IF(B509="","",IF(J509="CompteCourant",IF(IF(ISNA(VLOOKUP(B509,DATA!$A$1:$A$16,1,0)),"",VLOOKUP(B509,DATA!$A$1:$A$16,1,0))="",M508+E509,M508-E509),M508))</f>
        <v/>
      </c>
      <c r="N509" s="32" t="str">
        <f>IF(B509="","",IF(J509="Coffre",IF(IF(ISNA(VLOOKUP(B509,DATA!$A$1:$A$16,1,0)),"",VLOOKUP(B509,DATA!$A$1:$A$16,1,0))="",N508+E509,N508-E509),N508))</f>
        <v/>
      </c>
      <c r="O509" s="32" t="str">
        <f>IF(B509="","",IF(J509="CompteEpargne",IF(IF(ISNA(VLOOKUP(B509,DATA!$A$1:$A$16,1,0)),"",VLOOKUP(B509,DATA!$A$1:$A$16,1,0))="",O508+E509,O508-E509),O508))</f>
        <v/>
      </c>
      <c r="P509" s="32" t="str">
        <f>IF(B509="","",IF(J509="CompteMyPos",IF(IF(ISNA(VLOOKUP(B509,DATA!$A$1:$A$15,1,0)),"",VLOOKUP(B509,DATA!$A$1:$A$15,1,0))="",P508+E509,P508-E509),P508))</f>
        <v/>
      </c>
      <c r="Q509" s="32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4.25" customHeight="1" x14ac:dyDescent="0.2">
      <c r="A510" s="1"/>
      <c r="B510" s="33"/>
      <c r="C510" s="40"/>
      <c r="D510" s="34"/>
      <c r="E510" s="35"/>
      <c r="F510" s="36"/>
      <c r="H510" s="36"/>
      <c r="I510" s="36"/>
      <c r="J510" s="36"/>
      <c r="K510" s="36"/>
      <c r="L510" s="41"/>
      <c r="M510" s="32" t="str">
        <f>IF(B510="","",IF(J510="CompteCourant",IF(IF(ISNA(VLOOKUP(B510,DATA!$A$1:$A$16,1,0)),"",VLOOKUP(B510,DATA!$A$1:$A$16,1,0))="",M509+E510,M509-E510),M509))</f>
        <v/>
      </c>
      <c r="N510" s="32" t="str">
        <f>IF(B510="","",IF(J510="Coffre",IF(IF(ISNA(VLOOKUP(B510,DATA!$A$1:$A$16,1,0)),"",VLOOKUP(B510,DATA!$A$1:$A$16,1,0))="",N509+E510,N509-E510),N509))</f>
        <v/>
      </c>
      <c r="O510" s="32" t="str">
        <f>IF(B510="","",IF(J510="CompteEpargne",IF(IF(ISNA(VLOOKUP(B510,DATA!$A$1:$A$16,1,0)),"",VLOOKUP(B510,DATA!$A$1:$A$16,1,0))="",O509+E510,O509-E510),O509))</f>
        <v/>
      </c>
      <c r="P510" s="32" t="str">
        <f>IF(B510="","",IF(J510="CompteMyPos",IF(IF(ISNA(VLOOKUP(B510,DATA!$A$1:$A$15,1,0)),"",VLOOKUP(B510,DATA!$A$1:$A$15,1,0))="",P509+E510,P509-E510),P509))</f>
        <v/>
      </c>
      <c r="Q510" s="32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4.25" customHeight="1" x14ac:dyDescent="0.2">
      <c r="A511" s="1"/>
      <c r="B511" s="33"/>
      <c r="C511" s="40"/>
      <c r="D511" s="34"/>
      <c r="E511" s="35"/>
      <c r="F511" s="36"/>
      <c r="H511" s="36"/>
      <c r="I511" s="36"/>
      <c r="J511" s="36"/>
      <c r="K511" s="36"/>
      <c r="L511" s="41"/>
      <c r="M511" s="32" t="str">
        <f>IF(B511="","",IF(J511="CompteCourant",IF(IF(ISNA(VLOOKUP(B511,DATA!$A$1:$A$16,1,0)),"",VLOOKUP(B511,DATA!$A$1:$A$16,1,0))="",M510+E511,M510-E511),M510))</f>
        <v/>
      </c>
      <c r="N511" s="32" t="str">
        <f>IF(B511="","",IF(J511="Coffre",IF(IF(ISNA(VLOOKUP(B511,DATA!$A$1:$A$16,1,0)),"",VLOOKUP(B511,DATA!$A$1:$A$16,1,0))="",N510+E511,N510-E511),N510))</f>
        <v/>
      </c>
      <c r="O511" s="32" t="str">
        <f>IF(B511="","",IF(J511="CompteEpargne",IF(IF(ISNA(VLOOKUP(B511,DATA!$A$1:$A$16,1,0)),"",VLOOKUP(B511,DATA!$A$1:$A$16,1,0))="",O510+E511,O510-E511),O510))</f>
        <v/>
      </c>
      <c r="P511" s="32" t="str">
        <f>IF(B511="","",IF(J511="CompteMyPos",IF(IF(ISNA(VLOOKUP(B511,DATA!$A$1:$A$15,1,0)),"",VLOOKUP(B511,DATA!$A$1:$A$15,1,0))="",P510+E511,P510-E511),P510))</f>
        <v/>
      </c>
      <c r="Q511" s="32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4.25" customHeight="1" x14ac:dyDescent="0.2">
      <c r="A512" s="1"/>
      <c r="B512" s="33"/>
      <c r="C512" s="40"/>
      <c r="D512" s="34"/>
      <c r="E512" s="35"/>
      <c r="F512" s="36"/>
      <c r="H512" s="36"/>
      <c r="I512" s="36"/>
      <c r="J512" s="36"/>
      <c r="K512" s="36"/>
      <c r="L512" s="41"/>
      <c r="M512" s="32" t="str">
        <f>IF(B512="","",IF(J512="CompteCourant",IF(IF(ISNA(VLOOKUP(B512,DATA!$A$1:$A$16,1,0)),"",VLOOKUP(B512,DATA!$A$1:$A$16,1,0))="",M511+E512,M511-E512),M511))</f>
        <v/>
      </c>
      <c r="N512" s="32" t="str">
        <f>IF(B512="","",IF(J512="Coffre",IF(IF(ISNA(VLOOKUP(B512,DATA!$A$1:$A$16,1,0)),"",VLOOKUP(B512,DATA!$A$1:$A$16,1,0))="",N511+E512,N511-E512),N511))</f>
        <v/>
      </c>
      <c r="O512" s="32" t="str">
        <f>IF(B512="","",IF(J512="CompteEpargne",IF(IF(ISNA(VLOOKUP(B512,DATA!$A$1:$A$16,1,0)),"",VLOOKUP(B512,DATA!$A$1:$A$16,1,0))="",O511+E512,O511-E512),O511))</f>
        <v/>
      </c>
      <c r="P512" s="32" t="str">
        <f>IF(B512="","",IF(J512="CompteMyPos",IF(IF(ISNA(VLOOKUP(B512,DATA!$A$1:$A$15,1,0)),"",VLOOKUP(B512,DATA!$A$1:$A$15,1,0))="",P511+E512,P511-E512),P511))</f>
        <v/>
      </c>
      <c r="Q512" s="32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4.25" customHeight="1" x14ac:dyDescent="0.2">
      <c r="A513" s="1"/>
      <c r="B513" s="33"/>
      <c r="C513" s="40"/>
      <c r="D513" s="34"/>
      <c r="E513" s="35"/>
      <c r="F513" s="36"/>
      <c r="H513" s="36"/>
      <c r="I513" s="36"/>
      <c r="J513" s="36"/>
      <c r="K513" s="36"/>
      <c r="L513" s="41"/>
      <c r="M513" s="32" t="str">
        <f>IF(B513="","",IF(J513="CompteCourant",IF(IF(ISNA(VLOOKUP(B513,DATA!$A$1:$A$16,1,0)),"",VLOOKUP(B513,DATA!$A$1:$A$16,1,0))="",M512+E513,M512-E513),M512))</f>
        <v/>
      </c>
      <c r="N513" s="32" t="str">
        <f>IF(B513="","",IF(J513="Coffre",IF(IF(ISNA(VLOOKUP(B513,DATA!$A$1:$A$16,1,0)),"",VLOOKUP(B513,DATA!$A$1:$A$16,1,0))="",N512+E513,N512-E513),N512))</f>
        <v/>
      </c>
      <c r="O513" s="32" t="str">
        <f>IF(B513="","",IF(J513="CompteEpargne",IF(IF(ISNA(VLOOKUP(B513,DATA!$A$1:$A$16,1,0)),"",VLOOKUP(B513,DATA!$A$1:$A$16,1,0))="",O512+E513,O512-E513),O512))</f>
        <v/>
      </c>
      <c r="P513" s="32" t="str">
        <f>IF(B513="","",IF(J513="CompteMyPos",IF(IF(ISNA(VLOOKUP(B513,DATA!$A$1:$A$15,1,0)),"",VLOOKUP(B513,DATA!$A$1:$A$15,1,0))="",P512+E513,P512-E513),P512))</f>
        <v/>
      </c>
      <c r="Q513" s="32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4.25" customHeight="1" x14ac:dyDescent="0.2">
      <c r="A514" s="1"/>
      <c r="B514" s="33"/>
      <c r="C514" s="40"/>
      <c r="D514" s="34"/>
      <c r="E514" s="35"/>
      <c r="F514" s="36"/>
      <c r="H514" s="36"/>
      <c r="I514" s="36"/>
      <c r="J514" s="36"/>
      <c r="K514" s="36"/>
      <c r="L514" s="41"/>
      <c r="M514" s="32" t="str">
        <f>IF(B514="","",IF(J514="CompteCourant",IF(IF(ISNA(VLOOKUP(B514,DATA!$A$1:$A$16,1,0)),"",VLOOKUP(B514,DATA!$A$1:$A$16,1,0))="",M513+E514,M513-E514),M513))</f>
        <v/>
      </c>
      <c r="N514" s="32" t="str">
        <f>IF(B514="","",IF(J514="Coffre",IF(IF(ISNA(VLOOKUP(B514,DATA!$A$1:$A$16,1,0)),"",VLOOKUP(B514,DATA!$A$1:$A$16,1,0))="",N513+E514,N513-E514),N513))</f>
        <v/>
      </c>
      <c r="O514" s="32" t="str">
        <f>IF(B514="","",IF(J514="CompteEpargne",IF(IF(ISNA(VLOOKUP(B514,DATA!$A$1:$A$16,1,0)),"",VLOOKUP(B514,DATA!$A$1:$A$16,1,0))="",O513+E514,O513-E514),O513))</f>
        <v/>
      </c>
      <c r="P514" s="32" t="str">
        <f>IF(B514="","",IF(J514="CompteMyPos",IF(IF(ISNA(VLOOKUP(B514,DATA!$A$1:$A$15,1,0)),"",VLOOKUP(B514,DATA!$A$1:$A$15,1,0))="",P513+E514,P513-E514),P513))</f>
        <v/>
      </c>
      <c r="Q514" s="32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4.25" customHeight="1" x14ac:dyDescent="0.2">
      <c r="A515" s="1"/>
      <c r="B515" s="33"/>
      <c r="C515" s="40"/>
      <c r="D515" s="34"/>
      <c r="E515" s="35"/>
      <c r="F515" s="36"/>
      <c r="H515" s="36"/>
      <c r="I515" s="36"/>
      <c r="J515" s="36"/>
      <c r="K515" s="36"/>
      <c r="L515" s="41"/>
      <c r="M515" s="32" t="str">
        <f>IF(B515="","",IF(J515="CompteCourant",IF(IF(ISNA(VLOOKUP(B515,DATA!$A$1:$A$16,1,0)),"",VLOOKUP(B515,DATA!$A$1:$A$16,1,0))="",M514+E515,M514-E515),M514))</f>
        <v/>
      </c>
      <c r="N515" s="32" t="str">
        <f>IF(B515="","",IF(J515="Coffre",IF(IF(ISNA(VLOOKUP(B515,DATA!$A$1:$A$16,1,0)),"",VLOOKUP(B515,DATA!$A$1:$A$16,1,0))="",N514+E515,N514-E515),N514))</f>
        <v/>
      </c>
      <c r="O515" s="32" t="str">
        <f>IF(B515="","",IF(J515="CompteEpargne",IF(IF(ISNA(VLOOKUP(B515,DATA!$A$1:$A$16,1,0)),"",VLOOKUP(B515,DATA!$A$1:$A$16,1,0))="",O514+E515,O514-E515),O514))</f>
        <v/>
      </c>
      <c r="P515" s="32" t="str">
        <f>IF(B515="","",IF(J515="CompteMyPos",IF(IF(ISNA(VLOOKUP(B515,DATA!$A$1:$A$15,1,0)),"",VLOOKUP(B515,DATA!$A$1:$A$15,1,0))="",P514+E515,P514-E515),P514))</f>
        <v/>
      </c>
      <c r="Q515" s="32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4.25" customHeight="1" x14ac:dyDescent="0.2">
      <c r="A516" s="1"/>
      <c r="B516" s="33"/>
      <c r="C516" s="40"/>
      <c r="D516" s="34"/>
      <c r="E516" s="35"/>
      <c r="F516" s="36"/>
      <c r="H516" s="36"/>
      <c r="I516" s="36"/>
      <c r="J516" s="36"/>
      <c r="K516" s="36"/>
      <c r="L516" s="41"/>
      <c r="M516" s="32" t="str">
        <f>IF(B516="","",IF(J516="CompteCourant",IF(IF(ISNA(VLOOKUP(B516,DATA!$A$1:$A$16,1,0)),"",VLOOKUP(B516,DATA!$A$1:$A$16,1,0))="",M515+E516,M515-E516),M515))</f>
        <v/>
      </c>
      <c r="N516" s="32" t="str">
        <f>IF(B516="","",IF(J516="Coffre",IF(IF(ISNA(VLOOKUP(B516,DATA!$A$1:$A$16,1,0)),"",VLOOKUP(B516,DATA!$A$1:$A$16,1,0))="",N515+E516,N515-E516),N515))</f>
        <v/>
      </c>
      <c r="O516" s="32" t="str">
        <f>IF(B516="","",IF(J516="CompteEpargne",IF(IF(ISNA(VLOOKUP(B516,DATA!$A$1:$A$16,1,0)),"",VLOOKUP(B516,DATA!$A$1:$A$16,1,0))="",O515+E516,O515-E516),O515))</f>
        <v/>
      </c>
      <c r="P516" s="32" t="str">
        <f>IF(B516="","",IF(J516="CompteMyPos",IF(IF(ISNA(VLOOKUP(B516,DATA!$A$1:$A$15,1,0)),"",VLOOKUP(B516,DATA!$A$1:$A$15,1,0))="",P515+E516,P515-E516),P515))</f>
        <v/>
      </c>
      <c r="Q516" s="32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4.25" customHeight="1" x14ac:dyDescent="0.2">
      <c r="A517" s="1"/>
      <c r="B517" s="33"/>
      <c r="C517" s="40"/>
      <c r="D517" s="34"/>
      <c r="E517" s="35"/>
      <c r="F517" s="36"/>
      <c r="H517" s="36"/>
      <c r="I517" s="36"/>
      <c r="J517" s="36"/>
      <c r="K517" s="36"/>
      <c r="L517" s="41"/>
      <c r="M517" s="32" t="str">
        <f>IF(B517="","",IF(J517="CompteCourant",IF(IF(ISNA(VLOOKUP(B517,DATA!$A$1:$A$16,1,0)),"",VLOOKUP(B517,DATA!$A$1:$A$16,1,0))="",M516+E517,M516-E517),M516))</f>
        <v/>
      </c>
      <c r="N517" s="32" t="str">
        <f>IF(B517="","",IF(J517="Coffre",IF(IF(ISNA(VLOOKUP(B517,DATA!$A$1:$A$16,1,0)),"",VLOOKUP(B517,DATA!$A$1:$A$16,1,0))="",N516+E517,N516-E517),N516))</f>
        <v/>
      </c>
      <c r="O517" s="32" t="str">
        <f>IF(B517="","",IF(J517="CompteEpargne",IF(IF(ISNA(VLOOKUP(B517,DATA!$A$1:$A$16,1,0)),"",VLOOKUP(B517,DATA!$A$1:$A$16,1,0))="",O516+E517,O516-E517),O516))</f>
        <v/>
      </c>
      <c r="P517" s="32" t="str">
        <f>IF(B517="","",IF(J517="CompteMyPos",IF(IF(ISNA(VLOOKUP(B517,DATA!$A$1:$A$15,1,0)),"",VLOOKUP(B517,DATA!$A$1:$A$15,1,0))="",P516+E517,P516-E517),P516))</f>
        <v/>
      </c>
      <c r="Q517" s="32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4.25" customHeight="1" x14ac:dyDescent="0.2">
      <c r="A518" s="1"/>
      <c r="B518" s="33"/>
      <c r="C518" s="40"/>
      <c r="D518" s="34"/>
      <c r="E518" s="35"/>
      <c r="F518" s="36"/>
      <c r="H518" s="36"/>
      <c r="I518" s="36"/>
      <c r="J518" s="36"/>
      <c r="K518" s="36"/>
      <c r="L518" s="41"/>
      <c r="M518" s="32" t="str">
        <f>IF(B518="","",IF(J518="CompteCourant",IF(IF(ISNA(VLOOKUP(B518,DATA!$A$1:$A$16,1,0)),"",VLOOKUP(B518,DATA!$A$1:$A$16,1,0))="",M517+E518,M517-E518),M517))</f>
        <v/>
      </c>
      <c r="N518" s="32" t="str">
        <f>IF(B518="","",IF(J518="Coffre",IF(IF(ISNA(VLOOKUP(B518,DATA!$A$1:$A$16,1,0)),"",VLOOKUP(B518,DATA!$A$1:$A$16,1,0))="",N517+E518,N517-E518),N517))</f>
        <v/>
      </c>
      <c r="O518" s="32" t="str">
        <f>IF(B518="","",IF(J518="CompteEpargne",IF(IF(ISNA(VLOOKUP(B518,DATA!$A$1:$A$16,1,0)),"",VLOOKUP(B518,DATA!$A$1:$A$16,1,0))="",O517+E518,O517-E518),O517))</f>
        <v/>
      </c>
      <c r="P518" s="32" t="str">
        <f>IF(B518="","",IF(J518="CompteMyPos",IF(IF(ISNA(VLOOKUP(B518,DATA!$A$1:$A$15,1,0)),"",VLOOKUP(B518,DATA!$A$1:$A$15,1,0))="",P517+E518,P517-E518),P517))</f>
        <v/>
      </c>
      <c r="Q518" s="32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4.25" customHeight="1" x14ac:dyDescent="0.2">
      <c r="A519" s="1"/>
      <c r="B519" s="33"/>
      <c r="C519" s="40"/>
      <c r="D519" s="34"/>
      <c r="E519" s="35"/>
      <c r="F519" s="36"/>
      <c r="H519" s="36"/>
      <c r="I519" s="36"/>
      <c r="J519" s="36"/>
      <c r="K519" s="36"/>
      <c r="L519" s="41"/>
      <c r="M519" s="32" t="str">
        <f>IF(B519="","",IF(J519="CompteCourant",IF(IF(ISNA(VLOOKUP(B519,DATA!$A$1:$A$16,1,0)),"",VLOOKUP(B519,DATA!$A$1:$A$16,1,0))="",M518+E519,M518-E519),M518))</f>
        <v/>
      </c>
      <c r="N519" s="32" t="str">
        <f>IF(B519="","",IF(J519="Coffre",IF(IF(ISNA(VLOOKUP(B519,DATA!$A$1:$A$16,1,0)),"",VLOOKUP(B519,DATA!$A$1:$A$16,1,0))="",N518+E519,N518-E519),N518))</f>
        <v/>
      </c>
      <c r="O519" s="32" t="str">
        <f>IF(B519="","",IF(J519="CompteEpargne",IF(IF(ISNA(VLOOKUP(B519,DATA!$A$1:$A$16,1,0)),"",VLOOKUP(B519,DATA!$A$1:$A$16,1,0))="",O518+E519,O518-E519),O518))</f>
        <v/>
      </c>
      <c r="P519" s="32" t="str">
        <f>IF(B519="","",IF(J519="CompteMyPos",IF(IF(ISNA(VLOOKUP(B519,DATA!$A$1:$A$15,1,0)),"",VLOOKUP(B519,DATA!$A$1:$A$15,1,0))="",P518+E519,P518-E519),P518))</f>
        <v/>
      </c>
      <c r="Q519" s="32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4.25" customHeight="1" x14ac:dyDescent="0.2">
      <c r="A520" s="1"/>
      <c r="B520" s="33"/>
      <c r="C520" s="40"/>
      <c r="D520" s="34"/>
      <c r="E520" s="35"/>
      <c r="F520" s="36"/>
      <c r="H520" s="36"/>
      <c r="I520" s="36"/>
      <c r="J520" s="36"/>
      <c r="K520" s="36"/>
      <c r="L520" s="41"/>
      <c r="M520" s="32" t="str">
        <f>IF(B520="","",IF(J520="CompteCourant",IF(IF(ISNA(VLOOKUP(B520,DATA!$A$1:$A$16,1,0)),"",VLOOKUP(B520,DATA!$A$1:$A$16,1,0))="",M519+E520,M519-E520),M519))</f>
        <v/>
      </c>
      <c r="N520" s="32" t="str">
        <f>IF(B520="","",IF(J520="Coffre",IF(IF(ISNA(VLOOKUP(B520,DATA!$A$1:$A$16,1,0)),"",VLOOKUP(B520,DATA!$A$1:$A$16,1,0))="",N519+E520,N519-E520),N519))</f>
        <v/>
      </c>
      <c r="O520" s="32" t="str">
        <f>IF(B520="","",IF(J520="CompteEpargne",IF(IF(ISNA(VLOOKUP(B520,DATA!$A$1:$A$16,1,0)),"",VLOOKUP(B520,DATA!$A$1:$A$16,1,0))="",O519+E520,O519-E520),O519))</f>
        <v/>
      </c>
      <c r="P520" s="32" t="str">
        <f>IF(B520="","",IF(J520="CompteMyPos",IF(IF(ISNA(VLOOKUP(B520,DATA!$A$1:$A$15,1,0)),"",VLOOKUP(B520,DATA!$A$1:$A$15,1,0))="",P519+E520,P519-E520),P519))</f>
        <v/>
      </c>
      <c r="Q520" s="32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4.25" customHeight="1" x14ac:dyDescent="0.2">
      <c r="A521" s="1"/>
      <c r="B521" s="33"/>
      <c r="C521" s="40"/>
      <c r="D521" s="34"/>
      <c r="E521" s="35"/>
      <c r="F521" s="36"/>
      <c r="H521" s="36"/>
      <c r="I521" s="36"/>
      <c r="J521" s="36"/>
      <c r="K521" s="36"/>
      <c r="L521" s="41"/>
      <c r="M521" s="32" t="str">
        <f>IF(B521="","",IF(J521="CompteCourant",IF(IF(ISNA(VLOOKUP(B521,DATA!$A$1:$A$16,1,0)),"",VLOOKUP(B521,DATA!$A$1:$A$16,1,0))="",M520+E521,M520-E521),M520))</f>
        <v/>
      </c>
      <c r="N521" s="32" t="str">
        <f>IF(B521="","",IF(J521="Coffre",IF(IF(ISNA(VLOOKUP(B521,DATA!$A$1:$A$16,1,0)),"",VLOOKUP(B521,DATA!$A$1:$A$16,1,0))="",N520+E521,N520-E521),N520))</f>
        <v/>
      </c>
      <c r="O521" s="32" t="str">
        <f>IF(B521="","",IF(J521="CompteEpargne",IF(IF(ISNA(VLOOKUP(B521,DATA!$A$1:$A$16,1,0)),"",VLOOKUP(B521,DATA!$A$1:$A$16,1,0))="",O520+E521,O520-E521),O520))</f>
        <v/>
      </c>
      <c r="P521" s="32" t="str">
        <f>IF(B521="","",IF(J521="CompteMyPos",IF(IF(ISNA(VLOOKUP(B521,DATA!$A$1:$A$15,1,0)),"",VLOOKUP(B521,DATA!$A$1:$A$15,1,0))="",P520+E521,P520-E521),P520))</f>
        <v/>
      </c>
      <c r="Q521" s="32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4.25" customHeight="1" x14ac:dyDescent="0.2">
      <c r="A522" s="1"/>
      <c r="B522" s="33"/>
      <c r="C522" s="40"/>
      <c r="D522" s="34"/>
      <c r="E522" s="35"/>
      <c r="F522" s="36"/>
      <c r="H522" s="36"/>
      <c r="I522" s="36"/>
      <c r="J522" s="36"/>
      <c r="K522" s="36"/>
      <c r="L522" s="41"/>
      <c r="M522" s="32" t="str">
        <f>IF(B522="","",IF(J522="CompteCourant",IF(IF(ISNA(VLOOKUP(B522,DATA!$A$1:$A$16,1,0)),"",VLOOKUP(B522,DATA!$A$1:$A$16,1,0))="",M521+E522,M521-E522),M521))</f>
        <v/>
      </c>
      <c r="N522" s="32" t="str">
        <f>IF(B522="","",IF(J522="Coffre",IF(IF(ISNA(VLOOKUP(B522,DATA!$A$1:$A$16,1,0)),"",VLOOKUP(B522,DATA!$A$1:$A$16,1,0))="",N521+E522,N521-E522),N521))</f>
        <v/>
      </c>
      <c r="O522" s="32" t="str">
        <f>IF(B522="","",IF(J522="CompteEpargne",IF(IF(ISNA(VLOOKUP(B522,DATA!$A$1:$A$16,1,0)),"",VLOOKUP(B522,DATA!$A$1:$A$16,1,0))="",O521+E522,O521-E522),O521))</f>
        <v/>
      </c>
      <c r="P522" s="32" t="str">
        <f>IF(B522="","",IF(J522="CompteMyPos",IF(IF(ISNA(VLOOKUP(B522,DATA!$A$1:$A$15,1,0)),"",VLOOKUP(B522,DATA!$A$1:$A$15,1,0))="",P521+E522,P521-E522),P521))</f>
        <v/>
      </c>
      <c r="Q522" s="32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4.25" customHeight="1" x14ac:dyDescent="0.2">
      <c r="A523" s="1"/>
      <c r="B523" s="33"/>
      <c r="C523" s="40"/>
      <c r="D523" s="34"/>
      <c r="E523" s="35"/>
      <c r="F523" s="36"/>
      <c r="H523" s="36"/>
      <c r="I523" s="36"/>
      <c r="J523" s="36"/>
      <c r="K523" s="36"/>
      <c r="L523" s="41"/>
      <c r="M523" s="32" t="str">
        <f>IF(B523="","",IF(J523="CompteCourant",IF(IF(ISNA(VLOOKUP(B523,DATA!$A$1:$A$16,1,0)),"",VLOOKUP(B523,DATA!$A$1:$A$16,1,0))="",M522+E523,M522-E523),M522))</f>
        <v/>
      </c>
      <c r="N523" s="32" t="str">
        <f>IF(B523="","",IF(J523="Coffre",IF(IF(ISNA(VLOOKUP(B523,DATA!$A$1:$A$16,1,0)),"",VLOOKUP(B523,DATA!$A$1:$A$16,1,0))="",N522+E523,N522-E523),N522))</f>
        <v/>
      </c>
      <c r="O523" s="32" t="str">
        <f>IF(B523="","",IF(J523="CompteEpargne",IF(IF(ISNA(VLOOKUP(B523,DATA!$A$1:$A$16,1,0)),"",VLOOKUP(B523,DATA!$A$1:$A$16,1,0))="",O522+E523,O522-E523),O522))</f>
        <v/>
      </c>
      <c r="P523" s="32" t="str">
        <f>IF(B523="","",IF(J523="CompteMyPos",IF(IF(ISNA(VLOOKUP(B523,DATA!$A$1:$A$15,1,0)),"",VLOOKUP(B523,DATA!$A$1:$A$15,1,0))="",P522+E523,P522-E523),P522))</f>
        <v/>
      </c>
      <c r="Q523" s="32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4.25" customHeight="1" x14ac:dyDescent="0.2">
      <c r="A524" s="1"/>
      <c r="B524" s="33"/>
      <c r="C524" s="40"/>
      <c r="D524" s="34"/>
      <c r="E524" s="35"/>
      <c r="F524" s="36"/>
      <c r="H524" s="36"/>
      <c r="I524" s="36"/>
      <c r="J524" s="36"/>
      <c r="K524" s="36"/>
      <c r="L524" s="41"/>
      <c r="M524" s="32" t="str">
        <f>IF(B524="","",IF(J524="CompteCourant",IF(IF(ISNA(VLOOKUP(B524,DATA!$A$1:$A$16,1,0)),"",VLOOKUP(B524,DATA!$A$1:$A$16,1,0))="",M523+E524,M523-E524),M523))</f>
        <v/>
      </c>
      <c r="N524" s="32" t="str">
        <f>IF(B524="","",IF(J524="Coffre",IF(IF(ISNA(VLOOKUP(B524,DATA!$A$1:$A$16,1,0)),"",VLOOKUP(B524,DATA!$A$1:$A$16,1,0))="",N523+E524,N523-E524),N523))</f>
        <v/>
      </c>
      <c r="O524" s="32" t="str">
        <f>IF(B524="","",IF(J524="CompteEpargne",IF(IF(ISNA(VLOOKUP(B524,DATA!$A$1:$A$16,1,0)),"",VLOOKUP(B524,DATA!$A$1:$A$16,1,0))="",O523+E524,O523-E524),O523))</f>
        <v/>
      </c>
      <c r="P524" s="32" t="str">
        <f>IF(B524="","",IF(J524="CompteMyPos",IF(IF(ISNA(VLOOKUP(B524,DATA!$A$1:$A$15,1,0)),"",VLOOKUP(B524,DATA!$A$1:$A$15,1,0))="",P523+E524,P523-E524),P523))</f>
        <v/>
      </c>
      <c r="Q524" s="32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4.25" customHeight="1" x14ac:dyDescent="0.2">
      <c r="A525" s="1"/>
      <c r="B525" s="33"/>
      <c r="C525" s="40"/>
      <c r="D525" s="34"/>
      <c r="E525" s="35"/>
      <c r="F525" s="36"/>
      <c r="H525" s="36"/>
      <c r="I525" s="36"/>
      <c r="J525" s="36"/>
      <c r="K525" s="36"/>
      <c r="L525" s="41"/>
      <c r="M525" s="32" t="str">
        <f>IF(B525="","",IF(J525="CompteCourant",IF(IF(ISNA(VLOOKUP(B525,DATA!$A$1:$A$16,1,0)),"",VLOOKUP(B525,DATA!$A$1:$A$16,1,0))="",M524+E525,M524-E525),M524))</f>
        <v/>
      </c>
      <c r="N525" s="32" t="str">
        <f>IF(B525="","",IF(J525="Coffre",IF(IF(ISNA(VLOOKUP(B525,DATA!$A$1:$A$16,1,0)),"",VLOOKUP(B525,DATA!$A$1:$A$16,1,0))="",N524+E525,N524-E525),N524))</f>
        <v/>
      </c>
      <c r="O525" s="32" t="str">
        <f>IF(B525="","",IF(J525="CompteEpargne",IF(IF(ISNA(VLOOKUP(B525,DATA!$A$1:$A$16,1,0)),"",VLOOKUP(B525,DATA!$A$1:$A$16,1,0))="",O524+E525,O524-E525),O524))</f>
        <v/>
      </c>
      <c r="P525" s="32" t="str">
        <f>IF(B525="","",IF(J525="CompteMyPos",IF(IF(ISNA(VLOOKUP(B525,DATA!$A$1:$A$15,1,0)),"",VLOOKUP(B525,DATA!$A$1:$A$15,1,0))="",P524+E525,P524-E525),P524))</f>
        <v/>
      </c>
      <c r="Q525" s="32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4.25" customHeight="1" x14ac:dyDescent="0.2">
      <c r="A526" s="1"/>
      <c r="B526" s="33"/>
      <c r="C526" s="40"/>
      <c r="D526" s="34"/>
      <c r="E526" s="35"/>
      <c r="F526" s="36"/>
      <c r="H526" s="36"/>
      <c r="I526" s="36"/>
      <c r="J526" s="36"/>
      <c r="K526" s="36"/>
      <c r="L526" s="41"/>
      <c r="M526" s="32" t="str">
        <f>IF(B526="","",IF(J526="CompteCourant",IF(IF(ISNA(VLOOKUP(B526,DATA!$A$1:$A$16,1,0)),"",VLOOKUP(B526,DATA!$A$1:$A$16,1,0))="",M525+E526,M525-E526),M525))</f>
        <v/>
      </c>
      <c r="N526" s="32" t="str">
        <f>IF(B526="","",IF(J526="Coffre",IF(IF(ISNA(VLOOKUP(B526,DATA!$A$1:$A$16,1,0)),"",VLOOKUP(B526,DATA!$A$1:$A$16,1,0))="",N525+E526,N525-E526),N525))</f>
        <v/>
      </c>
      <c r="O526" s="32" t="str">
        <f>IF(B526="","",IF(J526="CompteEpargne",IF(IF(ISNA(VLOOKUP(B526,DATA!$A$1:$A$16,1,0)),"",VLOOKUP(B526,DATA!$A$1:$A$16,1,0))="",O525+E526,O525-E526),O525))</f>
        <v/>
      </c>
      <c r="P526" s="32" t="str">
        <f>IF(B526="","",IF(J526="CompteMyPos",IF(IF(ISNA(VLOOKUP(B526,DATA!$A$1:$A$15,1,0)),"",VLOOKUP(B526,DATA!$A$1:$A$15,1,0))="",P525+E526,P525-E526),P525))</f>
        <v/>
      </c>
      <c r="Q526" s="32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4.25" customHeight="1" x14ac:dyDescent="0.2">
      <c r="A527" s="1"/>
      <c r="B527" s="33"/>
      <c r="C527" s="40"/>
      <c r="D527" s="34"/>
      <c r="E527" s="35"/>
      <c r="F527" s="36"/>
      <c r="H527" s="36"/>
      <c r="I527" s="36"/>
      <c r="J527" s="36"/>
      <c r="K527" s="36"/>
      <c r="L527" s="41"/>
      <c r="M527" s="32" t="str">
        <f>IF(B527="","",IF(J527="CompteCourant",IF(IF(ISNA(VLOOKUP(B527,DATA!$A$1:$A$16,1,0)),"",VLOOKUP(B527,DATA!$A$1:$A$16,1,0))="",M526+E527,M526-E527),M526))</f>
        <v/>
      </c>
      <c r="N527" s="32" t="str">
        <f>IF(B527="","",IF(J527="Coffre",IF(IF(ISNA(VLOOKUP(B527,DATA!$A$1:$A$16,1,0)),"",VLOOKUP(B527,DATA!$A$1:$A$16,1,0))="",N526+E527,N526-E527),N526))</f>
        <v/>
      </c>
      <c r="O527" s="32" t="str">
        <f>IF(B527="","",IF(J527="CompteEpargne",IF(IF(ISNA(VLOOKUP(B527,DATA!$A$1:$A$16,1,0)),"",VLOOKUP(B527,DATA!$A$1:$A$16,1,0))="",O526+E527,O526-E527),O526))</f>
        <v/>
      </c>
      <c r="P527" s="32" t="str">
        <f>IF(B527="","",IF(J527="CompteMyPos",IF(IF(ISNA(VLOOKUP(B527,DATA!$A$1:$A$15,1,0)),"",VLOOKUP(B527,DATA!$A$1:$A$15,1,0))="",P526+E527,P526-E527),P526))</f>
        <v/>
      </c>
      <c r="Q527" s="32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4.25" customHeight="1" x14ac:dyDescent="0.2">
      <c r="A528" s="1"/>
      <c r="B528" s="33"/>
      <c r="C528" s="40"/>
      <c r="D528" s="34"/>
      <c r="E528" s="35"/>
      <c r="F528" s="36"/>
      <c r="H528" s="36"/>
      <c r="I528" s="36"/>
      <c r="J528" s="36"/>
      <c r="K528" s="36"/>
      <c r="L528" s="41"/>
      <c r="M528" s="32" t="str">
        <f>IF(B528="","",IF(J528="CompteCourant",IF(IF(ISNA(VLOOKUP(B528,DATA!$A$1:$A$16,1,0)),"",VLOOKUP(B528,DATA!$A$1:$A$16,1,0))="",M527+E528,M527-E528),M527))</f>
        <v/>
      </c>
      <c r="N528" s="32" t="str">
        <f>IF(B528="","",IF(J528="Coffre",IF(IF(ISNA(VLOOKUP(B528,DATA!$A$1:$A$16,1,0)),"",VLOOKUP(B528,DATA!$A$1:$A$16,1,0))="",N527+E528,N527-E528),N527))</f>
        <v/>
      </c>
      <c r="O528" s="32" t="str">
        <f>IF(B528="","",IF(J528="CompteEpargne",IF(IF(ISNA(VLOOKUP(B528,DATA!$A$1:$A$16,1,0)),"",VLOOKUP(B528,DATA!$A$1:$A$16,1,0))="",O527+E528,O527-E528),O527))</f>
        <v/>
      </c>
      <c r="P528" s="32" t="str">
        <f>IF(B528="","",IF(J528="CompteMyPos",IF(IF(ISNA(VLOOKUP(B528,DATA!$A$1:$A$15,1,0)),"",VLOOKUP(B528,DATA!$A$1:$A$15,1,0))="",P527+E528,P527-E528),P527))</f>
        <v/>
      </c>
      <c r="Q528" s="32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4.25" customHeight="1" x14ac:dyDescent="0.2">
      <c r="A529" s="1"/>
      <c r="B529" s="33"/>
      <c r="C529" s="40"/>
      <c r="D529" s="34"/>
      <c r="E529" s="35"/>
      <c r="F529" s="36"/>
      <c r="H529" s="36"/>
      <c r="I529" s="36"/>
      <c r="J529" s="36"/>
      <c r="K529" s="36"/>
      <c r="L529" s="41"/>
      <c r="M529" s="32" t="str">
        <f>IF(B529="","",IF(J529="CompteCourant",IF(IF(ISNA(VLOOKUP(B529,DATA!$A$1:$A$16,1,0)),"",VLOOKUP(B529,DATA!$A$1:$A$16,1,0))="",M528+E529,M528-E529),M528))</f>
        <v/>
      </c>
      <c r="N529" s="32" t="str">
        <f>IF(B529="","",IF(J529="Coffre",IF(IF(ISNA(VLOOKUP(B529,DATA!$A$1:$A$16,1,0)),"",VLOOKUP(B529,DATA!$A$1:$A$16,1,0))="",N528+E529,N528-E529),N528))</f>
        <v/>
      </c>
      <c r="O529" s="32" t="str">
        <f>IF(B529="","",IF(J529="CompteEpargne",IF(IF(ISNA(VLOOKUP(B529,DATA!$A$1:$A$16,1,0)),"",VLOOKUP(B529,DATA!$A$1:$A$16,1,0))="",O528+E529,O528-E529),O528))</f>
        <v/>
      </c>
      <c r="P529" s="32" t="str">
        <f>IF(B529="","",IF(J529="CompteMyPos",IF(IF(ISNA(VLOOKUP(B529,DATA!$A$1:$A$15,1,0)),"",VLOOKUP(B529,DATA!$A$1:$A$15,1,0))="",P528+E529,P528-E529),P528))</f>
        <v/>
      </c>
      <c r="Q529" s="32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4.25" customHeight="1" x14ac:dyDescent="0.2">
      <c r="A530" s="1"/>
      <c r="B530" s="33"/>
      <c r="C530" s="40"/>
      <c r="D530" s="34"/>
      <c r="E530" s="35"/>
      <c r="F530" s="36"/>
      <c r="H530" s="36"/>
      <c r="I530" s="36"/>
      <c r="J530" s="36"/>
      <c r="K530" s="36"/>
      <c r="L530" s="41"/>
      <c r="M530" s="32" t="str">
        <f>IF(B530="","",IF(J530="CompteCourant",IF(IF(ISNA(VLOOKUP(B530,DATA!$A$1:$A$16,1,0)),"",VLOOKUP(B530,DATA!$A$1:$A$16,1,0))="",M529+E530,M529-E530),M529))</f>
        <v/>
      </c>
      <c r="N530" s="32" t="str">
        <f>IF(B530="","",IF(J530="Coffre",IF(IF(ISNA(VLOOKUP(B530,DATA!$A$1:$A$16,1,0)),"",VLOOKUP(B530,DATA!$A$1:$A$16,1,0))="",N529+E530,N529-E530),N529))</f>
        <v/>
      </c>
      <c r="O530" s="32" t="str">
        <f>IF(B530="","",IF(J530="CompteEpargne",IF(IF(ISNA(VLOOKUP(B530,DATA!$A$1:$A$16,1,0)),"",VLOOKUP(B530,DATA!$A$1:$A$16,1,0))="",O529+E530,O529-E530),O529))</f>
        <v/>
      </c>
      <c r="P530" s="32" t="str">
        <f>IF(B530="","",IF(J530="CompteMyPos",IF(IF(ISNA(VLOOKUP(B530,DATA!$A$1:$A$15,1,0)),"",VLOOKUP(B530,DATA!$A$1:$A$15,1,0))="",P529+E530,P529-E530),P529))</f>
        <v/>
      </c>
      <c r="Q530" s="32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4.25" customHeight="1" x14ac:dyDescent="0.2">
      <c r="A531" s="1"/>
      <c r="B531" s="33"/>
      <c r="C531" s="40"/>
      <c r="D531" s="34"/>
      <c r="E531" s="35"/>
      <c r="F531" s="36"/>
      <c r="H531" s="36"/>
      <c r="I531" s="36"/>
      <c r="J531" s="36"/>
      <c r="K531" s="36"/>
      <c r="L531" s="41"/>
      <c r="M531" s="32" t="str">
        <f>IF(B531="","",IF(J531="CompteCourant",IF(IF(ISNA(VLOOKUP(B531,DATA!$A$1:$A$16,1,0)),"",VLOOKUP(B531,DATA!$A$1:$A$16,1,0))="",M530+E531,M530-E531),M530))</f>
        <v/>
      </c>
      <c r="N531" s="32" t="str">
        <f>IF(B531="","",IF(J531="Coffre",IF(IF(ISNA(VLOOKUP(B531,DATA!$A$1:$A$16,1,0)),"",VLOOKUP(B531,DATA!$A$1:$A$16,1,0))="",N530+E531,N530-E531),N530))</f>
        <v/>
      </c>
      <c r="O531" s="32" t="str">
        <f>IF(B531="","",IF(J531="CompteEpargne",IF(IF(ISNA(VLOOKUP(B531,DATA!$A$1:$A$16,1,0)),"",VLOOKUP(B531,DATA!$A$1:$A$16,1,0))="",O530+E531,O530-E531),O530))</f>
        <v/>
      </c>
      <c r="P531" s="32" t="str">
        <f>IF(B531="","",IF(J531="CompteMyPos",IF(IF(ISNA(VLOOKUP(B531,DATA!$A$1:$A$15,1,0)),"",VLOOKUP(B531,DATA!$A$1:$A$15,1,0))="",P530+E531,P530-E531),P530))</f>
        <v/>
      </c>
      <c r="Q531" s="32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4.25" customHeight="1" x14ac:dyDescent="0.2">
      <c r="A532" s="1"/>
      <c r="B532" s="33"/>
      <c r="C532" s="40"/>
      <c r="D532" s="34"/>
      <c r="E532" s="35"/>
      <c r="F532" s="36"/>
      <c r="H532" s="36"/>
      <c r="I532" s="36"/>
      <c r="J532" s="36"/>
      <c r="K532" s="36"/>
      <c r="L532" s="41"/>
      <c r="M532" s="32" t="str">
        <f>IF(B532="","",IF(J532="CompteCourant",IF(IF(ISNA(VLOOKUP(B532,DATA!$A$1:$A$16,1,0)),"",VLOOKUP(B532,DATA!$A$1:$A$16,1,0))="",M531+E532,M531-E532),M531))</f>
        <v/>
      </c>
      <c r="N532" s="32" t="str">
        <f>IF(B532="","",IF(J532="Coffre",IF(IF(ISNA(VLOOKUP(B532,DATA!$A$1:$A$16,1,0)),"",VLOOKUP(B532,DATA!$A$1:$A$16,1,0))="",N531+E532,N531-E532),N531))</f>
        <v/>
      </c>
      <c r="O532" s="32" t="str">
        <f>IF(B532="","",IF(J532="CompteEpargne",IF(IF(ISNA(VLOOKUP(B532,DATA!$A$1:$A$16,1,0)),"",VLOOKUP(B532,DATA!$A$1:$A$16,1,0))="",O531+E532,O531-E532),O531))</f>
        <v/>
      </c>
      <c r="P532" s="32" t="str">
        <f>IF(B532="","",IF(J532="CompteMyPos",IF(IF(ISNA(VLOOKUP(B532,DATA!$A$1:$A$15,1,0)),"",VLOOKUP(B532,DATA!$A$1:$A$15,1,0))="",P531+E532,P531-E532),P531))</f>
        <v/>
      </c>
      <c r="Q532" s="32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4.25" customHeight="1" x14ac:dyDescent="0.2">
      <c r="A533" s="1"/>
      <c r="B533" s="33"/>
      <c r="C533" s="40"/>
      <c r="D533" s="34"/>
      <c r="E533" s="35"/>
      <c r="F533" s="36"/>
      <c r="H533" s="36"/>
      <c r="I533" s="36"/>
      <c r="J533" s="36"/>
      <c r="K533" s="36"/>
      <c r="L533" s="41"/>
      <c r="M533" s="32" t="str">
        <f>IF(B533="","",IF(J533="CompteCourant",IF(IF(ISNA(VLOOKUP(B533,DATA!$A$1:$A$16,1,0)),"",VLOOKUP(B533,DATA!$A$1:$A$16,1,0))="",M532+E533,M532-E533),M532))</f>
        <v/>
      </c>
      <c r="N533" s="32" t="str">
        <f>IF(B533="","",IF(J533="Coffre",IF(IF(ISNA(VLOOKUP(B533,DATA!$A$1:$A$16,1,0)),"",VLOOKUP(B533,DATA!$A$1:$A$16,1,0))="",N532+E533,N532-E533),N532))</f>
        <v/>
      </c>
      <c r="O533" s="32" t="str">
        <f>IF(B533="","",IF(J533="CompteEpargne",IF(IF(ISNA(VLOOKUP(B533,DATA!$A$1:$A$16,1,0)),"",VLOOKUP(B533,DATA!$A$1:$A$16,1,0))="",O532+E533,O532-E533),O532))</f>
        <v/>
      </c>
      <c r="P533" s="32" t="str">
        <f>IF(B533="","",IF(J533="CompteMyPos",IF(IF(ISNA(VLOOKUP(B533,DATA!$A$1:$A$15,1,0)),"",VLOOKUP(B533,DATA!$A$1:$A$15,1,0))="",P532+E533,P532-E533),P532))</f>
        <v/>
      </c>
      <c r="Q533" s="32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4.25" customHeight="1" x14ac:dyDescent="0.2">
      <c r="A534" s="1"/>
      <c r="B534" s="33"/>
      <c r="C534" s="40"/>
      <c r="D534" s="34"/>
      <c r="E534" s="35"/>
      <c r="F534" s="36"/>
      <c r="H534" s="36"/>
      <c r="I534" s="36"/>
      <c r="J534" s="36"/>
      <c r="K534" s="36"/>
      <c r="L534" s="41"/>
      <c r="M534" s="32" t="str">
        <f>IF(B534="","",IF(J534="CompteCourant",IF(IF(ISNA(VLOOKUP(B534,DATA!$A$1:$A$16,1,0)),"",VLOOKUP(B534,DATA!$A$1:$A$16,1,0))="",M533+E534,M533-E534),M533))</f>
        <v/>
      </c>
      <c r="N534" s="32" t="str">
        <f>IF(B534="","",IF(J534="Coffre",IF(IF(ISNA(VLOOKUP(B534,DATA!$A$1:$A$16,1,0)),"",VLOOKUP(B534,DATA!$A$1:$A$16,1,0))="",N533+E534,N533-E534),N533))</f>
        <v/>
      </c>
      <c r="O534" s="32" t="str">
        <f>IF(B534="","",IF(J534="CompteEpargne",IF(IF(ISNA(VLOOKUP(B534,DATA!$A$1:$A$16,1,0)),"",VLOOKUP(B534,DATA!$A$1:$A$16,1,0))="",O533+E534,O533-E534),O533))</f>
        <v/>
      </c>
      <c r="P534" s="32" t="str">
        <f>IF(B534="","",IF(J534="CompteMyPos",IF(IF(ISNA(VLOOKUP(B534,DATA!$A$1:$A$15,1,0)),"",VLOOKUP(B534,DATA!$A$1:$A$15,1,0))="",P533+E534,P533-E534),P533))</f>
        <v/>
      </c>
      <c r="Q534" s="32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4.25" customHeight="1" x14ac:dyDescent="0.2">
      <c r="A535" s="1"/>
      <c r="B535" s="33"/>
      <c r="C535" s="40"/>
      <c r="D535" s="34"/>
      <c r="E535" s="35"/>
      <c r="F535" s="36"/>
      <c r="H535" s="36"/>
      <c r="I535" s="36"/>
      <c r="J535" s="36"/>
      <c r="K535" s="36"/>
      <c r="L535" s="41"/>
      <c r="M535" s="32" t="str">
        <f>IF(B535="","",IF(J535="CompteCourant",IF(IF(ISNA(VLOOKUP(B535,DATA!$A$1:$A$16,1,0)),"",VLOOKUP(B535,DATA!$A$1:$A$16,1,0))="",M534+E535,M534-E535),M534))</f>
        <v/>
      </c>
      <c r="N535" s="32" t="str">
        <f>IF(B535="","",IF(J535="Coffre",IF(IF(ISNA(VLOOKUP(B535,DATA!$A$1:$A$16,1,0)),"",VLOOKUP(B535,DATA!$A$1:$A$16,1,0))="",N534+E535,N534-E535),N534))</f>
        <v/>
      </c>
      <c r="O535" s="32" t="str">
        <f>IF(B535="","",IF(J535="CompteEpargne",IF(IF(ISNA(VLOOKUP(B535,DATA!$A$1:$A$16,1,0)),"",VLOOKUP(B535,DATA!$A$1:$A$16,1,0))="",O534+E535,O534-E535),O534))</f>
        <v/>
      </c>
      <c r="P535" s="32" t="str">
        <f>IF(B535="","",IF(J535="CompteMyPos",IF(IF(ISNA(VLOOKUP(B535,DATA!$A$1:$A$15,1,0)),"",VLOOKUP(B535,DATA!$A$1:$A$15,1,0))="",P534+E535,P534-E535),P534))</f>
        <v/>
      </c>
      <c r="Q535" s="32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4.25" customHeight="1" x14ac:dyDescent="0.2">
      <c r="A536" s="1"/>
      <c r="B536" s="33"/>
      <c r="C536" s="40"/>
      <c r="D536" s="34"/>
      <c r="E536" s="35"/>
      <c r="F536" s="36"/>
      <c r="H536" s="36"/>
      <c r="I536" s="36"/>
      <c r="J536" s="36"/>
      <c r="K536" s="36"/>
      <c r="L536" s="41"/>
      <c r="M536" s="32" t="str">
        <f>IF(B536="","",IF(J536="CompteCourant",IF(IF(ISNA(VLOOKUP(B536,DATA!$A$1:$A$16,1,0)),"",VLOOKUP(B536,DATA!$A$1:$A$16,1,0))="",M535+E536,M535-E536),M535))</f>
        <v/>
      </c>
      <c r="N536" s="32" t="str">
        <f>IF(B536="","",IF(J536="Coffre",IF(IF(ISNA(VLOOKUP(B536,DATA!$A$1:$A$16,1,0)),"",VLOOKUP(B536,DATA!$A$1:$A$16,1,0))="",N535+E536,N535-E536),N535))</f>
        <v/>
      </c>
      <c r="O536" s="32" t="str">
        <f>IF(B536="","",IF(J536="CompteEpargne",IF(IF(ISNA(VLOOKUP(B536,DATA!$A$1:$A$16,1,0)),"",VLOOKUP(B536,DATA!$A$1:$A$16,1,0))="",O535+E536,O535-E536),O535))</f>
        <v/>
      </c>
      <c r="P536" s="32" t="str">
        <f>IF(B536="","",IF(J536="CompteMyPos",IF(IF(ISNA(VLOOKUP(B536,DATA!$A$1:$A$15,1,0)),"",VLOOKUP(B536,DATA!$A$1:$A$15,1,0))="",P535+E536,P535-E536),P535))</f>
        <v/>
      </c>
      <c r="Q536" s="32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4.25" customHeight="1" x14ac:dyDescent="0.2">
      <c r="A537" s="1"/>
      <c r="B537" s="33"/>
      <c r="C537" s="40"/>
      <c r="D537" s="34"/>
      <c r="E537" s="35"/>
      <c r="F537" s="36"/>
      <c r="H537" s="36"/>
      <c r="I537" s="36"/>
      <c r="J537" s="36"/>
      <c r="K537" s="36"/>
      <c r="L537" s="41"/>
      <c r="M537" s="32" t="str">
        <f>IF(B537="","",IF(J537="CompteCourant",IF(IF(ISNA(VLOOKUP(B537,DATA!$A$1:$A$16,1,0)),"",VLOOKUP(B537,DATA!$A$1:$A$16,1,0))="",M536+E537,M536-E537),M536))</f>
        <v/>
      </c>
      <c r="N537" s="32" t="str">
        <f>IF(B537="","",IF(J537="Coffre",IF(IF(ISNA(VLOOKUP(B537,DATA!$A$1:$A$16,1,0)),"",VLOOKUP(B537,DATA!$A$1:$A$16,1,0))="",N536+E537,N536-E537),N536))</f>
        <v/>
      </c>
      <c r="O537" s="32" t="str">
        <f>IF(B537="","",IF(J537="CompteEpargne",IF(IF(ISNA(VLOOKUP(B537,DATA!$A$1:$A$16,1,0)),"",VLOOKUP(B537,DATA!$A$1:$A$16,1,0))="",O536+E537,O536-E537),O536))</f>
        <v/>
      </c>
      <c r="P537" s="32" t="str">
        <f>IF(B537="","",IF(J537="CompteMyPos",IF(IF(ISNA(VLOOKUP(B537,DATA!$A$1:$A$15,1,0)),"",VLOOKUP(B537,DATA!$A$1:$A$15,1,0))="",P536+E537,P536-E537),P536))</f>
        <v/>
      </c>
      <c r="Q537" s="32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4.25" customHeight="1" x14ac:dyDescent="0.2">
      <c r="A538" s="1"/>
      <c r="B538" s="33"/>
      <c r="C538" s="40"/>
      <c r="D538" s="34"/>
      <c r="E538" s="35"/>
      <c r="F538" s="36"/>
      <c r="H538" s="36"/>
      <c r="I538" s="36"/>
      <c r="J538" s="36"/>
      <c r="K538" s="36"/>
      <c r="L538" s="41"/>
      <c r="M538" s="32" t="str">
        <f>IF(B538="","",IF(J538="CompteCourant",IF(IF(ISNA(VLOOKUP(B538,DATA!$A$1:$A$16,1,0)),"",VLOOKUP(B538,DATA!$A$1:$A$16,1,0))="",M537+E538,M537-E538),M537))</f>
        <v/>
      </c>
      <c r="N538" s="32" t="str">
        <f>IF(B538="","",IF(J538="Coffre",IF(IF(ISNA(VLOOKUP(B538,DATA!$A$1:$A$16,1,0)),"",VLOOKUP(B538,DATA!$A$1:$A$16,1,0))="",N537+E538,N537-E538),N537))</f>
        <v/>
      </c>
      <c r="O538" s="32" t="str">
        <f>IF(B538="","",IF(J538="CompteEpargne",IF(IF(ISNA(VLOOKUP(B538,DATA!$A$1:$A$16,1,0)),"",VLOOKUP(B538,DATA!$A$1:$A$16,1,0))="",O537+E538,O537-E538),O537))</f>
        <v/>
      </c>
      <c r="P538" s="32" t="str">
        <f>IF(B538="","",IF(J538="CompteMyPos",IF(IF(ISNA(VLOOKUP(B538,DATA!$A$1:$A$15,1,0)),"",VLOOKUP(B538,DATA!$A$1:$A$15,1,0))="",P537+E538,P537-E538),P537))</f>
        <v/>
      </c>
      <c r="Q538" s="32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4.25" customHeight="1" x14ac:dyDescent="0.2">
      <c r="A539" s="1"/>
      <c r="B539" s="33"/>
      <c r="C539" s="40"/>
      <c r="D539" s="34"/>
      <c r="E539" s="35"/>
      <c r="F539" s="36"/>
      <c r="H539" s="36"/>
      <c r="I539" s="36"/>
      <c r="J539" s="36"/>
      <c r="K539" s="36"/>
      <c r="L539" s="41"/>
      <c r="M539" s="32" t="str">
        <f>IF(B539="","",IF(J539="CompteCourant",IF(IF(ISNA(VLOOKUP(B539,DATA!$A$1:$A$16,1,0)),"",VLOOKUP(B539,DATA!$A$1:$A$16,1,0))="",M538+E539,M538-E539),M538))</f>
        <v/>
      </c>
      <c r="N539" s="32" t="str">
        <f>IF(B539="","",IF(J539="Coffre",IF(IF(ISNA(VLOOKUP(B539,DATA!$A$1:$A$16,1,0)),"",VLOOKUP(B539,DATA!$A$1:$A$16,1,0))="",N538+E539,N538-E539),N538))</f>
        <v/>
      </c>
      <c r="O539" s="32" t="str">
        <f>IF(B539="","",IF(J539="CompteEpargne",IF(IF(ISNA(VLOOKUP(B539,DATA!$A$1:$A$16,1,0)),"",VLOOKUP(B539,DATA!$A$1:$A$16,1,0))="",O538+E539,O538-E539),O538))</f>
        <v/>
      </c>
      <c r="P539" s="32" t="str">
        <f>IF(B539="","",IF(J539="CompteMyPos",IF(IF(ISNA(VLOOKUP(B539,DATA!$A$1:$A$15,1,0)),"",VLOOKUP(B539,DATA!$A$1:$A$15,1,0))="",P538+E539,P538-E539),P538))</f>
        <v/>
      </c>
      <c r="Q539" s="32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4.25" customHeight="1" x14ac:dyDescent="0.2">
      <c r="A540" s="1"/>
      <c r="B540" s="33"/>
      <c r="C540" s="40"/>
      <c r="D540" s="34"/>
      <c r="E540" s="35"/>
      <c r="F540" s="36"/>
      <c r="H540" s="36"/>
      <c r="I540" s="36"/>
      <c r="J540" s="36"/>
      <c r="K540" s="36"/>
      <c r="L540" s="41"/>
      <c r="M540" s="32" t="str">
        <f>IF(B540="","",IF(J540="CompteCourant",IF(IF(ISNA(VLOOKUP(B540,DATA!$A$1:$A$16,1,0)),"",VLOOKUP(B540,DATA!$A$1:$A$16,1,0))="",M539+E540,M539-E540),M539))</f>
        <v/>
      </c>
      <c r="N540" s="32" t="str">
        <f>IF(B540="","",IF(J540="Coffre",IF(IF(ISNA(VLOOKUP(B540,DATA!$A$1:$A$16,1,0)),"",VLOOKUP(B540,DATA!$A$1:$A$16,1,0))="",N539+E540,N539-E540),N539))</f>
        <v/>
      </c>
      <c r="O540" s="32" t="str">
        <f>IF(B540="","",IF(J540="CompteEpargne",IF(IF(ISNA(VLOOKUP(B540,DATA!$A$1:$A$16,1,0)),"",VLOOKUP(B540,DATA!$A$1:$A$16,1,0))="",O539+E540,O539-E540),O539))</f>
        <v/>
      </c>
      <c r="P540" s="32" t="str">
        <f>IF(B540="","",IF(J540="CompteMyPos",IF(IF(ISNA(VLOOKUP(B540,DATA!$A$1:$A$15,1,0)),"",VLOOKUP(B540,DATA!$A$1:$A$15,1,0))="",P539+E540,P539-E540),P539))</f>
        <v/>
      </c>
      <c r="Q540" s="32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4.25" customHeight="1" x14ac:dyDescent="0.2">
      <c r="A541" s="1"/>
      <c r="B541" s="33"/>
      <c r="C541" s="40"/>
      <c r="D541" s="34"/>
      <c r="E541" s="35"/>
      <c r="F541" s="36"/>
      <c r="H541" s="36"/>
      <c r="I541" s="36"/>
      <c r="J541" s="36"/>
      <c r="K541" s="36"/>
      <c r="L541" s="41"/>
      <c r="M541" s="32" t="str">
        <f>IF(B541="","",IF(J541="CompteCourant",IF(IF(ISNA(VLOOKUP(B541,DATA!$A$1:$A$16,1,0)),"",VLOOKUP(B541,DATA!$A$1:$A$16,1,0))="",M540+E541,M540-E541),M540))</f>
        <v/>
      </c>
      <c r="N541" s="32" t="str">
        <f>IF(B541="","",IF(J541="Coffre",IF(IF(ISNA(VLOOKUP(B541,DATA!$A$1:$A$16,1,0)),"",VLOOKUP(B541,DATA!$A$1:$A$16,1,0))="",N540+E541,N540-E541),N540))</f>
        <v/>
      </c>
      <c r="O541" s="32" t="str">
        <f>IF(B541="","",IF(J541="CompteEpargne",IF(IF(ISNA(VLOOKUP(B541,DATA!$A$1:$A$16,1,0)),"",VLOOKUP(B541,DATA!$A$1:$A$16,1,0))="",O540+E541,O540-E541),O540))</f>
        <v/>
      </c>
      <c r="P541" s="32" t="str">
        <f>IF(B541="","",IF(J541="CompteMyPos",IF(IF(ISNA(VLOOKUP(B541,DATA!$A$1:$A$15,1,0)),"",VLOOKUP(B541,DATA!$A$1:$A$15,1,0))="",P540+E541,P540-E541),P540))</f>
        <v/>
      </c>
      <c r="Q541" s="32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4.25" customHeight="1" x14ac:dyDescent="0.2">
      <c r="A542" s="1"/>
      <c r="B542" s="33"/>
      <c r="C542" s="40"/>
      <c r="D542" s="34"/>
      <c r="E542" s="35"/>
      <c r="F542" s="36"/>
      <c r="H542" s="36"/>
      <c r="I542" s="36"/>
      <c r="J542" s="36"/>
      <c r="K542" s="36"/>
      <c r="L542" s="41"/>
      <c r="M542" s="32" t="str">
        <f>IF(B542="","",IF(J542="CompteCourant",IF(IF(ISNA(VLOOKUP(B542,DATA!$A$1:$A$16,1,0)),"",VLOOKUP(B542,DATA!$A$1:$A$16,1,0))="",M541+E542,M541-E542),M541))</f>
        <v/>
      </c>
      <c r="N542" s="32" t="str">
        <f>IF(B542="","",IF(J542="Coffre",IF(IF(ISNA(VLOOKUP(B542,DATA!$A$1:$A$16,1,0)),"",VLOOKUP(B542,DATA!$A$1:$A$16,1,0))="",N541+E542,N541-E542),N541))</f>
        <v/>
      </c>
      <c r="O542" s="32" t="str">
        <f>IF(B542="","",IF(J542="CompteEpargne",IF(IF(ISNA(VLOOKUP(B542,DATA!$A$1:$A$16,1,0)),"",VLOOKUP(B542,DATA!$A$1:$A$16,1,0))="",O541+E542,O541-E542),O541))</f>
        <v/>
      </c>
      <c r="P542" s="32" t="str">
        <f>IF(B542="","",IF(J542="CompteMyPos",IF(IF(ISNA(VLOOKUP(B542,DATA!$A$1:$A$15,1,0)),"",VLOOKUP(B542,DATA!$A$1:$A$15,1,0))="",P541+E542,P541-E542),P541))</f>
        <v/>
      </c>
      <c r="Q542" s="32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4.25" customHeight="1" x14ac:dyDescent="0.2">
      <c r="A543" s="1"/>
      <c r="B543" s="33"/>
      <c r="C543" s="40"/>
      <c r="D543" s="34"/>
      <c r="E543" s="35"/>
      <c r="F543" s="36"/>
      <c r="H543" s="36"/>
      <c r="I543" s="36"/>
      <c r="J543" s="36"/>
      <c r="K543" s="36"/>
      <c r="L543" s="41"/>
      <c r="M543" s="32" t="str">
        <f>IF(B543="","",IF(J543="CompteCourant",IF(IF(ISNA(VLOOKUP(B543,DATA!$A$1:$A$16,1,0)),"",VLOOKUP(B543,DATA!$A$1:$A$16,1,0))="",M542+E543,M542-E543),M542))</f>
        <v/>
      </c>
      <c r="N543" s="32" t="str">
        <f>IF(B543="","",IF(J543="Coffre",IF(IF(ISNA(VLOOKUP(B543,DATA!$A$1:$A$16,1,0)),"",VLOOKUP(B543,DATA!$A$1:$A$16,1,0))="",N542+E543,N542-E543),N542))</f>
        <v/>
      </c>
      <c r="O543" s="32" t="str">
        <f>IF(B543="","",IF(J543="CompteEpargne",IF(IF(ISNA(VLOOKUP(B543,DATA!$A$1:$A$16,1,0)),"",VLOOKUP(B543,DATA!$A$1:$A$16,1,0))="",O542+E543,O542-E543),O542))</f>
        <v/>
      </c>
      <c r="P543" s="32" t="str">
        <f>IF(B543="","",IF(J543="CompteMyPos",IF(IF(ISNA(VLOOKUP(B543,DATA!$A$1:$A$15,1,0)),"",VLOOKUP(B543,DATA!$A$1:$A$15,1,0))="",P542+E543,P542-E543),P542))</f>
        <v/>
      </c>
      <c r="Q543" s="32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4.25" customHeight="1" x14ac:dyDescent="0.2">
      <c r="A544" s="1"/>
      <c r="B544" s="33"/>
      <c r="C544" s="40"/>
      <c r="D544" s="34"/>
      <c r="E544" s="35"/>
      <c r="F544" s="36"/>
      <c r="H544" s="36"/>
      <c r="I544" s="36"/>
      <c r="J544" s="36"/>
      <c r="K544" s="36"/>
      <c r="L544" s="41"/>
      <c r="M544" s="32" t="str">
        <f>IF(B544="","",IF(J544="CompteCourant",IF(IF(ISNA(VLOOKUP(B544,DATA!$A$1:$A$16,1,0)),"",VLOOKUP(B544,DATA!$A$1:$A$16,1,0))="",M543+E544,M543-E544),M543))</f>
        <v/>
      </c>
      <c r="N544" s="32" t="str">
        <f>IF(B544="","",IF(J544="Coffre",IF(IF(ISNA(VLOOKUP(B544,DATA!$A$1:$A$16,1,0)),"",VLOOKUP(B544,DATA!$A$1:$A$16,1,0))="",N543+E544,N543-E544),N543))</f>
        <v/>
      </c>
      <c r="O544" s="32" t="str">
        <f>IF(B544="","",IF(J544="CompteEpargne",IF(IF(ISNA(VLOOKUP(B544,DATA!$A$1:$A$16,1,0)),"",VLOOKUP(B544,DATA!$A$1:$A$16,1,0))="",O543+E544,O543-E544),O543))</f>
        <v/>
      </c>
      <c r="P544" s="32" t="str">
        <f>IF(B544="","",IF(J544="CompteMyPos",IF(IF(ISNA(VLOOKUP(B544,DATA!$A$1:$A$15,1,0)),"",VLOOKUP(B544,DATA!$A$1:$A$15,1,0))="",P543+E544,P543-E544),P543))</f>
        <v/>
      </c>
      <c r="Q544" s="32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4.25" customHeight="1" x14ac:dyDescent="0.2">
      <c r="A545" s="1"/>
      <c r="B545" s="33"/>
      <c r="C545" s="40"/>
      <c r="D545" s="34"/>
      <c r="E545" s="35"/>
      <c r="F545" s="36"/>
      <c r="H545" s="36"/>
      <c r="I545" s="36"/>
      <c r="J545" s="36"/>
      <c r="K545" s="36"/>
      <c r="L545" s="41"/>
      <c r="M545" s="32" t="str">
        <f>IF(B545="","",IF(J545="CompteCourant",IF(IF(ISNA(VLOOKUP(B545,DATA!$A$1:$A$16,1,0)),"",VLOOKUP(B545,DATA!$A$1:$A$16,1,0))="",M544+E545,M544-E545),M544))</f>
        <v/>
      </c>
      <c r="N545" s="32" t="str">
        <f>IF(B545="","",IF(J545="Coffre",IF(IF(ISNA(VLOOKUP(B545,DATA!$A$1:$A$16,1,0)),"",VLOOKUP(B545,DATA!$A$1:$A$16,1,0))="",N544+E545,N544-E545),N544))</f>
        <v/>
      </c>
      <c r="O545" s="32" t="str">
        <f>IF(B545="","",IF(J545="CompteEpargne",IF(IF(ISNA(VLOOKUP(B545,DATA!$A$1:$A$16,1,0)),"",VLOOKUP(B545,DATA!$A$1:$A$16,1,0))="",O544+E545,O544-E545),O544))</f>
        <v/>
      </c>
      <c r="P545" s="32" t="str">
        <f>IF(B545="","",IF(J545="CompteMyPos",IF(IF(ISNA(VLOOKUP(B545,DATA!$A$1:$A$15,1,0)),"",VLOOKUP(B545,DATA!$A$1:$A$15,1,0))="",P544+E545,P544-E545),P544))</f>
        <v/>
      </c>
      <c r="Q545" s="32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4.25" customHeight="1" x14ac:dyDescent="0.2">
      <c r="A546" s="1"/>
      <c r="B546" s="33"/>
      <c r="C546" s="40"/>
      <c r="D546" s="34"/>
      <c r="E546" s="35"/>
      <c r="F546" s="36"/>
      <c r="H546" s="36"/>
      <c r="I546" s="36"/>
      <c r="J546" s="36"/>
      <c r="K546" s="36"/>
      <c r="L546" s="41"/>
      <c r="M546" s="32" t="str">
        <f>IF(B546="","",IF(J546="CompteCourant",IF(IF(ISNA(VLOOKUP(B546,DATA!$A$1:$A$16,1,0)),"",VLOOKUP(B546,DATA!$A$1:$A$16,1,0))="",M545+E546,M545-E546),M545))</f>
        <v/>
      </c>
      <c r="N546" s="32" t="str">
        <f>IF(B546="","",IF(J546="Coffre",IF(IF(ISNA(VLOOKUP(B546,DATA!$A$1:$A$16,1,0)),"",VLOOKUP(B546,DATA!$A$1:$A$16,1,0))="",N545+E546,N545-E546),N545))</f>
        <v/>
      </c>
      <c r="O546" s="32" t="str">
        <f>IF(B546="","",IF(J546="CompteEpargne",IF(IF(ISNA(VLOOKUP(B546,DATA!$A$1:$A$16,1,0)),"",VLOOKUP(B546,DATA!$A$1:$A$16,1,0))="",O545+E546,O545-E546),O545))</f>
        <v/>
      </c>
      <c r="P546" s="32" t="str">
        <f>IF(B546="","",IF(J546="CompteMyPos",IF(IF(ISNA(VLOOKUP(B546,DATA!$A$1:$A$15,1,0)),"",VLOOKUP(B546,DATA!$A$1:$A$15,1,0))="",P545+E546,P545-E546),P545))</f>
        <v/>
      </c>
      <c r="Q546" s="32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4.25" customHeight="1" x14ac:dyDescent="0.2">
      <c r="A547" s="1"/>
      <c r="B547" s="33"/>
      <c r="C547" s="40"/>
      <c r="D547" s="34"/>
      <c r="E547" s="35"/>
      <c r="F547" s="36"/>
      <c r="H547" s="36"/>
      <c r="I547" s="36"/>
      <c r="J547" s="36"/>
      <c r="K547" s="36"/>
      <c r="L547" s="41"/>
      <c r="M547" s="32" t="str">
        <f>IF(B547="","",IF(J547="CompteCourant",IF(IF(ISNA(VLOOKUP(B547,DATA!$A$1:$A$16,1,0)),"",VLOOKUP(B547,DATA!$A$1:$A$16,1,0))="",M546+E547,M546-E547),M546))</f>
        <v/>
      </c>
      <c r="N547" s="32" t="str">
        <f>IF(B547="","",IF(J547="Coffre",IF(IF(ISNA(VLOOKUP(B547,DATA!$A$1:$A$16,1,0)),"",VLOOKUP(B547,DATA!$A$1:$A$16,1,0))="",N546+E547,N546-E547),N546))</f>
        <v/>
      </c>
      <c r="O547" s="32" t="str">
        <f>IF(B547="","",IF(J547="CompteEpargne",IF(IF(ISNA(VLOOKUP(B547,DATA!$A$1:$A$16,1,0)),"",VLOOKUP(B547,DATA!$A$1:$A$16,1,0))="",O546+E547,O546-E547),O546))</f>
        <v/>
      </c>
      <c r="P547" s="32" t="str">
        <f>IF(B547="","",IF(J547="CompteMyPos",IF(IF(ISNA(VLOOKUP(B547,DATA!$A$1:$A$15,1,0)),"",VLOOKUP(B547,DATA!$A$1:$A$15,1,0))="",P546+E547,P546-E547),P546))</f>
        <v/>
      </c>
      <c r="Q547" s="32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4.25" customHeight="1" x14ac:dyDescent="0.2">
      <c r="A548" s="1"/>
      <c r="B548" s="33"/>
      <c r="C548" s="40"/>
      <c r="D548" s="34"/>
      <c r="E548" s="35"/>
      <c r="F548" s="36"/>
      <c r="H548" s="36"/>
      <c r="I548" s="36"/>
      <c r="J548" s="36"/>
      <c r="K548" s="36"/>
      <c r="L548" s="41"/>
      <c r="M548" s="32" t="str">
        <f>IF(B548="","",IF(J548="CompteCourant",IF(IF(ISNA(VLOOKUP(B548,DATA!$A$1:$A$16,1,0)),"",VLOOKUP(B548,DATA!$A$1:$A$16,1,0))="",M547+E548,M547-E548),M547))</f>
        <v/>
      </c>
      <c r="N548" s="32" t="str">
        <f>IF(B548="","",IF(J548="Coffre",IF(IF(ISNA(VLOOKUP(B548,DATA!$A$1:$A$16,1,0)),"",VLOOKUP(B548,DATA!$A$1:$A$16,1,0))="",N547+E548,N547-E548),N547))</f>
        <v/>
      </c>
      <c r="O548" s="32" t="str">
        <f>IF(B548="","",IF(J548="CompteEpargne",IF(IF(ISNA(VLOOKUP(B548,DATA!$A$1:$A$16,1,0)),"",VLOOKUP(B548,DATA!$A$1:$A$16,1,0))="",O547+E548,O547-E548),O547))</f>
        <v/>
      </c>
      <c r="P548" s="32" t="str">
        <f>IF(B548="","",IF(J548="CompteMyPos",IF(IF(ISNA(VLOOKUP(B548,DATA!$A$1:$A$15,1,0)),"",VLOOKUP(B548,DATA!$A$1:$A$15,1,0))="",P547+E548,P547-E548),P547))</f>
        <v/>
      </c>
      <c r="Q548" s="32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4.25" customHeight="1" x14ac:dyDescent="0.2">
      <c r="A549" s="1"/>
      <c r="B549" s="33"/>
      <c r="C549" s="40"/>
      <c r="D549" s="34"/>
      <c r="E549" s="35"/>
      <c r="F549" s="36"/>
      <c r="H549" s="36"/>
      <c r="I549" s="36"/>
      <c r="J549" s="36"/>
      <c r="K549" s="36"/>
      <c r="L549" s="41"/>
      <c r="M549" s="32" t="str">
        <f>IF(B549="","",IF(J549="CompteCourant",IF(IF(ISNA(VLOOKUP(B549,DATA!$A$1:$A$16,1,0)),"",VLOOKUP(B549,DATA!$A$1:$A$16,1,0))="",M548+E549,M548-E549),M548))</f>
        <v/>
      </c>
      <c r="N549" s="32" t="str">
        <f>IF(B549="","",IF(J549="Coffre",IF(IF(ISNA(VLOOKUP(B549,DATA!$A$1:$A$16,1,0)),"",VLOOKUP(B549,DATA!$A$1:$A$16,1,0))="",N548+E549,N548-E549),N548))</f>
        <v/>
      </c>
      <c r="O549" s="32" t="str">
        <f>IF(B549="","",IF(J549="CompteEpargne",IF(IF(ISNA(VLOOKUP(B549,DATA!$A$1:$A$16,1,0)),"",VLOOKUP(B549,DATA!$A$1:$A$16,1,0))="",O548+E549,O548-E549),O548))</f>
        <v/>
      </c>
      <c r="P549" s="32" t="str">
        <f>IF(B549="","",IF(J549="CompteMyPos",IF(IF(ISNA(VLOOKUP(B549,DATA!$A$1:$A$15,1,0)),"",VLOOKUP(B549,DATA!$A$1:$A$15,1,0))="",P548+E549,P548-E549),P548))</f>
        <v/>
      </c>
      <c r="Q549" s="32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4.25" customHeight="1" x14ac:dyDescent="0.2">
      <c r="A550" s="1"/>
      <c r="B550" s="33"/>
      <c r="C550" s="40"/>
      <c r="D550" s="34"/>
      <c r="E550" s="35"/>
      <c r="F550" s="36"/>
      <c r="H550" s="36"/>
      <c r="I550" s="36"/>
      <c r="J550" s="36"/>
      <c r="K550" s="36"/>
      <c r="L550" s="41"/>
      <c r="M550" s="32" t="str">
        <f>IF(B550="","",IF(J550="CompteCourant",IF(IF(ISNA(VLOOKUP(B550,DATA!$A$1:$A$16,1,0)),"",VLOOKUP(B550,DATA!$A$1:$A$16,1,0))="",M549+E550,M549-E550),M549))</f>
        <v/>
      </c>
      <c r="N550" s="32" t="str">
        <f>IF(B550="","",IF(J550="Coffre",IF(IF(ISNA(VLOOKUP(B550,DATA!$A$1:$A$16,1,0)),"",VLOOKUP(B550,DATA!$A$1:$A$16,1,0))="",N549+E550,N549-E550),N549))</f>
        <v/>
      </c>
      <c r="O550" s="32" t="str">
        <f>IF(B550="","",IF(J550="CompteEpargne",IF(IF(ISNA(VLOOKUP(B550,DATA!$A$1:$A$16,1,0)),"",VLOOKUP(B550,DATA!$A$1:$A$16,1,0))="",O549+E550,O549-E550),O549))</f>
        <v/>
      </c>
      <c r="P550" s="32" t="str">
        <f>IF(B550="","",IF(J550="CompteMyPos",IF(IF(ISNA(VLOOKUP(B550,DATA!$A$1:$A$15,1,0)),"",VLOOKUP(B550,DATA!$A$1:$A$15,1,0))="",P549+E550,P549-E550),P549))</f>
        <v/>
      </c>
      <c r="Q550" s="32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4.25" customHeight="1" x14ac:dyDescent="0.2">
      <c r="A551" s="1"/>
      <c r="B551" s="33"/>
      <c r="C551" s="40"/>
      <c r="D551" s="34"/>
      <c r="E551" s="35"/>
      <c r="F551" s="36"/>
      <c r="H551" s="36"/>
      <c r="I551" s="36"/>
      <c r="J551" s="36"/>
      <c r="K551" s="36"/>
      <c r="L551" s="41"/>
      <c r="M551" s="32" t="str">
        <f>IF(B551="","",IF(J551="CompteCourant",IF(IF(ISNA(VLOOKUP(B551,DATA!$A$1:$A$16,1,0)),"",VLOOKUP(B551,DATA!$A$1:$A$16,1,0))="",M550+E551,M550-E551),M550))</f>
        <v/>
      </c>
      <c r="N551" s="32" t="str">
        <f>IF(B551="","",IF(J551="Coffre",IF(IF(ISNA(VLOOKUP(B551,DATA!$A$1:$A$16,1,0)),"",VLOOKUP(B551,DATA!$A$1:$A$16,1,0))="",N550+E551,N550-E551),N550))</f>
        <v/>
      </c>
      <c r="O551" s="32" t="str">
        <f>IF(B551="","",IF(J551="CompteEpargne",IF(IF(ISNA(VLOOKUP(B551,DATA!$A$1:$A$16,1,0)),"",VLOOKUP(B551,DATA!$A$1:$A$16,1,0))="",O550+E551,O550-E551),O550))</f>
        <v/>
      </c>
      <c r="P551" s="32" t="str">
        <f>IF(B551="","",IF(J551="CompteMyPos",IF(IF(ISNA(VLOOKUP(B551,DATA!$A$1:$A$15,1,0)),"",VLOOKUP(B551,DATA!$A$1:$A$15,1,0))="",P550+E551,P550-E551),P550))</f>
        <v/>
      </c>
      <c r="Q551" s="32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4.25" customHeight="1" x14ac:dyDescent="0.2">
      <c r="A552" s="1"/>
      <c r="B552" s="33"/>
      <c r="C552" s="40"/>
      <c r="D552" s="34"/>
      <c r="E552" s="35"/>
      <c r="F552" s="36"/>
      <c r="H552" s="36"/>
      <c r="I552" s="36"/>
      <c r="J552" s="36"/>
      <c r="K552" s="36"/>
      <c r="L552" s="41"/>
      <c r="M552" s="32" t="str">
        <f>IF(B552="","",IF(J552="CompteCourant",IF(IF(ISNA(VLOOKUP(B552,DATA!$A$1:$A$16,1,0)),"",VLOOKUP(B552,DATA!$A$1:$A$16,1,0))="",M551+E552,M551-E552),M551))</f>
        <v/>
      </c>
      <c r="N552" s="32" t="str">
        <f>IF(B552="","",IF(J552="Coffre",IF(IF(ISNA(VLOOKUP(B552,DATA!$A$1:$A$16,1,0)),"",VLOOKUP(B552,DATA!$A$1:$A$16,1,0))="",N551+E552,N551-E552),N551))</f>
        <v/>
      </c>
      <c r="O552" s="32" t="str">
        <f>IF(B552="","",IF(J552="CompteEpargne",IF(IF(ISNA(VLOOKUP(B552,DATA!$A$1:$A$16,1,0)),"",VLOOKUP(B552,DATA!$A$1:$A$16,1,0))="",O551+E552,O551-E552),O551))</f>
        <v/>
      </c>
      <c r="P552" s="32" t="str">
        <f>IF(B552="","",IF(J552="CompteMyPos",IF(IF(ISNA(VLOOKUP(B552,DATA!$A$1:$A$15,1,0)),"",VLOOKUP(B552,DATA!$A$1:$A$15,1,0))="",P551+E552,P551-E552),P551))</f>
        <v/>
      </c>
      <c r="Q552" s="32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4.25" customHeight="1" x14ac:dyDescent="0.2">
      <c r="A553" s="1"/>
      <c r="B553" s="33"/>
      <c r="C553" s="40"/>
      <c r="D553" s="34"/>
      <c r="E553" s="35"/>
      <c r="F553" s="36"/>
      <c r="H553" s="36"/>
      <c r="I553" s="36"/>
      <c r="J553" s="36"/>
      <c r="K553" s="36"/>
      <c r="L553" s="41"/>
      <c r="M553" s="32" t="str">
        <f>IF(B553="","",IF(J553="CompteCourant",IF(IF(ISNA(VLOOKUP(B553,DATA!$A$1:$A$16,1,0)),"",VLOOKUP(B553,DATA!$A$1:$A$16,1,0))="",M552+E553,M552-E553),M552))</f>
        <v/>
      </c>
      <c r="N553" s="32" t="str">
        <f>IF(B553="","",IF(J553="Coffre",IF(IF(ISNA(VLOOKUP(B553,DATA!$A$1:$A$16,1,0)),"",VLOOKUP(B553,DATA!$A$1:$A$16,1,0))="",N552+E553,N552-E553),N552))</f>
        <v/>
      </c>
      <c r="O553" s="32" t="str">
        <f>IF(B553="","",IF(J553="CompteEpargne",IF(IF(ISNA(VLOOKUP(B553,DATA!$A$1:$A$16,1,0)),"",VLOOKUP(B553,DATA!$A$1:$A$16,1,0))="",O552+E553,O552-E553),O552))</f>
        <v/>
      </c>
      <c r="P553" s="32" t="str">
        <f>IF(B553="","",IF(J553="CompteMyPos",IF(IF(ISNA(VLOOKUP(B553,DATA!$A$1:$A$15,1,0)),"",VLOOKUP(B553,DATA!$A$1:$A$15,1,0))="",P552+E553,P552-E553),P552))</f>
        <v/>
      </c>
      <c r="Q553" s="32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4.25" customHeight="1" x14ac:dyDescent="0.2">
      <c r="A554" s="1"/>
      <c r="B554" s="33"/>
      <c r="C554" s="40"/>
      <c r="D554" s="34"/>
      <c r="E554" s="35"/>
      <c r="F554" s="36"/>
      <c r="H554" s="36"/>
      <c r="I554" s="36"/>
      <c r="J554" s="36"/>
      <c r="K554" s="36"/>
      <c r="L554" s="41"/>
      <c r="M554" s="32" t="str">
        <f>IF(B554="","",IF(J554="CompteCourant",IF(IF(ISNA(VLOOKUP(B554,DATA!$A$1:$A$16,1,0)),"",VLOOKUP(B554,DATA!$A$1:$A$16,1,0))="",M553+E554,M553-E554),M553))</f>
        <v/>
      </c>
      <c r="N554" s="32" t="str">
        <f>IF(B554="","",IF(J554="Coffre",IF(IF(ISNA(VLOOKUP(B554,DATA!$A$1:$A$16,1,0)),"",VLOOKUP(B554,DATA!$A$1:$A$16,1,0))="",N553+E554,N553-E554),N553))</f>
        <v/>
      </c>
      <c r="O554" s="32" t="str">
        <f>IF(B554="","",IF(J554="CompteEpargne",IF(IF(ISNA(VLOOKUP(B554,DATA!$A$1:$A$16,1,0)),"",VLOOKUP(B554,DATA!$A$1:$A$16,1,0))="",O553+E554,O553-E554),O553))</f>
        <v/>
      </c>
      <c r="P554" s="32" t="str">
        <f>IF(B554="","",IF(J554="CompteMyPos",IF(IF(ISNA(VLOOKUP(B554,DATA!$A$1:$A$15,1,0)),"",VLOOKUP(B554,DATA!$A$1:$A$15,1,0))="",P553+E554,P553-E554),P553))</f>
        <v/>
      </c>
      <c r="Q554" s="32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4.25" customHeight="1" x14ac:dyDescent="0.2">
      <c r="A555" s="1"/>
      <c r="B555" s="33"/>
      <c r="C555" s="40"/>
      <c r="D555" s="34"/>
      <c r="E555" s="35"/>
      <c r="F555" s="36"/>
      <c r="H555" s="36"/>
      <c r="I555" s="36"/>
      <c r="J555" s="36"/>
      <c r="K555" s="36"/>
      <c r="L555" s="41"/>
      <c r="M555" s="32" t="str">
        <f>IF(B555="","",IF(J555="CompteCourant",IF(IF(ISNA(VLOOKUP(B555,DATA!$A$1:$A$16,1,0)),"",VLOOKUP(B555,DATA!$A$1:$A$16,1,0))="",M554+E555,M554-E555),M554))</f>
        <v/>
      </c>
      <c r="N555" s="32" t="str">
        <f>IF(B555="","",IF(J555="Coffre",IF(IF(ISNA(VLOOKUP(B555,DATA!$A$1:$A$16,1,0)),"",VLOOKUP(B555,DATA!$A$1:$A$16,1,0))="",N554+E555,N554-E555),N554))</f>
        <v/>
      </c>
      <c r="O555" s="32" t="str">
        <f>IF(B555="","",IF(J555="CompteEpargne",IF(IF(ISNA(VLOOKUP(B555,DATA!$A$1:$A$16,1,0)),"",VLOOKUP(B555,DATA!$A$1:$A$16,1,0))="",O554+E555,O554-E555),O554))</f>
        <v/>
      </c>
      <c r="P555" s="32" t="str">
        <f>IF(B555="","",IF(J555="CompteMyPos",IF(IF(ISNA(VLOOKUP(B555,DATA!$A$1:$A$15,1,0)),"",VLOOKUP(B555,DATA!$A$1:$A$15,1,0))="",P554+E555,P554-E555),P554))</f>
        <v/>
      </c>
      <c r="Q555" s="32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4.25" customHeight="1" x14ac:dyDescent="0.2">
      <c r="A556" s="1"/>
      <c r="B556" s="33"/>
      <c r="C556" s="40"/>
      <c r="D556" s="34"/>
      <c r="E556" s="35"/>
      <c r="F556" s="36"/>
      <c r="H556" s="36"/>
      <c r="I556" s="36"/>
      <c r="J556" s="36"/>
      <c r="K556" s="36"/>
      <c r="L556" s="41"/>
      <c r="M556" s="32" t="str">
        <f>IF(B556="","",IF(J556="CompteCourant",IF(IF(ISNA(VLOOKUP(B556,DATA!$A$1:$A$16,1,0)),"",VLOOKUP(B556,DATA!$A$1:$A$16,1,0))="",M555+E556,M555-E556),M555))</f>
        <v/>
      </c>
      <c r="N556" s="32" t="str">
        <f>IF(B556="","",IF(J556="Coffre",IF(IF(ISNA(VLOOKUP(B556,DATA!$A$1:$A$16,1,0)),"",VLOOKUP(B556,DATA!$A$1:$A$16,1,0))="",N555+E556,N555-E556),N555))</f>
        <v/>
      </c>
      <c r="O556" s="32" t="str">
        <f>IF(B556="","",IF(J556="CompteEpargne",IF(IF(ISNA(VLOOKUP(B556,DATA!$A$1:$A$16,1,0)),"",VLOOKUP(B556,DATA!$A$1:$A$16,1,0))="",O555+E556,O555-E556),O555))</f>
        <v/>
      </c>
      <c r="P556" s="32" t="str">
        <f>IF(B556="","",IF(J556="CompteMyPos",IF(IF(ISNA(VLOOKUP(B556,DATA!$A$1:$A$15,1,0)),"",VLOOKUP(B556,DATA!$A$1:$A$15,1,0))="",P555+E556,P555-E556),P555))</f>
        <v/>
      </c>
      <c r="Q556" s="32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4.25" customHeight="1" x14ac:dyDescent="0.2">
      <c r="A557" s="1"/>
      <c r="B557" s="33"/>
      <c r="C557" s="40"/>
      <c r="D557" s="34"/>
      <c r="E557" s="35"/>
      <c r="F557" s="36"/>
      <c r="H557" s="36"/>
      <c r="I557" s="36"/>
      <c r="J557" s="36"/>
      <c r="K557" s="36"/>
      <c r="L557" s="41"/>
      <c r="M557" s="32" t="str">
        <f>IF(B557="","",IF(J557="CompteCourant",IF(IF(ISNA(VLOOKUP(B557,DATA!$A$1:$A$16,1,0)),"",VLOOKUP(B557,DATA!$A$1:$A$16,1,0))="",M556+E557,M556-E557),M556))</f>
        <v/>
      </c>
      <c r="N557" s="32" t="str">
        <f>IF(B557="","",IF(J557="Coffre",IF(IF(ISNA(VLOOKUP(B557,DATA!$A$1:$A$16,1,0)),"",VLOOKUP(B557,DATA!$A$1:$A$16,1,0))="",N556+E557,N556-E557),N556))</f>
        <v/>
      </c>
      <c r="O557" s="32" t="str">
        <f>IF(B557="","",IF(J557="CompteEpargne",IF(IF(ISNA(VLOOKUP(B557,DATA!$A$1:$A$16,1,0)),"",VLOOKUP(B557,DATA!$A$1:$A$16,1,0))="",O556+E557,O556-E557),O556))</f>
        <v/>
      </c>
      <c r="P557" s="32" t="str">
        <f>IF(B557="","",IF(J557="CompteMyPos",IF(IF(ISNA(VLOOKUP(B557,DATA!$A$1:$A$15,1,0)),"",VLOOKUP(B557,DATA!$A$1:$A$15,1,0))="",P556+E557,P556-E557),P556))</f>
        <v/>
      </c>
      <c r="Q557" s="32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4.25" customHeight="1" x14ac:dyDescent="0.2">
      <c r="A558" s="1"/>
      <c r="B558" s="33"/>
      <c r="C558" s="40"/>
      <c r="D558" s="34"/>
      <c r="E558" s="35"/>
      <c r="F558" s="36"/>
      <c r="H558" s="36"/>
      <c r="I558" s="36"/>
      <c r="J558" s="36"/>
      <c r="K558" s="36"/>
      <c r="L558" s="41"/>
      <c r="M558" s="32" t="str">
        <f>IF(B558="","",IF(J558="CompteCourant",IF(IF(ISNA(VLOOKUP(B558,DATA!$A$1:$A$16,1,0)),"",VLOOKUP(B558,DATA!$A$1:$A$16,1,0))="",M557+E558,M557-E558),M557))</f>
        <v/>
      </c>
      <c r="N558" s="32" t="str">
        <f>IF(B558="","",IF(J558="Coffre",IF(IF(ISNA(VLOOKUP(B558,DATA!$A$1:$A$16,1,0)),"",VLOOKUP(B558,DATA!$A$1:$A$16,1,0))="",N557+E558,N557-E558),N557))</f>
        <v/>
      </c>
      <c r="O558" s="32" t="str">
        <f>IF(B558="","",IF(J558="CompteEpargne",IF(IF(ISNA(VLOOKUP(B558,DATA!$A$1:$A$16,1,0)),"",VLOOKUP(B558,DATA!$A$1:$A$16,1,0))="",O557+E558,O557-E558),O557))</f>
        <v/>
      </c>
      <c r="P558" s="32" t="str">
        <f>IF(B558="","",IF(J558="CompteMyPos",IF(IF(ISNA(VLOOKUP(B558,DATA!$A$1:$A$15,1,0)),"",VLOOKUP(B558,DATA!$A$1:$A$15,1,0))="",P557+E558,P557-E558),P557))</f>
        <v/>
      </c>
      <c r="Q558" s="32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4.25" customHeight="1" x14ac:dyDescent="0.2">
      <c r="A559" s="1"/>
      <c r="B559" s="33"/>
      <c r="C559" s="40"/>
      <c r="D559" s="34"/>
      <c r="E559" s="35"/>
      <c r="F559" s="36"/>
      <c r="H559" s="36"/>
      <c r="I559" s="36"/>
      <c r="J559" s="36"/>
      <c r="K559" s="36"/>
      <c r="L559" s="41"/>
      <c r="M559" s="32" t="str">
        <f>IF(B559="","",IF(J559="CompteCourant",IF(IF(ISNA(VLOOKUP(B559,DATA!$A$1:$A$16,1,0)),"",VLOOKUP(B559,DATA!$A$1:$A$16,1,0))="",M558+E559,M558-E559),M558))</f>
        <v/>
      </c>
      <c r="N559" s="32" t="str">
        <f>IF(B559="","",IF(J559="Coffre",IF(IF(ISNA(VLOOKUP(B559,DATA!$A$1:$A$16,1,0)),"",VLOOKUP(B559,DATA!$A$1:$A$16,1,0))="",N558+E559,N558-E559),N558))</f>
        <v/>
      </c>
      <c r="O559" s="32" t="str">
        <f>IF(B559="","",IF(J559="CompteEpargne",IF(IF(ISNA(VLOOKUP(B559,DATA!$A$1:$A$16,1,0)),"",VLOOKUP(B559,DATA!$A$1:$A$16,1,0))="",O558+E559,O558-E559),O558))</f>
        <v/>
      </c>
      <c r="P559" s="32" t="str">
        <f>IF(B559="","",IF(J559="CompteMyPos",IF(IF(ISNA(VLOOKUP(B559,DATA!$A$1:$A$15,1,0)),"",VLOOKUP(B559,DATA!$A$1:$A$15,1,0))="",P558+E559,P558-E559),P558))</f>
        <v/>
      </c>
      <c r="Q559" s="32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4.25" customHeight="1" x14ac:dyDescent="0.2">
      <c r="A560" s="1"/>
      <c r="B560" s="33"/>
      <c r="C560" s="40"/>
      <c r="D560" s="34"/>
      <c r="E560" s="35"/>
      <c r="F560" s="36"/>
      <c r="H560" s="36"/>
      <c r="I560" s="36"/>
      <c r="J560" s="36"/>
      <c r="K560" s="36"/>
      <c r="L560" s="41"/>
      <c r="M560" s="32" t="str">
        <f>IF(B560="","",IF(J560="CompteCourant",IF(IF(ISNA(VLOOKUP(B560,DATA!$A$1:$A$16,1,0)),"",VLOOKUP(B560,DATA!$A$1:$A$16,1,0))="",M559+E560,M559-E560),M559))</f>
        <v/>
      </c>
      <c r="N560" s="32" t="str">
        <f>IF(B560="","",IF(J560="Coffre",IF(IF(ISNA(VLOOKUP(B560,DATA!$A$1:$A$16,1,0)),"",VLOOKUP(B560,DATA!$A$1:$A$16,1,0))="",N559+E560,N559-E560),N559))</f>
        <v/>
      </c>
      <c r="O560" s="32" t="str">
        <f>IF(B560="","",IF(J560="CompteEpargne",IF(IF(ISNA(VLOOKUP(B560,DATA!$A$1:$A$16,1,0)),"",VLOOKUP(B560,DATA!$A$1:$A$16,1,0))="",O559+E560,O559-E560),O559))</f>
        <v/>
      </c>
      <c r="P560" s="32" t="str">
        <f>IF(B560="","",IF(J560="CompteMyPos",IF(IF(ISNA(VLOOKUP(B560,DATA!$A$1:$A$15,1,0)),"",VLOOKUP(B560,DATA!$A$1:$A$15,1,0))="",P559+E560,P559-E560),P559))</f>
        <v/>
      </c>
      <c r="Q560" s="32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4.25" customHeight="1" x14ac:dyDescent="0.2">
      <c r="A561" s="1"/>
      <c r="B561" s="33"/>
      <c r="C561" s="40"/>
      <c r="D561" s="34"/>
      <c r="E561" s="35"/>
      <c r="F561" s="36"/>
      <c r="H561" s="36"/>
      <c r="I561" s="36"/>
      <c r="J561" s="36"/>
      <c r="K561" s="36"/>
      <c r="L561" s="41"/>
      <c r="M561" s="32" t="str">
        <f>IF(B561="","",IF(J561="CompteCourant",IF(IF(ISNA(VLOOKUP(B561,DATA!$A$1:$A$16,1,0)),"",VLOOKUP(B561,DATA!$A$1:$A$16,1,0))="",M560+E561,M560-E561),M560))</f>
        <v/>
      </c>
      <c r="N561" s="32" t="str">
        <f>IF(B561="","",IF(J561="Coffre",IF(IF(ISNA(VLOOKUP(B561,DATA!$A$1:$A$16,1,0)),"",VLOOKUP(B561,DATA!$A$1:$A$16,1,0))="",N560+E561,N560-E561),N560))</f>
        <v/>
      </c>
      <c r="O561" s="32" t="str">
        <f>IF(B561="","",IF(J561="CompteEpargne",IF(IF(ISNA(VLOOKUP(B561,DATA!$A$1:$A$16,1,0)),"",VLOOKUP(B561,DATA!$A$1:$A$16,1,0))="",O560+E561,O560-E561),O560))</f>
        <v/>
      </c>
      <c r="P561" s="32" t="str">
        <f>IF(B561="","",IF(J561="CompteMyPos",IF(IF(ISNA(VLOOKUP(B561,DATA!$A$1:$A$15,1,0)),"",VLOOKUP(B561,DATA!$A$1:$A$15,1,0))="",P560+E561,P560-E561),P560))</f>
        <v/>
      </c>
      <c r="Q561" s="32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4.25" customHeight="1" x14ac:dyDescent="0.2">
      <c r="A562" s="1"/>
      <c r="B562" s="33"/>
      <c r="C562" s="40"/>
      <c r="D562" s="34"/>
      <c r="E562" s="35"/>
      <c r="F562" s="36"/>
      <c r="H562" s="36"/>
      <c r="I562" s="36"/>
      <c r="J562" s="36"/>
      <c r="K562" s="36"/>
      <c r="L562" s="41"/>
      <c r="M562" s="32" t="str">
        <f>IF(B562="","",IF(J562="CompteCourant",IF(IF(ISNA(VLOOKUP(B562,DATA!$A$1:$A$16,1,0)),"",VLOOKUP(B562,DATA!$A$1:$A$16,1,0))="",M561+E562,M561-E562),M561))</f>
        <v/>
      </c>
      <c r="N562" s="32" t="str">
        <f>IF(B562="","",IF(J562="Coffre",IF(IF(ISNA(VLOOKUP(B562,DATA!$A$1:$A$16,1,0)),"",VLOOKUP(B562,DATA!$A$1:$A$16,1,0))="",N561+E562,N561-E562),N561))</f>
        <v/>
      </c>
      <c r="O562" s="32" t="str">
        <f>IF(B562="","",IF(J562="CompteEpargne",IF(IF(ISNA(VLOOKUP(B562,DATA!$A$1:$A$16,1,0)),"",VLOOKUP(B562,DATA!$A$1:$A$16,1,0))="",O561+E562,O561-E562),O561))</f>
        <v/>
      </c>
      <c r="P562" s="32" t="str">
        <f>IF(B562="","",IF(J562="CompteMyPos",IF(IF(ISNA(VLOOKUP(B562,DATA!$A$1:$A$15,1,0)),"",VLOOKUP(B562,DATA!$A$1:$A$15,1,0))="",P561+E562,P561-E562),P561))</f>
        <v/>
      </c>
      <c r="Q562" s="32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4.25" customHeight="1" x14ac:dyDescent="0.2">
      <c r="A563" s="1"/>
      <c r="B563" s="33"/>
      <c r="C563" s="40"/>
      <c r="D563" s="34"/>
      <c r="E563" s="35"/>
      <c r="F563" s="36"/>
      <c r="H563" s="36"/>
      <c r="I563" s="36"/>
      <c r="J563" s="36"/>
      <c r="K563" s="36"/>
      <c r="L563" s="41"/>
      <c r="M563" s="32" t="str">
        <f>IF(B563="","",IF(J563="CompteCourant",IF(IF(ISNA(VLOOKUP(B563,DATA!$A$1:$A$16,1,0)),"",VLOOKUP(B563,DATA!$A$1:$A$16,1,0))="",M562+E563,M562-E563),M562))</f>
        <v/>
      </c>
      <c r="N563" s="32" t="str">
        <f>IF(B563="","",IF(J563="Coffre",IF(IF(ISNA(VLOOKUP(B563,DATA!$A$1:$A$16,1,0)),"",VLOOKUP(B563,DATA!$A$1:$A$16,1,0))="",N562+E563,N562-E563),N562))</f>
        <v/>
      </c>
      <c r="O563" s="32" t="str">
        <f>IF(B563="","",IF(J563="CompteEpargne",IF(IF(ISNA(VLOOKUP(B563,DATA!$A$1:$A$16,1,0)),"",VLOOKUP(B563,DATA!$A$1:$A$16,1,0))="",O562+E563,O562-E563),O562))</f>
        <v/>
      </c>
      <c r="P563" s="32" t="str">
        <f>IF(B563="","",IF(J563="CompteMyPos",IF(IF(ISNA(VLOOKUP(B563,DATA!$A$1:$A$15,1,0)),"",VLOOKUP(B563,DATA!$A$1:$A$15,1,0))="",P562+E563,P562-E563),P562))</f>
        <v/>
      </c>
      <c r="Q563" s="32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4.25" customHeight="1" x14ac:dyDescent="0.2">
      <c r="A564" s="1"/>
      <c r="B564" s="33"/>
      <c r="C564" s="40"/>
      <c r="D564" s="34"/>
      <c r="E564" s="35"/>
      <c r="F564" s="36"/>
      <c r="H564" s="36"/>
      <c r="I564" s="36"/>
      <c r="J564" s="36"/>
      <c r="K564" s="36"/>
      <c r="L564" s="41"/>
      <c r="M564" s="32" t="str">
        <f>IF(B564="","",IF(J564="CompteCourant",IF(IF(ISNA(VLOOKUP(B564,DATA!$A$1:$A$16,1,0)),"",VLOOKUP(B564,DATA!$A$1:$A$16,1,0))="",M563+E564,M563-E564),M563))</f>
        <v/>
      </c>
      <c r="N564" s="32" t="str">
        <f>IF(B564="","",IF(J564="Coffre",IF(IF(ISNA(VLOOKUP(B564,DATA!$A$1:$A$16,1,0)),"",VLOOKUP(B564,DATA!$A$1:$A$16,1,0))="",N563+E564,N563-E564),N563))</f>
        <v/>
      </c>
      <c r="O564" s="32" t="str">
        <f>IF(B564="","",IF(J564="CompteEpargne",IF(IF(ISNA(VLOOKUP(B564,DATA!$A$1:$A$16,1,0)),"",VLOOKUP(B564,DATA!$A$1:$A$16,1,0))="",O563+E564,O563-E564),O563))</f>
        <v/>
      </c>
      <c r="P564" s="32" t="str">
        <f>IF(B564="","",IF(J564="CompteMyPos",IF(IF(ISNA(VLOOKUP(B564,DATA!$A$1:$A$15,1,0)),"",VLOOKUP(B564,DATA!$A$1:$A$15,1,0))="",P563+E564,P563-E564),P563))</f>
        <v/>
      </c>
      <c r="Q564" s="32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4.25" customHeight="1" x14ac:dyDescent="0.2">
      <c r="A565" s="1"/>
      <c r="B565" s="33"/>
      <c r="C565" s="40"/>
      <c r="D565" s="34"/>
      <c r="E565" s="35"/>
      <c r="F565" s="36"/>
      <c r="H565" s="36"/>
      <c r="I565" s="36"/>
      <c r="J565" s="36"/>
      <c r="K565" s="36"/>
      <c r="L565" s="41"/>
      <c r="M565" s="32" t="str">
        <f>IF(B565="","",IF(J565="CompteCourant",IF(IF(ISNA(VLOOKUP(B565,DATA!$A$1:$A$16,1,0)),"",VLOOKUP(B565,DATA!$A$1:$A$16,1,0))="",M564+E565,M564-E565),M564))</f>
        <v/>
      </c>
      <c r="N565" s="32" t="str">
        <f>IF(B565="","",IF(J565="Coffre",IF(IF(ISNA(VLOOKUP(B565,DATA!$A$1:$A$16,1,0)),"",VLOOKUP(B565,DATA!$A$1:$A$16,1,0))="",N564+E565,N564-E565),N564))</f>
        <v/>
      </c>
      <c r="O565" s="32" t="str">
        <f>IF(B565="","",IF(J565="CompteEpargne",IF(IF(ISNA(VLOOKUP(B565,DATA!$A$1:$A$16,1,0)),"",VLOOKUP(B565,DATA!$A$1:$A$16,1,0))="",O564+E565,O564-E565),O564))</f>
        <v/>
      </c>
      <c r="P565" s="32" t="str">
        <f>IF(B565="","",IF(J565="CompteMyPos",IF(IF(ISNA(VLOOKUP(B565,DATA!$A$1:$A$15,1,0)),"",VLOOKUP(B565,DATA!$A$1:$A$15,1,0))="",P564+E565,P564-E565),P564))</f>
        <v/>
      </c>
      <c r="Q565" s="32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4.25" customHeight="1" x14ac:dyDescent="0.2">
      <c r="A566" s="1"/>
      <c r="B566" s="33"/>
      <c r="C566" s="40"/>
      <c r="D566" s="34"/>
      <c r="E566" s="35"/>
      <c r="F566" s="36"/>
      <c r="H566" s="36"/>
      <c r="I566" s="36"/>
      <c r="J566" s="36"/>
      <c r="K566" s="36"/>
      <c r="L566" s="41"/>
      <c r="M566" s="32" t="str">
        <f>IF(B566="","",IF(J566="CompteCourant",IF(IF(ISNA(VLOOKUP(B566,DATA!$A$1:$A$16,1,0)),"",VLOOKUP(B566,DATA!$A$1:$A$16,1,0))="",M565+E566,M565-E566),M565))</f>
        <v/>
      </c>
      <c r="N566" s="32" t="str">
        <f>IF(B566="","",IF(J566="Coffre",IF(IF(ISNA(VLOOKUP(B566,DATA!$A$1:$A$16,1,0)),"",VLOOKUP(B566,DATA!$A$1:$A$16,1,0))="",N565+E566,N565-E566),N565))</f>
        <v/>
      </c>
      <c r="O566" s="32" t="str">
        <f>IF(B566="","",IF(J566="CompteEpargne",IF(IF(ISNA(VLOOKUP(B566,DATA!$A$1:$A$16,1,0)),"",VLOOKUP(B566,DATA!$A$1:$A$16,1,0))="",O565+E566,O565-E566),O565))</f>
        <v/>
      </c>
      <c r="P566" s="32" t="str">
        <f>IF(B566="","",IF(J566="CompteMyPos",IF(IF(ISNA(VLOOKUP(B566,DATA!$A$1:$A$15,1,0)),"",VLOOKUP(B566,DATA!$A$1:$A$15,1,0))="",P565+E566,P565-E566),P565))</f>
        <v/>
      </c>
      <c r="Q566" s="32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4.25" customHeight="1" x14ac:dyDescent="0.2">
      <c r="A567" s="1"/>
      <c r="B567" s="33"/>
      <c r="C567" s="40"/>
      <c r="D567" s="34"/>
      <c r="E567" s="35"/>
      <c r="F567" s="36"/>
      <c r="H567" s="36"/>
      <c r="I567" s="36"/>
      <c r="J567" s="36"/>
      <c r="K567" s="36"/>
      <c r="L567" s="41"/>
      <c r="M567" s="32" t="str">
        <f>IF(B567="","",IF(J567="CompteCourant",IF(IF(ISNA(VLOOKUP(B567,DATA!$A$1:$A$16,1,0)),"",VLOOKUP(B567,DATA!$A$1:$A$16,1,0))="",M566+E567,M566-E567),M566))</f>
        <v/>
      </c>
      <c r="N567" s="32" t="str">
        <f>IF(B567="","",IF(J567="Coffre",IF(IF(ISNA(VLOOKUP(B567,DATA!$A$1:$A$16,1,0)),"",VLOOKUP(B567,DATA!$A$1:$A$16,1,0))="",N566+E567,N566-E567),N566))</f>
        <v/>
      </c>
      <c r="O567" s="32" t="str">
        <f>IF(B567="","",IF(J567="CompteEpargne",IF(IF(ISNA(VLOOKUP(B567,DATA!$A$1:$A$16,1,0)),"",VLOOKUP(B567,DATA!$A$1:$A$16,1,0))="",O566+E567,O566-E567),O566))</f>
        <v/>
      </c>
      <c r="P567" s="32" t="str">
        <f>IF(B567="","",IF(J567="CompteMyPos",IF(IF(ISNA(VLOOKUP(B567,DATA!$A$1:$A$15,1,0)),"",VLOOKUP(B567,DATA!$A$1:$A$15,1,0))="",P566+E567,P566-E567),P566))</f>
        <v/>
      </c>
      <c r="Q567" s="32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4.25" customHeight="1" x14ac:dyDescent="0.2">
      <c r="A568" s="1"/>
      <c r="B568" s="33"/>
      <c r="C568" s="40"/>
      <c r="D568" s="34"/>
      <c r="E568" s="35"/>
      <c r="F568" s="36"/>
      <c r="H568" s="36"/>
      <c r="I568" s="36"/>
      <c r="J568" s="36"/>
      <c r="K568" s="36"/>
      <c r="L568" s="41"/>
      <c r="M568" s="32" t="str">
        <f>IF(B568="","",IF(J568="CompteCourant",IF(IF(ISNA(VLOOKUP(B568,DATA!$A$1:$A$16,1,0)),"",VLOOKUP(B568,DATA!$A$1:$A$16,1,0))="",M567+E568,M567-E568),M567))</f>
        <v/>
      </c>
      <c r="N568" s="32" t="str">
        <f>IF(B568="","",IF(J568="Coffre",IF(IF(ISNA(VLOOKUP(B568,DATA!$A$1:$A$16,1,0)),"",VLOOKUP(B568,DATA!$A$1:$A$16,1,0))="",N567+E568,N567-E568),N567))</f>
        <v/>
      </c>
      <c r="O568" s="32" t="str">
        <f>IF(B568="","",IF(J568="CompteEpargne",IF(IF(ISNA(VLOOKUP(B568,DATA!$A$1:$A$16,1,0)),"",VLOOKUP(B568,DATA!$A$1:$A$16,1,0))="",O567+E568,O567-E568),O567))</f>
        <v/>
      </c>
      <c r="P568" s="32" t="str">
        <f>IF(B568="","",IF(J568="CompteMyPos",IF(IF(ISNA(VLOOKUP(B568,DATA!$A$1:$A$15,1,0)),"",VLOOKUP(B568,DATA!$A$1:$A$15,1,0))="",P567+E568,P567-E568),P567))</f>
        <v/>
      </c>
      <c r="Q568" s="32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4.25" customHeight="1" x14ac:dyDescent="0.2">
      <c r="A569" s="1"/>
      <c r="B569" s="33"/>
      <c r="C569" s="40"/>
      <c r="D569" s="34"/>
      <c r="E569" s="35"/>
      <c r="F569" s="36"/>
      <c r="H569" s="36"/>
      <c r="I569" s="36"/>
      <c r="J569" s="36"/>
      <c r="K569" s="36"/>
      <c r="L569" s="41"/>
      <c r="M569" s="32" t="str">
        <f>IF(B569="","",IF(J569="CompteCourant",IF(IF(ISNA(VLOOKUP(B569,DATA!$A$1:$A$16,1,0)),"",VLOOKUP(B569,DATA!$A$1:$A$16,1,0))="",M568+E569,M568-E569),M568))</f>
        <v/>
      </c>
      <c r="N569" s="32" t="str">
        <f>IF(B569="","",IF(J569="Coffre",IF(IF(ISNA(VLOOKUP(B569,DATA!$A$1:$A$16,1,0)),"",VLOOKUP(B569,DATA!$A$1:$A$16,1,0))="",N568+E569,N568-E569),N568))</f>
        <v/>
      </c>
      <c r="O569" s="32" t="str">
        <f>IF(B569="","",IF(J569="CompteEpargne",IF(IF(ISNA(VLOOKUP(B569,DATA!$A$1:$A$16,1,0)),"",VLOOKUP(B569,DATA!$A$1:$A$16,1,0))="",O568+E569,O568-E569),O568))</f>
        <v/>
      </c>
      <c r="P569" s="32" t="str">
        <f>IF(B569="","",IF(J569="CompteMyPos",IF(IF(ISNA(VLOOKUP(B569,DATA!$A$1:$A$15,1,0)),"",VLOOKUP(B569,DATA!$A$1:$A$15,1,0))="",P568+E569,P568-E569),P568))</f>
        <v/>
      </c>
      <c r="Q569" s="32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4.25" customHeight="1" x14ac:dyDescent="0.2">
      <c r="A570" s="1"/>
      <c r="B570" s="33"/>
      <c r="C570" s="40"/>
      <c r="D570" s="34"/>
      <c r="E570" s="35"/>
      <c r="F570" s="36"/>
      <c r="H570" s="36"/>
      <c r="I570" s="36"/>
      <c r="J570" s="36"/>
      <c r="K570" s="36"/>
      <c r="L570" s="41"/>
      <c r="M570" s="32" t="str">
        <f>IF(B570="","",IF(J570="CompteCourant",IF(IF(ISNA(VLOOKUP(B570,DATA!$A$1:$A$16,1,0)),"",VLOOKUP(B570,DATA!$A$1:$A$16,1,0))="",M569+E570,M569-E570),M569))</f>
        <v/>
      </c>
      <c r="N570" s="32" t="str">
        <f>IF(B570="","",IF(J570="Coffre",IF(IF(ISNA(VLOOKUP(B570,DATA!$A$1:$A$16,1,0)),"",VLOOKUP(B570,DATA!$A$1:$A$16,1,0))="",N569+E570,N569-E570),N569))</f>
        <v/>
      </c>
      <c r="O570" s="32" t="str">
        <f>IF(B570="","",IF(J570="CompteEpargne",IF(IF(ISNA(VLOOKUP(B570,DATA!$A$1:$A$16,1,0)),"",VLOOKUP(B570,DATA!$A$1:$A$16,1,0))="",O569+E570,O569-E570),O569))</f>
        <v/>
      </c>
      <c r="P570" s="32" t="str">
        <f>IF(B570="","",IF(J570="CompteMyPos",IF(IF(ISNA(VLOOKUP(B570,DATA!$A$1:$A$15,1,0)),"",VLOOKUP(B570,DATA!$A$1:$A$15,1,0))="",P569+E570,P569-E570),P569))</f>
        <v/>
      </c>
      <c r="Q570" s="32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4.25" customHeight="1" x14ac:dyDescent="0.2">
      <c r="A571" s="1"/>
      <c r="B571" s="33"/>
      <c r="C571" s="40"/>
      <c r="D571" s="34"/>
      <c r="E571" s="35"/>
      <c r="F571" s="36"/>
      <c r="H571" s="36"/>
      <c r="I571" s="36"/>
      <c r="J571" s="36"/>
      <c r="K571" s="36"/>
      <c r="L571" s="41"/>
      <c r="M571" s="32" t="str">
        <f>IF(B571="","",IF(J571="CompteCourant",IF(IF(ISNA(VLOOKUP(B571,DATA!$A$1:$A$16,1,0)),"",VLOOKUP(B571,DATA!$A$1:$A$16,1,0))="",M570+E571,M570-E571),M570))</f>
        <v/>
      </c>
      <c r="N571" s="32" t="str">
        <f>IF(B571="","",IF(J571="Coffre",IF(IF(ISNA(VLOOKUP(B571,DATA!$A$1:$A$16,1,0)),"",VLOOKUP(B571,DATA!$A$1:$A$16,1,0))="",N570+E571,N570-E571),N570))</f>
        <v/>
      </c>
      <c r="O571" s="32" t="str">
        <f>IF(B571="","",IF(J571="CompteEpargne",IF(IF(ISNA(VLOOKUP(B571,DATA!$A$1:$A$16,1,0)),"",VLOOKUP(B571,DATA!$A$1:$A$16,1,0))="",O570+E571,O570-E571),O570))</f>
        <v/>
      </c>
      <c r="P571" s="32" t="str">
        <f>IF(B571="","",IF(J571="CompteMyPos",IF(IF(ISNA(VLOOKUP(B571,DATA!$A$1:$A$15,1,0)),"",VLOOKUP(B571,DATA!$A$1:$A$15,1,0))="",P570+E571,P570-E571),P570))</f>
        <v/>
      </c>
      <c r="Q571" s="32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4.25" customHeight="1" x14ac:dyDescent="0.2">
      <c r="A572" s="1"/>
      <c r="B572" s="33"/>
      <c r="C572" s="40"/>
      <c r="D572" s="34"/>
      <c r="E572" s="35"/>
      <c r="F572" s="36"/>
      <c r="H572" s="36"/>
      <c r="I572" s="36"/>
      <c r="J572" s="36"/>
      <c r="K572" s="36"/>
      <c r="L572" s="41"/>
      <c r="M572" s="32" t="str">
        <f>IF(B572="","",IF(J572="CompteCourant",IF(IF(ISNA(VLOOKUP(B572,DATA!$A$1:$A$16,1,0)),"",VLOOKUP(B572,DATA!$A$1:$A$16,1,0))="",M571+E572,M571-E572),M571))</f>
        <v/>
      </c>
      <c r="N572" s="32" t="str">
        <f>IF(B572="","",IF(J572="Coffre",IF(IF(ISNA(VLOOKUP(B572,DATA!$A$1:$A$16,1,0)),"",VLOOKUP(B572,DATA!$A$1:$A$16,1,0))="",N571+E572,N571-E572),N571))</f>
        <v/>
      </c>
      <c r="O572" s="32" t="str">
        <f>IF(B572="","",IF(J572="CompteEpargne",IF(IF(ISNA(VLOOKUP(B572,DATA!$A$1:$A$16,1,0)),"",VLOOKUP(B572,DATA!$A$1:$A$16,1,0))="",O571+E572,O571-E572),O571))</f>
        <v/>
      </c>
      <c r="P572" s="32" t="str">
        <f>IF(B572="","",IF(J572="CompteMyPos",IF(IF(ISNA(VLOOKUP(B572,DATA!$A$1:$A$15,1,0)),"",VLOOKUP(B572,DATA!$A$1:$A$15,1,0))="",P571+E572,P571-E572),P571))</f>
        <v/>
      </c>
      <c r="Q572" s="32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4.25" customHeight="1" x14ac:dyDescent="0.2">
      <c r="A573" s="1"/>
      <c r="B573" s="33"/>
      <c r="C573" s="40"/>
      <c r="D573" s="34"/>
      <c r="E573" s="35"/>
      <c r="F573" s="36"/>
      <c r="H573" s="36"/>
      <c r="I573" s="36"/>
      <c r="J573" s="36"/>
      <c r="K573" s="36"/>
      <c r="L573" s="41"/>
      <c r="M573" s="32" t="str">
        <f>IF(B573="","",IF(J573="CompteCourant",IF(IF(ISNA(VLOOKUP(B573,DATA!$A$1:$A$16,1,0)),"",VLOOKUP(B573,DATA!$A$1:$A$16,1,0))="",M572+E573,M572-E573),M572))</f>
        <v/>
      </c>
      <c r="N573" s="32" t="str">
        <f>IF(B573="","",IF(J573="Coffre",IF(IF(ISNA(VLOOKUP(B573,DATA!$A$1:$A$16,1,0)),"",VLOOKUP(B573,DATA!$A$1:$A$16,1,0))="",N572+E573,N572-E573),N572))</f>
        <v/>
      </c>
      <c r="O573" s="32" t="str">
        <f>IF(B573="","",IF(J573="CompteEpargne",IF(IF(ISNA(VLOOKUP(B573,DATA!$A$1:$A$16,1,0)),"",VLOOKUP(B573,DATA!$A$1:$A$16,1,0))="",O572+E573,O572-E573),O572))</f>
        <v/>
      </c>
      <c r="P573" s="32" t="str">
        <f>IF(B573="","",IF(J573="CompteMyPos",IF(IF(ISNA(VLOOKUP(B573,DATA!$A$1:$A$15,1,0)),"",VLOOKUP(B573,DATA!$A$1:$A$15,1,0))="",P572+E573,P572-E573),P572))</f>
        <v/>
      </c>
      <c r="Q573" s="32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4.25" customHeight="1" x14ac:dyDescent="0.2">
      <c r="A574" s="1"/>
      <c r="B574" s="33"/>
      <c r="C574" s="40"/>
      <c r="D574" s="34"/>
      <c r="E574" s="35"/>
      <c r="F574" s="36"/>
      <c r="H574" s="36"/>
      <c r="I574" s="36"/>
      <c r="J574" s="36"/>
      <c r="K574" s="36"/>
      <c r="L574" s="41"/>
      <c r="M574" s="32"/>
      <c r="N574" s="32"/>
      <c r="O574" s="32"/>
      <c r="P574" s="32"/>
      <c r="Q574" s="32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4.25" customHeight="1" x14ac:dyDescent="0.2">
      <c r="A575" s="1"/>
      <c r="B575" s="33"/>
      <c r="C575" s="40"/>
      <c r="D575" s="34"/>
      <c r="E575" s="35"/>
      <c r="F575" s="36"/>
      <c r="H575" s="36"/>
      <c r="I575" s="36"/>
      <c r="J575" s="36"/>
      <c r="K575" s="36"/>
      <c r="L575" s="41"/>
      <c r="M575" s="32"/>
      <c r="N575" s="32"/>
      <c r="O575" s="32"/>
      <c r="P575" s="32"/>
      <c r="Q575" s="32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4.25" customHeight="1" x14ac:dyDescent="0.2">
      <c r="A576" s="1"/>
      <c r="B576" s="33"/>
      <c r="C576" s="40"/>
      <c r="D576" s="34"/>
      <c r="E576" s="35"/>
      <c r="F576" s="36"/>
      <c r="H576" s="36"/>
      <c r="I576" s="36"/>
      <c r="J576" s="36"/>
      <c r="K576" s="36"/>
      <c r="L576" s="41"/>
      <c r="M576" s="32"/>
      <c r="N576" s="32"/>
      <c r="O576" s="32"/>
      <c r="P576" s="32"/>
      <c r="Q576" s="32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4.25" customHeight="1" x14ac:dyDescent="0.2">
      <c r="A577" s="1"/>
      <c r="B577" s="33"/>
      <c r="C577" s="40"/>
      <c r="D577" s="34"/>
      <c r="E577" s="35"/>
      <c r="F577" s="36"/>
      <c r="H577" s="36"/>
      <c r="I577" s="36"/>
      <c r="J577" s="36"/>
      <c r="K577" s="36"/>
      <c r="L577" s="41"/>
      <c r="M577" s="32"/>
      <c r="N577" s="32"/>
      <c r="O577" s="32"/>
      <c r="P577" s="32"/>
      <c r="Q577" s="32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4.25" customHeight="1" x14ac:dyDescent="0.2">
      <c r="A578" s="1"/>
      <c r="B578" s="33"/>
      <c r="C578" s="40"/>
      <c r="D578" s="34"/>
      <c r="E578" s="35"/>
      <c r="F578" s="36"/>
      <c r="H578" s="36"/>
      <c r="I578" s="36"/>
      <c r="J578" s="36"/>
      <c r="K578" s="36"/>
      <c r="L578" s="41"/>
      <c r="M578" s="32"/>
      <c r="N578" s="32"/>
      <c r="O578" s="32"/>
      <c r="P578" s="32"/>
      <c r="Q578" s="32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4.25" customHeight="1" x14ac:dyDescent="0.2">
      <c r="A579" s="1"/>
      <c r="B579" s="33"/>
      <c r="C579" s="40"/>
      <c r="D579" s="34"/>
      <c r="E579" s="35"/>
      <c r="F579" s="36"/>
      <c r="H579" s="36"/>
      <c r="I579" s="36"/>
      <c r="J579" s="36"/>
      <c r="K579" s="36"/>
      <c r="L579" s="41"/>
      <c r="M579" s="32"/>
      <c r="N579" s="32"/>
      <c r="O579" s="32"/>
      <c r="P579" s="32"/>
      <c r="Q579" s="32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4.25" customHeight="1" x14ac:dyDescent="0.2">
      <c r="A580" s="1"/>
      <c r="B580" s="33"/>
      <c r="C580" s="40"/>
      <c r="D580" s="34"/>
      <c r="E580" s="35"/>
      <c r="F580" s="36"/>
      <c r="H580" s="36"/>
      <c r="I580" s="36"/>
      <c r="J580" s="36"/>
      <c r="K580" s="36"/>
      <c r="L580" s="41"/>
      <c r="M580" s="32"/>
      <c r="N580" s="32"/>
      <c r="O580" s="32"/>
      <c r="P580" s="32"/>
      <c r="Q580" s="32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4.25" customHeight="1" x14ac:dyDescent="0.2">
      <c r="A581" s="1"/>
      <c r="B581" s="33"/>
      <c r="C581" s="40"/>
      <c r="D581" s="34"/>
      <c r="E581" s="35"/>
      <c r="F581" s="36"/>
      <c r="H581" s="36"/>
      <c r="I581" s="36"/>
      <c r="J581" s="36"/>
      <c r="K581" s="36"/>
      <c r="L581" s="41"/>
      <c r="M581" s="32"/>
      <c r="N581" s="32"/>
      <c r="O581" s="32"/>
      <c r="P581" s="32"/>
      <c r="Q581" s="32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4.25" customHeight="1" x14ac:dyDescent="0.2">
      <c r="A582" s="1"/>
      <c r="B582" s="33"/>
      <c r="C582" s="40"/>
      <c r="D582" s="34"/>
      <c r="E582" s="35"/>
      <c r="F582" s="36"/>
      <c r="H582" s="36"/>
      <c r="I582" s="36"/>
      <c r="J582" s="36"/>
      <c r="K582" s="36"/>
      <c r="L582" s="41"/>
      <c r="M582" s="32"/>
      <c r="N582" s="32"/>
      <c r="O582" s="32"/>
      <c r="P582" s="32"/>
      <c r="Q582" s="32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4.25" customHeight="1" x14ac:dyDescent="0.2">
      <c r="A583" s="1"/>
      <c r="B583" s="33"/>
      <c r="C583" s="40"/>
      <c r="D583" s="34"/>
      <c r="E583" s="35"/>
      <c r="F583" s="36"/>
      <c r="H583" s="36"/>
      <c r="I583" s="36"/>
      <c r="J583" s="36"/>
      <c r="K583" s="36"/>
      <c r="L583" s="41"/>
      <c r="M583" s="32"/>
      <c r="N583" s="32"/>
      <c r="O583" s="32"/>
      <c r="P583" s="32"/>
      <c r="Q583" s="32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4.25" customHeight="1" x14ac:dyDescent="0.2">
      <c r="A584" s="1"/>
      <c r="B584" s="33"/>
      <c r="C584" s="40"/>
      <c r="D584" s="34"/>
      <c r="E584" s="35"/>
      <c r="F584" s="36"/>
      <c r="H584" s="36"/>
      <c r="I584" s="36"/>
      <c r="J584" s="36"/>
      <c r="K584" s="36"/>
      <c r="L584" s="41"/>
      <c r="M584" s="32"/>
      <c r="N584" s="32"/>
      <c r="O584" s="32"/>
      <c r="P584" s="32"/>
      <c r="Q584" s="32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4.25" customHeight="1" x14ac:dyDescent="0.2">
      <c r="A585" s="1"/>
      <c r="B585" s="33"/>
      <c r="C585" s="40"/>
      <c r="D585" s="34"/>
      <c r="E585" s="35"/>
      <c r="F585" s="36"/>
      <c r="H585" s="36"/>
      <c r="I585" s="36"/>
      <c r="J585" s="36"/>
      <c r="K585" s="36"/>
      <c r="L585" s="41"/>
      <c r="M585" s="32"/>
      <c r="N585" s="32"/>
      <c r="O585" s="32"/>
      <c r="P585" s="32"/>
      <c r="Q585" s="32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4.25" customHeight="1" x14ac:dyDescent="0.2">
      <c r="A586" s="1"/>
      <c r="B586" s="33"/>
      <c r="C586" s="40"/>
      <c r="D586" s="34"/>
      <c r="E586" s="35"/>
      <c r="F586" s="36"/>
      <c r="H586" s="36"/>
      <c r="I586" s="36"/>
      <c r="J586" s="36"/>
      <c r="K586" s="36"/>
      <c r="L586" s="41"/>
      <c r="M586" s="32"/>
      <c r="N586" s="32"/>
      <c r="O586" s="32"/>
      <c r="P586" s="32"/>
      <c r="Q586" s="32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4.25" customHeight="1" x14ac:dyDescent="0.2">
      <c r="A587" s="1"/>
      <c r="B587" s="33"/>
      <c r="C587" s="40"/>
      <c r="D587" s="34"/>
      <c r="E587" s="35"/>
      <c r="F587" s="36"/>
      <c r="H587" s="36"/>
      <c r="I587" s="36"/>
      <c r="J587" s="36"/>
      <c r="K587" s="36"/>
      <c r="L587" s="41"/>
      <c r="M587" s="32"/>
      <c r="N587" s="32"/>
      <c r="O587" s="32"/>
      <c r="P587" s="32"/>
      <c r="Q587" s="32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4.25" customHeight="1" x14ac:dyDescent="0.2">
      <c r="A588" s="1"/>
      <c r="B588" s="33"/>
      <c r="C588" s="40"/>
      <c r="D588" s="34"/>
      <c r="E588" s="35"/>
      <c r="F588" s="36"/>
      <c r="H588" s="36"/>
      <c r="I588" s="36"/>
      <c r="J588" s="36"/>
      <c r="K588" s="36"/>
      <c r="L588" s="41"/>
      <c r="M588" s="32"/>
      <c r="N588" s="32"/>
      <c r="O588" s="32"/>
      <c r="P588" s="32"/>
      <c r="Q588" s="32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4.25" customHeight="1" x14ac:dyDescent="0.2">
      <c r="A589" s="1"/>
      <c r="B589" s="33"/>
      <c r="C589" s="40"/>
      <c r="D589" s="34"/>
      <c r="E589" s="35"/>
      <c r="F589" s="36"/>
      <c r="H589" s="36"/>
      <c r="I589" s="36"/>
      <c r="J589" s="36"/>
      <c r="K589" s="36"/>
      <c r="L589" s="41"/>
      <c r="M589" s="32"/>
      <c r="N589" s="32"/>
      <c r="O589" s="32"/>
      <c r="P589" s="32"/>
      <c r="Q589" s="32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4.25" customHeight="1" x14ac:dyDescent="0.2">
      <c r="A590" s="1"/>
      <c r="B590" s="33"/>
      <c r="C590" s="40"/>
      <c r="D590" s="34"/>
      <c r="E590" s="35"/>
      <c r="F590" s="36"/>
      <c r="H590" s="36"/>
      <c r="I590" s="36"/>
      <c r="J590" s="36"/>
      <c r="K590" s="36"/>
      <c r="L590" s="41"/>
      <c r="M590" s="32"/>
      <c r="N590" s="32"/>
      <c r="O590" s="32"/>
      <c r="P590" s="32"/>
      <c r="Q590" s="32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4.25" customHeight="1" x14ac:dyDescent="0.2">
      <c r="A591" s="1"/>
      <c r="B591" s="33"/>
      <c r="C591" s="40"/>
      <c r="D591" s="34"/>
      <c r="E591" s="35"/>
      <c r="F591" s="36"/>
      <c r="H591" s="36"/>
      <c r="I591" s="36"/>
      <c r="J591" s="36"/>
      <c r="K591" s="36"/>
      <c r="L591" s="41"/>
      <c r="M591" s="32"/>
      <c r="N591" s="32"/>
      <c r="O591" s="32"/>
      <c r="P591" s="32"/>
      <c r="Q591" s="32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4.25" customHeight="1" x14ac:dyDescent="0.2">
      <c r="A592" s="1"/>
      <c r="B592" s="33"/>
      <c r="C592" s="40"/>
      <c r="D592" s="34"/>
      <c r="E592" s="35"/>
      <c r="F592" s="36"/>
      <c r="H592" s="36"/>
      <c r="I592" s="36"/>
      <c r="J592" s="36"/>
      <c r="K592" s="36"/>
      <c r="L592" s="41"/>
      <c r="M592" s="32"/>
      <c r="N592" s="32"/>
      <c r="O592" s="32"/>
      <c r="P592" s="32"/>
      <c r="Q592" s="32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4.25" customHeight="1" x14ac:dyDescent="0.2">
      <c r="A593" s="1"/>
      <c r="B593" s="33"/>
      <c r="C593" s="40"/>
      <c r="D593" s="34"/>
      <c r="E593" s="35"/>
      <c r="F593" s="36"/>
      <c r="H593" s="36"/>
      <c r="I593" s="36"/>
      <c r="J593" s="36"/>
      <c r="K593" s="36"/>
      <c r="L593" s="41"/>
      <c r="M593" s="32"/>
      <c r="N593" s="32"/>
      <c r="O593" s="32"/>
      <c r="P593" s="32"/>
      <c r="Q593" s="32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4.25" customHeight="1" x14ac:dyDescent="0.2">
      <c r="A594" s="1"/>
      <c r="B594" s="33"/>
      <c r="C594" s="40"/>
      <c r="D594" s="34"/>
      <c r="E594" s="35"/>
      <c r="F594" s="36"/>
      <c r="H594" s="36"/>
      <c r="I594" s="36"/>
      <c r="J594" s="36"/>
      <c r="K594" s="36"/>
      <c r="L594" s="41"/>
      <c r="M594" s="32"/>
      <c r="N594" s="32"/>
      <c r="O594" s="32"/>
      <c r="P594" s="32"/>
      <c r="Q594" s="32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4.25" customHeight="1" x14ac:dyDescent="0.2">
      <c r="A595" s="1"/>
      <c r="B595" s="33"/>
      <c r="C595" s="40"/>
      <c r="D595" s="34"/>
      <c r="E595" s="35"/>
      <c r="F595" s="36"/>
      <c r="H595" s="36"/>
      <c r="I595" s="36"/>
      <c r="J595" s="36"/>
      <c r="K595" s="36"/>
      <c r="L595" s="41"/>
      <c r="M595" s="32"/>
      <c r="N595" s="32"/>
      <c r="O595" s="32"/>
      <c r="P595" s="32"/>
      <c r="Q595" s="32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4.25" customHeight="1" x14ac:dyDescent="0.2">
      <c r="A596" s="1"/>
      <c r="B596" s="33"/>
      <c r="C596" s="40"/>
      <c r="D596" s="34"/>
      <c r="E596" s="35"/>
      <c r="F596" s="36"/>
      <c r="H596" s="36"/>
      <c r="I596" s="36"/>
      <c r="J596" s="36"/>
      <c r="K596" s="36"/>
      <c r="L596" s="41"/>
      <c r="M596" s="32"/>
      <c r="N596" s="32"/>
      <c r="O596" s="32"/>
      <c r="P596" s="32"/>
      <c r="Q596" s="32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4.25" customHeight="1" x14ac:dyDescent="0.2">
      <c r="A597" s="1"/>
      <c r="B597" s="33"/>
      <c r="C597" s="40"/>
      <c r="D597" s="34"/>
      <c r="E597" s="35"/>
      <c r="F597" s="36"/>
      <c r="H597" s="36"/>
      <c r="I597" s="36"/>
      <c r="J597" s="36"/>
      <c r="K597" s="36"/>
      <c r="L597" s="41"/>
      <c r="M597" s="32"/>
      <c r="N597" s="32"/>
      <c r="O597" s="32"/>
      <c r="P597" s="32"/>
      <c r="Q597" s="32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4.25" customHeight="1" x14ac:dyDescent="0.2">
      <c r="A598" s="1"/>
      <c r="B598" s="33"/>
      <c r="C598" s="40"/>
      <c r="D598" s="34"/>
      <c r="E598" s="35"/>
      <c r="F598" s="36"/>
      <c r="H598" s="36"/>
      <c r="I598" s="36"/>
      <c r="J598" s="36"/>
      <c r="K598" s="36"/>
      <c r="L598" s="41"/>
      <c r="M598" s="32"/>
      <c r="N598" s="32"/>
      <c r="O598" s="32"/>
      <c r="P598" s="32"/>
      <c r="Q598" s="32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4.25" customHeight="1" x14ac:dyDescent="0.2">
      <c r="A599" s="1"/>
      <c r="B599" s="33"/>
      <c r="C599" s="40"/>
      <c r="D599" s="34"/>
      <c r="E599" s="35"/>
      <c r="F599" s="36"/>
      <c r="H599" s="36"/>
      <c r="I599" s="36"/>
      <c r="J599" s="36"/>
      <c r="K599" s="36"/>
      <c r="L599" s="41"/>
      <c r="M599" s="32"/>
      <c r="N599" s="32"/>
      <c r="O599" s="32"/>
      <c r="P599" s="32"/>
      <c r="Q599" s="32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4.25" customHeight="1" x14ac:dyDescent="0.2">
      <c r="A600" s="1"/>
      <c r="B600" s="33"/>
      <c r="C600" s="40"/>
      <c r="D600" s="34"/>
      <c r="E600" s="35"/>
      <c r="F600" s="36"/>
      <c r="H600" s="36"/>
      <c r="I600" s="36"/>
      <c r="J600" s="36"/>
      <c r="K600" s="36"/>
      <c r="L600" s="41"/>
      <c r="M600" s="32"/>
      <c r="N600" s="32"/>
      <c r="O600" s="32"/>
      <c r="P600" s="32"/>
      <c r="Q600" s="32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4.25" customHeight="1" x14ac:dyDescent="0.2">
      <c r="A601" s="1"/>
      <c r="B601" s="33"/>
      <c r="C601" s="40"/>
      <c r="D601" s="34"/>
      <c r="E601" s="35"/>
      <c r="F601" s="36"/>
      <c r="H601" s="36"/>
      <c r="I601" s="36"/>
      <c r="J601" s="36"/>
      <c r="K601" s="36"/>
      <c r="L601" s="41"/>
      <c r="M601" s="32"/>
      <c r="N601" s="32"/>
      <c r="O601" s="32"/>
      <c r="P601" s="32"/>
      <c r="Q601" s="32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4.25" customHeight="1" x14ac:dyDescent="0.2">
      <c r="A602" s="1"/>
      <c r="B602" s="33"/>
      <c r="C602" s="40"/>
      <c r="D602" s="34"/>
      <c r="E602" s="35"/>
      <c r="F602" s="36"/>
      <c r="H602" s="36"/>
      <c r="I602" s="36"/>
      <c r="J602" s="36"/>
      <c r="K602" s="36"/>
      <c r="L602" s="41"/>
      <c r="M602" s="32"/>
      <c r="N602" s="32"/>
      <c r="O602" s="32"/>
      <c r="P602" s="32"/>
      <c r="Q602" s="32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4.25" customHeight="1" x14ac:dyDescent="0.2">
      <c r="A603" s="1"/>
      <c r="B603" s="33"/>
      <c r="C603" s="40"/>
      <c r="D603" s="34"/>
      <c r="E603" s="35"/>
      <c r="F603" s="36"/>
      <c r="H603" s="36"/>
      <c r="I603" s="36"/>
      <c r="J603" s="36"/>
      <c r="K603" s="36"/>
      <c r="L603" s="41"/>
      <c r="M603" s="32"/>
      <c r="N603" s="32"/>
      <c r="O603" s="32"/>
      <c r="P603" s="32"/>
      <c r="Q603" s="32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4.25" customHeight="1" x14ac:dyDescent="0.2">
      <c r="A604" s="1"/>
      <c r="B604" s="33"/>
      <c r="C604" s="40"/>
      <c r="D604" s="34"/>
      <c r="E604" s="35"/>
      <c r="F604" s="36"/>
      <c r="H604" s="36"/>
      <c r="I604" s="36"/>
      <c r="J604" s="36"/>
      <c r="K604" s="36"/>
      <c r="L604" s="41"/>
      <c r="M604" s="32"/>
      <c r="N604" s="32"/>
      <c r="O604" s="32"/>
      <c r="P604" s="32"/>
      <c r="Q604" s="32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4.25" customHeight="1" x14ac:dyDescent="0.2">
      <c r="A605" s="1"/>
      <c r="B605" s="33"/>
      <c r="C605" s="40"/>
      <c r="D605" s="34"/>
      <c r="E605" s="35"/>
      <c r="F605" s="36"/>
      <c r="H605" s="36"/>
      <c r="I605" s="36"/>
      <c r="J605" s="36"/>
      <c r="K605" s="36"/>
      <c r="L605" s="41"/>
      <c r="M605" s="32"/>
      <c r="N605" s="32"/>
      <c r="O605" s="32"/>
      <c r="P605" s="32"/>
      <c r="Q605" s="32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4.25" customHeight="1" x14ac:dyDescent="0.2">
      <c r="A606" s="1"/>
      <c r="B606" s="33"/>
      <c r="C606" s="40"/>
      <c r="D606" s="34"/>
      <c r="E606" s="35"/>
      <c r="F606" s="36"/>
      <c r="H606" s="36"/>
      <c r="I606" s="36"/>
      <c r="J606" s="36"/>
      <c r="K606" s="36"/>
      <c r="L606" s="41"/>
      <c r="M606" s="32"/>
      <c r="N606" s="32"/>
      <c r="O606" s="32"/>
      <c r="P606" s="32"/>
      <c r="Q606" s="32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4.25" customHeight="1" x14ac:dyDescent="0.2">
      <c r="A607" s="1"/>
      <c r="B607" s="33"/>
      <c r="C607" s="40"/>
      <c r="D607" s="34"/>
      <c r="E607" s="35"/>
      <c r="F607" s="36"/>
      <c r="H607" s="36"/>
      <c r="I607" s="36"/>
      <c r="J607" s="36"/>
      <c r="K607" s="36"/>
      <c r="L607" s="41"/>
      <c r="M607" s="32"/>
      <c r="N607" s="32"/>
      <c r="O607" s="32"/>
      <c r="P607" s="32"/>
      <c r="Q607" s="32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4.25" customHeight="1" x14ac:dyDescent="0.2">
      <c r="A608" s="1"/>
      <c r="B608" s="33"/>
      <c r="C608" s="40"/>
      <c r="D608" s="34"/>
      <c r="E608" s="35"/>
      <c r="F608" s="36"/>
      <c r="H608" s="36"/>
      <c r="I608" s="36"/>
      <c r="J608" s="36"/>
      <c r="K608" s="36"/>
      <c r="L608" s="41"/>
      <c r="M608" s="32"/>
      <c r="N608" s="32"/>
      <c r="O608" s="32"/>
      <c r="P608" s="32"/>
      <c r="Q608" s="42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4.25" customHeight="1" x14ac:dyDescent="0.2">
      <c r="A609" s="1"/>
      <c r="B609" s="33"/>
      <c r="C609" s="40"/>
      <c r="D609" s="34"/>
      <c r="E609" s="35"/>
      <c r="F609" s="36"/>
      <c r="H609" s="36"/>
      <c r="I609" s="36"/>
      <c r="J609" s="36"/>
      <c r="K609" s="36"/>
      <c r="L609" s="41"/>
      <c r="M609" s="32"/>
      <c r="N609" s="32"/>
      <c r="O609" s="32"/>
      <c r="P609" s="32"/>
      <c r="Q609" s="42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4.25" customHeight="1" x14ac:dyDescent="0.2">
      <c r="A610" s="1"/>
      <c r="B610" s="33"/>
      <c r="C610" s="40"/>
      <c r="D610" s="34"/>
      <c r="E610" s="35"/>
      <c r="F610" s="36"/>
      <c r="H610" s="36"/>
      <c r="I610" s="36"/>
      <c r="J610" s="36"/>
      <c r="K610" s="36"/>
      <c r="L610" s="41"/>
      <c r="M610" s="32"/>
      <c r="N610" s="32"/>
      <c r="O610" s="32"/>
      <c r="P610" s="32"/>
      <c r="Q610" s="42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4.25" customHeight="1" x14ac:dyDescent="0.2">
      <c r="A611" s="1"/>
      <c r="B611" s="33"/>
      <c r="C611" s="40"/>
      <c r="D611" s="34"/>
      <c r="E611" s="35"/>
      <c r="F611" s="36"/>
      <c r="H611" s="36"/>
      <c r="I611" s="36"/>
      <c r="J611" s="36"/>
      <c r="K611" s="36"/>
      <c r="L611" s="41"/>
      <c r="M611" s="32"/>
      <c r="N611" s="32"/>
      <c r="O611" s="32"/>
      <c r="P611" s="32"/>
      <c r="Q611" s="42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4.25" customHeight="1" x14ac:dyDescent="0.2">
      <c r="A612" s="1"/>
      <c r="B612" s="33"/>
      <c r="C612" s="40"/>
      <c r="D612" s="34"/>
      <c r="E612" s="35"/>
      <c r="F612" s="36"/>
      <c r="H612" s="36"/>
      <c r="I612" s="36"/>
      <c r="J612" s="36"/>
      <c r="K612" s="36"/>
      <c r="L612" s="41"/>
      <c r="M612" s="42"/>
      <c r="N612" s="42"/>
      <c r="O612" s="42"/>
      <c r="P612" s="42"/>
      <c r="Q612" s="42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4.25" customHeight="1" x14ac:dyDescent="0.2">
      <c r="A613" s="1"/>
      <c r="B613" s="33"/>
      <c r="C613" s="40"/>
      <c r="D613" s="34"/>
      <c r="E613" s="35"/>
      <c r="F613" s="36"/>
      <c r="H613" s="36"/>
      <c r="I613" s="36"/>
      <c r="J613" s="36"/>
      <c r="K613" s="36"/>
      <c r="L613" s="41"/>
      <c r="M613" s="42"/>
      <c r="N613" s="42"/>
      <c r="O613" s="42"/>
      <c r="P613" s="42"/>
      <c r="Q613" s="42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4.25" customHeight="1" x14ac:dyDescent="0.2">
      <c r="A614" s="1"/>
      <c r="B614" s="33"/>
      <c r="C614" s="40"/>
      <c r="D614" s="34"/>
      <c r="E614" s="35"/>
      <c r="F614" s="36"/>
      <c r="H614" s="36"/>
      <c r="I614" s="36"/>
      <c r="J614" s="36"/>
      <c r="K614" s="36"/>
      <c r="L614" s="41"/>
      <c r="M614" s="42"/>
      <c r="N614" s="42"/>
      <c r="O614" s="42"/>
      <c r="P614" s="42"/>
      <c r="Q614" s="42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4.25" customHeight="1" x14ac:dyDescent="0.2">
      <c r="A615" s="1"/>
      <c r="B615" s="33"/>
      <c r="C615" s="40"/>
      <c r="D615" s="34"/>
      <c r="E615" s="35"/>
      <c r="F615" s="36"/>
      <c r="H615" s="36"/>
      <c r="I615" s="36"/>
      <c r="J615" s="36"/>
      <c r="K615" s="36"/>
      <c r="L615" s="41"/>
      <c r="M615" s="42"/>
      <c r="N615" s="42"/>
      <c r="O615" s="42"/>
      <c r="P615" s="42"/>
      <c r="Q615" s="42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4.25" customHeight="1" x14ac:dyDescent="0.2">
      <c r="A616" s="1"/>
      <c r="B616" s="33"/>
      <c r="C616" s="40"/>
      <c r="D616" s="34"/>
      <c r="E616" s="35"/>
      <c r="F616" s="36"/>
      <c r="H616" s="36"/>
      <c r="I616" s="36"/>
      <c r="J616" s="36"/>
      <c r="K616" s="36"/>
      <c r="L616" s="41"/>
      <c r="M616" s="42"/>
      <c r="N616" s="42"/>
      <c r="O616" s="42"/>
      <c r="P616" s="42"/>
      <c r="Q616" s="42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4.25" customHeight="1" x14ac:dyDescent="0.2">
      <c r="A617" s="1"/>
      <c r="B617" s="33"/>
      <c r="C617" s="40"/>
      <c r="D617" s="34"/>
      <c r="E617" s="35"/>
      <c r="F617" s="36"/>
      <c r="H617" s="36"/>
      <c r="I617" s="36"/>
      <c r="J617" s="36"/>
      <c r="K617" s="36"/>
      <c r="L617" s="41"/>
      <c r="M617" s="42"/>
      <c r="N617" s="42"/>
      <c r="O617" s="42"/>
      <c r="P617" s="42"/>
      <c r="Q617" s="42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4.25" customHeight="1" x14ac:dyDescent="0.2">
      <c r="A618" s="1"/>
      <c r="B618" s="33"/>
      <c r="C618" s="40"/>
      <c r="D618" s="34"/>
      <c r="E618" s="35"/>
      <c r="F618" s="36"/>
      <c r="H618" s="36"/>
      <c r="I618" s="36"/>
      <c r="J618" s="36"/>
      <c r="K618" s="36"/>
      <c r="L618" s="41"/>
      <c r="M618" s="42"/>
      <c r="N618" s="42"/>
      <c r="O618" s="42"/>
      <c r="P618" s="42"/>
      <c r="Q618" s="42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4.25" customHeight="1" x14ac:dyDescent="0.2">
      <c r="A619" s="1"/>
      <c r="B619" s="33"/>
      <c r="C619" s="40"/>
      <c r="D619" s="34"/>
      <c r="E619" s="35"/>
      <c r="F619" s="36"/>
      <c r="H619" s="36"/>
      <c r="I619" s="36"/>
      <c r="J619" s="36"/>
      <c r="K619" s="36"/>
      <c r="L619" s="41"/>
      <c r="M619" s="42"/>
      <c r="N619" s="42"/>
      <c r="O619" s="42"/>
      <c r="P619" s="42"/>
      <c r="Q619" s="42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4.25" customHeight="1" x14ac:dyDescent="0.2">
      <c r="A620" s="1"/>
      <c r="B620" s="33"/>
      <c r="C620" s="40"/>
      <c r="D620" s="34"/>
      <c r="E620" s="35"/>
      <c r="F620" s="36"/>
      <c r="H620" s="36"/>
      <c r="I620" s="36"/>
      <c r="J620" s="36"/>
      <c r="K620" s="36"/>
      <c r="L620" s="41"/>
      <c r="M620" s="42"/>
      <c r="N620" s="42"/>
      <c r="O620" s="42"/>
      <c r="P620" s="42"/>
      <c r="Q620" s="42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4.25" customHeight="1" x14ac:dyDescent="0.2">
      <c r="A621" s="1"/>
      <c r="B621" s="33"/>
      <c r="C621" s="40"/>
      <c r="D621" s="34"/>
      <c r="E621" s="35"/>
      <c r="F621" s="36"/>
      <c r="H621" s="36"/>
      <c r="I621" s="36"/>
      <c r="J621" s="36"/>
      <c r="K621" s="36"/>
      <c r="L621" s="41"/>
      <c r="M621" s="42"/>
      <c r="N621" s="42"/>
      <c r="O621" s="42"/>
      <c r="P621" s="42"/>
      <c r="Q621" s="42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4.25" customHeight="1" x14ac:dyDescent="0.2">
      <c r="A622" s="1"/>
      <c r="B622" s="33"/>
      <c r="C622" s="40"/>
      <c r="D622" s="34"/>
      <c r="E622" s="35"/>
      <c r="F622" s="36"/>
      <c r="H622" s="36"/>
      <c r="I622" s="36"/>
      <c r="J622" s="36"/>
      <c r="K622" s="36"/>
      <c r="L622" s="41"/>
      <c r="M622" s="42"/>
      <c r="N622" s="42"/>
      <c r="O622" s="42"/>
      <c r="P622" s="42"/>
      <c r="Q622" s="42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4.25" customHeight="1" x14ac:dyDescent="0.2">
      <c r="A623" s="1"/>
      <c r="B623" s="33"/>
      <c r="C623" s="40"/>
      <c r="D623" s="34"/>
      <c r="E623" s="35"/>
      <c r="F623" s="36"/>
      <c r="H623" s="36"/>
      <c r="I623" s="36"/>
      <c r="J623" s="36"/>
      <c r="K623" s="36"/>
      <c r="L623" s="41"/>
      <c r="M623" s="42"/>
      <c r="N623" s="42"/>
      <c r="O623" s="42"/>
      <c r="P623" s="42"/>
      <c r="Q623" s="42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4.25" customHeight="1" x14ac:dyDescent="0.2">
      <c r="A624" s="1"/>
      <c r="B624" s="33"/>
      <c r="C624" s="40"/>
      <c r="D624" s="34"/>
      <c r="E624" s="35"/>
      <c r="F624" s="36"/>
      <c r="H624" s="36"/>
      <c r="I624" s="36"/>
      <c r="J624" s="36"/>
      <c r="K624" s="36"/>
      <c r="L624" s="41"/>
      <c r="M624" s="42"/>
      <c r="N624" s="42"/>
      <c r="O624" s="42"/>
      <c r="P624" s="42"/>
      <c r="Q624" s="42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4.25" customHeight="1" x14ac:dyDescent="0.2">
      <c r="A625" s="1"/>
      <c r="B625" s="33"/>
      <c r="C625" s="40"/>
      <c r="D625" s="34"/>
      <c r="E625" s="35"/>
      <c r="F625" s="36"/>
      <c r="H625" s="36"/>
      <c r="I625" s="36"/>
      <c r="J625" s="36"/>
      <c r="K625" s="36"/>
      <c r="L625" s="41"/>
      <c r="M625" s="42"/>
      <c r="N625" s="42"/>
      <c r="O625" s="42"/>
      <c r="P625" s="42"/>
      <c r="Q625" s="42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4.25" customHeight="1" x14ac:dyDescent="0.2">
      <c r="A626" s="1"/>
      <c r="B626" s="33"/>
      <c r="C626" s="40"/>
      <c r="D626" s="34"/>
      <c r="E626" s="35"/>
      <c r="F626" s="36"/>
      <c r="H626" s="36"/>
      <c r="I626" s="36"/>
      <c r="J626" s="36"/>
      <c r="K626" s="36"/>
      <c r="L626" s="41"/>
      <c r="M626" s="42"/>
      <c r="N626" s="42"/>
      <c r="O626" s="42"/>
      <c r="P626" s="42"/>
      <c r="Q626" s="42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4.25" customHeight="1" x14ac:dyDescent="0.2">
      <c r="A627" s="1"/>
      <c r="B627" s="33"/>
      <c r="C627" s="40"/>
      <c r="D627" s="34"/>
      <c r="E627" s="35"/>
      <c r="F627" s="36"/>
      <c r="H627" s="36"/>
      <c r="I627" s="36"/>
      <c r="J627" s="36"/>
      <c r="K627" s="36"/>
      <c r="L627" s="41"/>
      <c r="M627" s="42"/>
      <c r="N627" s="42"/>
      <c r="O627" s="42"/>
      <c r="P627" s="42"/>
      <c r="Q627" s="42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4.25" customHeight="1" x14ac:dyDescent="0.2">
      <c r="A628" s="1"/>
      <c r="B628" s="33"/>
      <c r="C628" s="40"/>
      <c r="D628" s="34"/>
      <c r="E628" s="35"/>
      <c r="F628" s="36"/>
      <c r="H628" s="36"/>
      <c r="I628" s="36"/>
      <c r="J628" s="36"/>
      <c r="K628" s="36"/>
      <c r="L628" s="41"/>
      <c r="M628" s="42"/>
      <c r="N628" s="42"/>
      <c r="O628" s="42"/>
      <c r="P628" s="42"/>
      <c r="Q628" s="42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4.25" customHeight="1" x14ac:dyDescent="0.2">
      <c r="A629" s="1"/>
      <c r="B629" s="33"/>
      <c r="C629" s="40"/>
      <c r="D629" s="34"/>
      <c r="E629" s="35"/>
      <c r="F629" s="36"/>
      <c r="H629" s="36"/>
      <c r="I629" s="36"/>
      <c r="J629" s="36"/>
      <c r="K629" s="36"/>
      <c r="L629" s="41"/>
      <c r="M629" s="42"/>
      <c r="N629" s="42"/>
      <c r="O629" s="42"/>
      <c r="P629" s="42"/>
      <c r="Q629" s="42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4.25" customHeight="1" x14ac:dyDescent="0.2">
      <c r="A630" s="1"/>
      <c r="B630" s="33"/>
      <c r="C630" s="40"/>
      <c r="D630" s="34"/>
      <c r="E630" s="35"/>
      <c r="F630" s="36"/>
      <c r="H630" s="36"/>
      <c r="I630" s="36"/>
      <c r="J630" s="36"/>
      <c r="K630" s="36"/>
      <c r="L630" s="41"/>
      <c r="M630" s="42"/>
      <c r="N630" s="42"/>
      <c r="O630" s="42"/>
      <c r="P630" s="42"/>
      <c r="Q630" s="42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4.25" customHeight="1" x14ac:dyDescent="0.2">
      <c r="A631" s="1"/>
      <c r="B631" s="33"/>
      <c r="C631" s="40"/>
      <c r="D631" s="34"/>
      <c r="E631" s="35"/>
      <c r="F631" s="36"/>
      <c r="H631" s="36"/>
      <c r="I631" s="36"/>
      <c r="J631" s="36"/>
      <c r="K631" s="36"/>
      <c r="L631" s="41"/>
      <c r="M631" s="42"/>
      <c r="N631" s="42"/>
      <c r="O631" s="42"/>
      <c r="P631" s="42"/>
      <c r="Q631" s="42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4.25" customHeight="1" x14ac:dyDescent="0.2">
      <c r="A632" s="1"/>
      <c r="B632" s="33"/>
      <c r="C632" s="40"/>
      <c r="D632" s="34"/>
      <c r="E632" s="35"/>
      <c r="F632" s="36"/>
      <c r="H632" s="36"/>
      <c r="I632" s="36"/>
      <c r="J632" s="36"/>
      <c r="K632" s="36"/>
      <c r="L632" s="41"/>
      <c r="M632" s="42"/>
      <c r="N632" s="42"/>
      <c r="O632" s="42"/>
      <c r="P632" s="42"/>
      <c r="Q632" s="42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4.25" customHeight="1" x14ac:dyDescent="0.2">
      <c r="A633" s="1"/>
      <c r="B633" s="33"/>
      <c r="C633" s="40"/>
      <c r="D633" s="34"/>
      <c r="E633" s="35"/>
      <c r="F633" s="36"/>
      <c r="H633" s="36"/>
      <c r="I633" s="36"/>
      <c r="J633" s="36"/>
      <c r="K633" s="36"/>
      <c r="L633" s="41"/>
      <c r="M633" s="42"/>
      <c r="N633" s="42"/>
      <c r="O633" s="42"/>
      <c r="P633" s="42"/>
      <c r="Q633" s="42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4.25" customHeight="1" x14ac:dyDescent="0.2">
      <c r="A634" s="1"/>
      <c r="B634" s="33"/>
      <c r="C634" s="40"/>
      <c r="D634" s="34"/>
      <c r="E634" s="35"/>
      <c r="F634" s="36"/>
      <c r="H634" s="36"/>
      <c r="I634" s="36"/>
      <c r="J634" s="36"/>
      <c r="K634" s="36"/>
      <c r="L634" s="41"/>
      <c r="M634" s="42"/>
      <c r="N634" s="42"/>
      <c r="O634" s="42"/>
      <c r="P634" s="42"/>
      <c r="Q634" s="42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4.25" customHeight="1" x14ac:dyDescent="0.2">
      <c r="A635" s="1"/>
      <c r="B635" s="33"/>
      <c r="C635" s="40"/>
      <c r="D635" s="34"/>
      <c r="E635" s="35"/>
      <c r="F635" s="36"/>
      <c r="H635" s="36"/>
      <c r="I635" s="36"/>
      <c r="J635" s="36"/>
      <c r="K635" s="36"/>
      <c r="L635" s="41"/>
      <c r="M635" s="42"/>
      <c r="N635" s="42"/>
      <c r="O635" s="42"/>
      <c r="P635" s="42"/>
      <c r="Q635" s="42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4.25" customHeight="1" x14ac:dyDescent="0.2">
      <c r="A636" s="1"/>
      <c r="B636" s="33"/>
      <c r="C636" s="40"/>
      <c r="D636" s="34"/>
      <c r="E636" s="35"/>
      <c r="F636" s="36"/>
      <c r="H636" s="36"/>
      <c r="I636" s="36"/>
      <c r="J636" s="36"/>
      <c r="K636" s="36"/>
      <c r="L636" s="41"/>
      <c r="M636" s="42"/>
      <c r="N636" s="42"/>
      <c r="O636" s="42"/>
      <c r="P636" s="42"/>
      <c r="Q636" s="42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4.25" customHeight="1" x14ac:dyDescent="0.2">
      <c r="A637" s="1"/>
      <c r="B637" s="33"/>
      <c r="C637" s="40"/>
      <c r="D637" s="34"/>
      <c r="E637" s="35"/>
      <c r="F637" s="36"/>
      <c r="H637" s="36"/>
      <c r="I637" s="36"/>
      <c r="J637" s="36"/>
      <c r="K637" s="36"/>
      <c r="L637" s="41"/>
      <c r="M637" s="42"/>
      <c r="N637" s="42"/>
      <c r="O637" s="42"/>
      <c r="P637" s="42"/>
      <c r="Q637" s="42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4.25" customHeight="1" x14ac:dyDescent="0.2">
      <c r="A638" s="1"/>
      <c r="B638" s="33"/>
      <c r="C638" s="40"/>
      <c r="D638" s="34"/>
      <c r="E638" s="35"/>
      <c r="F638" s="36"/>
      <c r="H638" s="36"/>
      <c r="I638" s="36"/>
      <c r="J638" s="36"/>
      <c r="K638" s="36"/>
      <c r="L638" s="41"/>
      <c r="M638" s="42"/>
      <c r="N638" s="42"/>
      <c r="O638" s="42"/>
      <c r="P638" s="42"/>
      <c r="Q638" s="42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4.25" customHeight="1" x14ac:dyDescent="0.2">
      <c r="A639" s="1"/>
      <c r="B639" s="33"/>
      <c r="C639" s="40"/>
      <c r="D639" s="34"/>
      <c r="E639" s="35"/>
      <c r="F639" s="36"/>
      <c r="H639" s="36"/>
      <c r="I639" s="36"/>
      <c r="J639" s="36"/>
      <c r="K639" s="36"/>
      <c r="L639" s="41"/>
      <c r="M639" s="42"/>
      <c r="N639" s="42"/>
      <c r="O639" s="42"/>
      <c r="P639" s="42"/>
      <c r="Q639" s="42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4.25" customHeight="1" x14ac:dyDescent="0.2">
      <c r="A640" s="1"/>
      <c r="B640" s="33"/>
      <c r="C640" s="40"/>
      <c r="D640" s="34"/>
      <c r="E640" s="35"/>
      <c r="F640" s="36"/>
      <c r="H640" s="36"/>
      <c r="I640" s="36"/>
      <c r="J640" s="36"/>
      <c r="K640" s="36"/>
      <c r="L640" s="41"/>
      <c r="M640" s="42"/>
      <c r="N640" s="42"/>
      <c r="O640" s="42"/>
      <c r="P640" s="42"/>
      <c r="Q640" s="42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4.25" customHeight="1" x14ac:dyDescent="0.2">
      <c r="A641" s="1"/>
      <c r="B641" s="33"/>
      <c r="C641" s="40"/>
      <c r="D641" s="34"/>
      <c r="E641" s="35"/>
      <c r="F641" s="36"/>
      <c r="H641" s="36"/>
      <c r="I641" s="36"/>
      <c r="J641" s="36"/>
      <c r="K641" s="36"/>
      <c r="L641" s="41"/>
      <c r="M641" s="42"/>
      <c r="N641" s="42"/>
      <c r="O641" s="42"/>
      <c r="P641" s="42"/>
      <c r="Q641" s="42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4.25" customHeight="1" x14ac:dyDescent="0.2">
      <c r="A642" s="1"/>
      <c r="B642" s="43"/>
      <c r="C642" s="44"/>
      <c r="D642" s="45"/>
      <c r="E642" s="46"/>
      <c r="F642" s="47"/>
      <c r="H642" s="47"/>
      <c r="I642" s="48"/>
      <c r="J642" s="48"/>
      <c r="K642" s="47"/>
      <c r="L642" s="49"/>
      <c r="M642" s="42"/>
      <c r="N642" s="42"/>
      <c r="O642" s="42"/>
      <c r="P642" s="42"/>
      <c r="Q642" s="42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4.25" customHeight="1" x14ac:dyDescent="0.2">
      <c r="A643" s="1"/>
      <c r="B643" s="43"/>
      <c r="C643" s="44"/>
      <c r="D643" s="45"/>
      <c r="E643" s="46"/>
      <c r="F643" s="47"/>
      <c r="H643" s="47"/>
      <c r="I643" s="48"/>
      <c r="J643" s="48"/>
      <c r="K643" s="47"/>
      <c r="L643" s="49"/>
      <c r="M643" s="42"/>
      <c r="N643" s="42"/>
      <c r="O643" s="42"/>
      <c r="P643" s="42"/>
      <c r="Q643" s="42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4.25" customHeight="1" x14ac:dyDescent="0.2">
      <c r="A644" s="1"/>
      <c r="B644" s="43"/>
      <c r="C644" s="44"/>
      <c r="D644" s="45"/>
      <c r="E644" s="46"/>
      <c r="F644" s="47"/>
      <c r="H644" s="47"/>
      <c r="I644" s="48"/>
      <c r="J644" s="48"/>
      <c r="K644" s="47"/>
      <c r="L644" s="49"/>
      <c r="M644" s="42"/>
      <c r="N644" s="42"/>
      <c r="O644" s="42"/>
      <c r="P644" s="42"/>
      <c r="Q644" s="42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4.25" customHeight="1" x14ac:dyDescent="0.2">
      <c r="A645" s="1"/>
      <c r="B645" s="43"/>
      <c r="C645" s="44"/>
      <c r="D645" s="45"/>
      <c r="E645" s="46"/>
      <c r="F645" s="47"/>
      <c r="H645" s="47"/>
      <c r="I645" s="48"/>
      <c r="J645" s="48"/>
      <c r="K645" s="47"/>
      <c r="L645" s="49"/>
      <c r="M645" s="42"/>
      <c r="N645" s="42"/>
      <c r="O645" s="42"/>
      <c r="P645" s="42"/>
      <c r="Q645" s="42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4.25" customHeight="1" x14ac:dyDescent="0.2">
      <c r="A646" s="1"/>
      <c r="B646" s="43"/>
      <c r="C646" s="44"/>
      <c r="D646" s="45"/>
      <c r="E646" s="46"/>
      <c r="F646" s="47"/>
      <c r="H646" s="47"/>
      <c r="I646" s="48"/>
      <c r="J646" s="48"/>
      <c r="K646" s="47"/>
      <c r="L646" s="49"/>
      <c r="M646" s="42"/>
      <c r="N646" s="42"/>
      <c r="O646" s="42"/>
      <c r="P646" s="42"/>
      <c r="Q646" s="42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4.25" customHeight="1" x14ac:dyDescent="0.2">
      <c r="A647" s="1"/>
      <c r="B647" s="43"/>
      <c r="C647" s="44"/>
      <c r="D647" s="45"/>
      <c r="E647" s="46"/>
      <c r="F647" s="47"/>
      <c r="H647" s="47"/>
      <c r="I647" s="48"/>
      <c r="J647" s="48"/>
      <c r="K647" s="47"/>
      <c r="L647" s="49"/>
      <c r="M647" s="42"/>
      <c r="N647" s="42"/>
      <c r="O647" s="42"/>
      <c r="P647" s="42"/>
      <c r="Q647" s="42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4.25" customHeight="1" x14ac:dyDescent="0.2">
      <c r="A648" s="1"/>
      <c r="B648" s="43"/>
      <c r="C648" s="44"/>
      <c r="D648" s="45"/>
      <c r="E648" s="46"/>
      <c r="F648" s="47"/>
      <c r="H648" s="47"/>
      <c r="I648" s="48"/>
      <c r="J648" s="48"/>
      <c r="K648" s="47"/>
      <c r="L648" s="49"/>
      <c r="M648" s="42"/>
      <c r="N648" s="42"/>
      <c r="O648" s="42"/>
      <c r="P648" s="42"/>
      <c r="Q648" s="42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4.25" customHeight="1" x14ac:dyDescent="0.2">
      <c r="A649" s="1"/>
      <c r="B649" s="43"/>
      <c r="C649" s="44"/>
      <c r="D649" s="45"/>
      <c r="E649" s="46"/>
      <c r="F649" s="47"/>
      <c r="H649" s="47"/>
      <c r="I649" s="48"/>
      <c r="J649" s="48"/>
      <c r="K649" s="47"/>
      <c r="L649" s="49"/>
      <c r="M649" s="42"/>
      <c r="N649" s="42"/>
      <c r="O649" s="42"/>
      <c r="P649" s="42"/>
      <c r="Q649" s="42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4.25" customHeight="1" x14ac:dyDescent="0.2">
      <c r="A650" s="1"/>
      <c r="B650" s="43"/>
      <c r="C650" s="44"/>
      <c r="D650" s="45"/>
      <c r="E650" s="46"/>
      <c r="F650" s="47"/>
      <c r="H650" s="47"/>
      <c r="I650" s="48"/>
      <c r="J650" s="48"/>
      <c r="K650" s="47"/>
      <c r="L650" s="49"/>
      <c r="M650" s="42"/>
      <c r="N650" s="42"/>
      <c r="O650" s="42"/>
      <c r="P650" s="42"/>
      <c r="Q650" s="42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4.25" customHeight="1" x14ac:dyDescent="0.2">
      <c r="A651" s="1"/>
      <c r="B651" s="43"/>
      <c r="C651" s="44"/>
      <c r="D651" s="45"/>
      <c r="E651" s="46"/>
      <c r="F651" s="47"/>
      <c r="H651" s="47"/>
      <c r="I651" s="48"/>
      <c r="J651" s="48"/>
      <c r="K651" s="47"/>
      <c r="L651" s="49"/>
      <c r="M651" s="42"/>
      <c r="N651" s="42"/>
      <c r="O651" s="42"/>
      <c r="P651" s="42"/>
      <c r="Q651" s="42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4.25" customHeight="1" x14ac:dyDescent="0.2">
      <c r="A652" s="1"/>
      <c r="B652" s="43"/>
      <c r="C652" s="44"/>
      <c r="D652" s="45"/>
      <c r="E652" s="46"/>
      <c r="F652" s="47"/>
      <c r="H652" s="47"/>
      <c r="I652" s="48"/>
      <c r="J652" s="48"/>
      <c r="K652" s="47"/>
      <c r="L652" s="49"/>
      <c r="M652" s="42"/>
      <c r="N652" s="42"/>
      <c r="O652" s="42"/>
      <c r="P652" s="42"/>
      <c r="Q652" s="42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4.25" customHeight="1" x14ac:dyDescent="0.2">
      <c r="A653" s="1"/>
      <c r="B653" s="43"/>
      <c r="C653" s="44"/>
      <c r="D653" s="45"/>
      <c r="E653" s="46"/>
      <c r="F653" s="47"/>
      <c r="H653" s="47"/>
      <c r="I653" s="48"/>
      <c r="J653" s="48"/>
      <c r="K653" s="47"/>
      <c r="L653" s="49"/>
      <c r="M653" s="42"/>
      <c r="N653" s="42"/>
      <c r="O653" s="42"/>
      <c r="P653" s="42"/>
      <c r="Q653" s="42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4.25" customHeight="1" x14ac:dyDescent="0.2">
      <c r="A654" s="1"/>
      <c r="B654" s="43"/>
      <c r="C654" s="44"/>
      <c r="D654" s="45"/>
      <c r="E654" s="46"/>
      <c r="F654" s="47"/>
      <c r="H654" s="47"/>
      <c r="I654" s="48"/>
      <c r="J654" s="48"/>
      <c r="K654" s="47"/>
      <c r="L654" s="49"/>
      <c r="M654" s="42"/>
      <c r="N654" s="42"/>
      <c r="O654" s="42"/>
      <c r="P654" s="42"/>
      <c r="Q654" s="42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4.25" customHeight="1" x14ac:dyDescent="0.2">
      <c r="A655" s="1"/>
      <c r="B655" s="43"/>
      <c r="C655" s="44"/>
      <c r="D655" s="45"/>
      <c r="E655" s="46"/>
      <c r="F655" s="47"/>
      <c r="H655" s="47"/>
      <c r="I655" s="48"/>
      <c r="J655" s="48"/>
      <c r="K655" s="47"/>
      <c r="L655" s="49"/>
      <c r="M655" s="42"/>
      <c r="N655" s="42"/>
      <c r="O655" s="42"/>
      <c r="P655" s="42"/>
      <c r="Q655" s="42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4.25" customHeight="1" x14ac:dyDescent="0.2">
      <c r="A656" s="1"/>
      <c r="B656" s="43"/>
      <c r="C656" s="44"/>
      <c r="D656" s="45"/>
      <c r="E656" s="46"/>
      <c r="F656" s="47"/>
      <c r="H656" s="47"/>
      <c r="I656" s="48"/>
      <c r="J656" s="48"/>
      <c r="K656" s="47"/>
      <c r="L656" s="49"/>
      <c r="M656" s="42"/>
      <c r="N656" s="42"/>
      <c r="O656" s="42"/>
      <c r="P656" s="42"/>
      <c r="Q656" s="42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4.25" customHeight="1" x14ac:dyDescent="0.2">
      <c r="A657" s="1"/>
      <c r="B657" s="43"/>
      <c r="C657" s="44"/>
      <c r="D657" s="45"/>
      <c r="E657" s="46"/>
      <c r="F657" s="47"/>
      <c r="H657" s="47"/>
      <c r="I657" s="48"/>
      <c r="J657" s="48"/>
      <c r="K657" s="47"/>
      <c r="L657" s="49"/>
      <c r="M657" s="42"/>
      <c r="N657" s="42"/>
      <c r="O657" s="42"/>
      <c r="P657" s="42"/>
      <c r="Q657" s="42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4.25" customHeight="1" x14ac:dyDescent="0.2">
      <c r="A658" s="1"/>
      <c r="B658" s="43"/>
      <c r="C658" s="44"/>
      <c r="D658" s="45"/>
      <c r="E658" s="46"/>
      <c r="F658" s="47"/>
      <c r="H658" s="47"/>
      <c r="I658" s="48"/>
      <c r="J658" s="48"/>
      <c r="K658" s="47"/>
      <c r="L658" s="49"/>
      <c r="M658" s="42"/>
      <c r="N658" s="42"/>
      <c r="O658" s="42"/>
      <c r="P658" s="42"/>
      <c r="Q658" s="42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4.25" customHeight="1" x14ac:dyDescent="0.2">
      <c r="A659" s="1"/>
      <c r="B659" s="43"/>
      <c r="C659" s="44"/>
      <c r="D659" s="45"/>
      <c r="E659" s="46"/>
      <c r="F659" s="47"/>
      <c r="H659" s="47"/>
      <c r="I659" s="48"/>
      <c r="J659" s="48"/>
      <c r="K659" s="47"/>
      <c r="L659" s="49"/>
      <c r="M659" s="42"/>
      <c r="N659" s="42"/>
      <c r="O659" s="42"/>
      <c r="P659" s="42"/>
      <c r="Q659" s="42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4.25" customHeight="1" x14ac:dyDescent="0.2">
      <c r="A660" s="1"/>
      <c r="B660" s="43"/>
      <c r="C660" s="44"/>
      <c r="D660" s="45"/>
      <c r="E660" s="46"/>
      <c r="F660" s="47"/>
      <c r="H660" s="47"/>
      <c r="I660" s="48"/>
      <c r="J660" s="48"/>
      <c r="K660" s="47"/>
      <c r="L660" s="49"/>
      <c r="M660" s="42"/>
      <c r="N660" s="42"/>
      <c r="O660" s="42"/>
      <c r="P660" s="42"/>
      <c r="Q660" s="42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4.25" customHeight="1" x14ac:dyDescent="0.2">
      <c r="A661" s="1"/>
      <c r="B661" s="43"/>
      <c r="C661" s="44"/>
      <c r="D661" s="45"/>
      <c r="E661" s="46"/>
      <c r="F661" s="47"/>
      <c r="H661" s="47"/>
      <c r="I661" s="48"/>
      <c r="J661" s="48"/>
      <c r="K661" s="47"/>
      <c r="L661" s="49"/>
      <c r="M661" s="42"/>
      <c r="N661" s="42"/>
      <c r="O661" s="42"/>
      <c r="P661" s="42"/>
      <c r="Q661" s="42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4.25" customHeight="1" x14ac:dyDescent="0.2">
      <c r="A662" s="1"/>
      <c r="B662" s="43"/>
      <c r="C662" s="44"/>
      <c r="D662" s="45"/>
      <c r="E662" s="46"/>
      <c r="F662" s="47"/>
      <c r="H662" s="47"/>
      <c r="I662" s="48"/>
      <c r="J662" s="48"/>
      <c r="K662" s="47"/>
      <c r="L662" s="49"/>
      <c r="M662" s="42"/>
      <c r="N662" s="42"/>
      <c r="O662" s="42"/>
      <c r="P662" s="42"/>
      <c r="Q662" s="42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4.25" customHeight="1" x14ac:dyDescent="0.2">
      <c r="A663" s="1"/>
      <c r="B663" s="43"/>
      <c r="C663" s="44"/>
      <c r="D663" s="45"/>
      <c r="E663" s="46"/>
      <c r="F663" s="47"/>
      <c r="H663" s="47"/>
      <c r="I663" s="48"/>
      <c r="J663" s="48"/>
      <c r="K663" s="47"/>
      <c r="L663" s="49"/>
      <c r="M663" s="42"/>
      <c r="N663" s="42"/>
      <c r="O663" s="42"/>
      <c r="P663" s="42"/>
      <c r="Q663" s="42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4.25" customHeight="1" x14ac:dyDescent="0.2">
      <c r="A664" s="1"/>
      <c r="B664" s="43"/>
      <c r="C664" s="44"/>
      <c r="D664" s="45"/>
      <c r="E664" s="46"/>
      <c r="F664" s="47"/>
      <c r="H664" s="47"/>
      <c r="I664" s="48"/>
      <c r="J664" s="48"/>
      <c r="K664" s="47"/>
      <c r="L664" s="49"/>
      <c r="M664" s="42"/>
      <c r="N664" s="42"/>
      <c r="O664" s="42"/>
      <c r="P664" s="42"/>
      <c r="Q664" s="42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4.25" customHeight="1" x14ac:dyDescent="0.2">
      <c r="A665" s="1"/>
      <c r="B665" s="43"/>
      <c r="C665" s="44"/>
      <c r="D665" s="45"/>
      <c r="E665" s="46"/>
      <c r="F665" s="47"/>
      <c r="H665" s="47"/>
      <c r="I665" s="48"/>
      <c r="J665" s="48"/>
      <c r="K665" s="47"/>
      <c r="L665" s="49"/>
      <c r="M665" s="42"/>
      <c r="N665" s="42"/>
      <c r="O665" s="42"/>
      <c r="P665" s="42"/>
      <c r="Q665" s="7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4.25" customHeight="1" x14ac:dyDescent="0.2">
      <c r="A666" s="1"/>
      <c r="B666" s="43"/>
      <c r="C666" s="44"/>
      <c r="D666" s="45"/>
      <c r="E666" s="46"/>
      <c r="F666" s="47"/>
      <c r="H666" s="47"/>
      <c r="I666" s="48"/>
      <c r="J666" s="48"/>
      <c r="K666" s="47"/>
      <c r="L666" s="49"/>
      <c r="M666" s="42"/>
      <c r="N666" s="42"/>
      <c r="O666" s="42"/>
      <c r="P666" s="42"/>
      <c r="Q666" s="7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4.25" customHeight="1" x14ac:dyDescent="0.2">
      <c r="A667" s="1"/>
      <c r="B667" s="43"/>
      <c r="C667" s="44"/>
      <c r="D667" s="45"/>
      <c r="E667" s="46"/>
      <c r="F667" s="47"/>
      <c r="H667" s="47"/>
      <c r="I667" s="48"/>
      <c r="J667" s="48"/>
      <c r="K667" s="47"/>
      <c r="L667" s="49"/>
      <c r="M667" s="42"/>
      <c r="N667" s="42"/>
      <c r="O667" s="42"/>
      <c r="P667" s="42"/>
      <c r="Q667" s="7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4.25" customHeight="1" x14ac:dyDescent="0.2">
      <c r="A668" s="1"/>
      <c r="B668" s="43"/>
      <c r="C668" s="44"/>
      <c r="D668" s="45"/>
      <c r="E668" s="46"/>
      <c r="F668" s="47"/>
      <c r="H668" s="47"/>
      <c r="I668" s="48"/>
      <c r="J668" s="48"/>
      <c r="K668" s="47"/>
      <c r="L668" s="49"/>
      <c r="M668" s="42"/>
      <c r="N668" s="42"/>
      <c r="O668" s="42"/>
      <c r="P668" s="42"/>
      <c r="Q668" s="7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4.25" customHeight="1" x14ac:dyDescent="0.2">
      <c r="A669" s="1"/>
      <c r="B669" s="50"/>
      <c r="C669" s="51"/>
      <c r="D669" s="52"/>
      <c r="E669" s="5"/>
      <c r="F669" s="53"/>
      <c r="H669" s="53"/>
      <c r="I669" s="1"/>
      <c r="J669" s="1"/>
      <c r="K669" s="53"/>
      <c r="L669" s="54"/>
      <c r="M669" s="7"/>
      <c r="N669" s="7"/>
      <c r="O669" s="7"/>
      <c r="P669" s="7"/>
      <c r="Q669" s="7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.75" customHeight="1" x14ac:dyDescent="0.2">
      <c r="A670" s="4"/>
      <c r="B670" s="50"/>
      <c r="C670" s="51"/>
      <c r="D670" s="52"/>
      <c r="E670" s="5"/>
      <c r="F670" s="53"/>
      <c r="H670" s="53"/>
      <c r="I670" s="1"/>
      <c r="J670" s="1"/>
      <c r="K670" s="53"/>
      <c r="L670" s="54"/>
      <c r="M670" s="7"/>
      <c r="N670" s="7"/>
      <c r="O670" s="7"/>
      <c r="P670" s="7"/>
      <c r="Q670" s="7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.75" customHeight="1" x14ac:dyDescent="0.2">
      <c r="A671" s="4"/>
      <c r="B671" s="50"/>
      <c r="C671" s="51"/>
      <c r="D671" s="52"/>
      <c r="E671" s="5"/>
      <c r="F671" s="53"/>
      <c r="H671" s="53"/>
      <c r="I671" s="1"/>
      <c r="J671" s="1"/>
      <c r="K671" s="53"/>
      <c r="L671" s="54"/>
      <c r="M671" s="7"/>
      <c r="N671" s="7"/>
      <c r="O671" s="7"/>
      <c r="P671" s="7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.75" customHeight="1" x14ac:dyDescent="0.2">
      <c r="A672" s="4"/>
      <c r="B672" s="50"/>
      <c r="C672" s="51"/>
      <c r="D672" s="52"/>
      <c r="E672" s="5"/>
      <c r="F672" s="53"/>
      <c r="H672" s="53"/>
      <c r="I672" s="1"/>
      <c r="J672" s="1"/>
      <c r="K672" s="53"/>
      <c r="L672" s="54"/>
      <c r="M672" s="7"/>
      <c r="N672" s="7"/>
      <c r="O672" s="7"/>
      <c r="P672" s="7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.75" customHeight="1" x14ac:dyDescent="0.2">
      <c r="A673" s="4"/>
      <c r="B673" s="50"/>
      <c r="C673" s="51"/>
      <c r="D673" s="52"/>
      <c r="E673" s="5"/>
      <c r="F673" s="53"/>
      <c r="H673" s="53"/>
      <c r="I673" s="1"/>
      <c r="J673" s="1"/>
      <c r="K673" s="53"/>
      <c r="L673" s="54"/>
      <c r="M673" s="7"/>
      <c r="N673" s="7"/>
      <c r="O673" s="7"/>
      <c r="P673" s="7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.75" customHeight="1" x14ac:dyDescent="0.2">
      <c r="A674" s="4"/>
      <c r="B674" s="50"/>
      <c r="C674" s="51"/>
      <c r="D674" s="52"/>
      <c r="E674" s="5"/>
      <c r="F674" s="53"/>
      <c r="H674" s="53"/>
      <c r="I674" s="1"/>
      <c r="J674" s="1"/>
      <c r="K674" s="53"/>
      <c r="L674" s="54"/>
      <c r="M674" s="7"/>
      <c r="N674" s="7"/>
      <c r="O674" s="7"/>
      <c r="P674" s="7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.75" customHeight="1" x14ac:dyDescent="0.2">
      <c r="A675" s="4"/>
      <c r="B675" s="55"/>
      <c r="C675" s="4"/>
      <c r="D675" s="55"/>
      <c r="E675" s="55"/>
      <c r="F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.75" customHeight="1" x14ac:dyDescent="0.2">
      <c r="A676" s="4"/>
      <c r="B676" s="55"/>
      <c r="C676" s="4"/>
      <c r="D676" s="55"/>
      <c r="E676" s="55"/>
      <c r="F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.75" customHeight="1" x14ac:dyDescent="0.2">
      <c r="A677" s="4"/>
      <c r="B677" s="55"/>
      <c r="C677" s="4"/>
      <c r="D677" s="55"/>
      <c r="E677" s="55"/>
      <c r="F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.75" customHeight="1" x14ac:dyDescent="0.2">
      <c r="A678" s="4"/>
      <c r="B678" s="55"/>
      <c r="C678" s="4"/>
      <c r="D678" s="55"/>
      <c r="E678" s="55"/>
      <c r="F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.75" customHeight="1" x14ac:dyDescent="0.2">
      <c r="A679" s="4"/>
      <c r="B679" s="55"/>
      <c r="C679" s="4"/>
      <c r="D679" s="55"/>
      <c r="E679" s="55"/>
      <c r="F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.75" customHeight="1" x14ac:dyDescent="0.2">
      <c r="A680" s="4"/>
      <c r="B680" s="55"/>
      <c r="C680" s="4"/>
      <c r="D680" s="55"/>
      <c r="E680" s="55"/>
      <c r="F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.75" customHeight="1" x14ac:dyDescent="0.2">
      <c r="A681" s="4"/>
      <c r="B681" s="55"/>
      <c r="C681" s="4"/>
      <c r="D681" s="55"/>
      <c r="E681" s="55"/>
      <c r="F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.75" customHeight="1" x14ac:dyDescent="0.2">
      <c r="A682" s="4"/>
      <c r="B682" s="55"/>
      <c r="C682" s="4"/>
      <c r="D682" s="55"/>
      <c r="E682" s="55"/>
      <c r="F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.75" customHeight="1" x14ac:dyDescent="0.2">
      <c r="A683" s="4"/>
      <c r="B683" s="55"/>
      <c r="C683" s="4"/>
      <c r="D683" s="55"/>
      <c r="E683" s="55"/>
      <c r="F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.75" customHeight="1" x14ac:dyDescent="0.2">
      <c r="A684" s="4"/>
      <c r="B684" s="55"/>
      <c r="C684" s="4"/>
      <c r="D684" s="55"/>
      <c r="E684" s="55"/>
      <c r="F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.75" customHeight="1" x14ac:dyDescent="0.2">
      <c r="A685" s="4"/>
      <c r="B685" s="55"/>
      <c r="C685" s="4"/>
      <c r="D685" s="55"/>
      <c r="E685" s="55"/>
      <c r="F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.75" customHeight="1" x14ac:dyDescent="0.2">
      <c r="A686" s="4"/>
      <c r="B686" s="55"/>
      <c r="C686" s="4"/>
      <c r="D686" s="55"/>
      <c r="E686" s="55"/>
      <c r="F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.75" customHeight="1" x14ac:dyDescent="0.2">
      <c r="A687" s="4"/>
      <c r="B687" s="55"/>
      <c r="C687" s="4"/>
      <c r="D687" s="55"/>
      <c r="E687" s="55"/>
      <c r="F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.75" customHeight="1" x14ac:dyDescent="0.2">
      <c r="A688" s="4"/>
      <c r="B688" s="55"/>
      <c r="C688" s="4"/>
      <c r="D688" s="55"/>
      <c r="E688" s="55"/>
      <c r="F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.75" customHeight="1" x14ac:dyDescent="0.2">
      <c r="A689" s="4"/>
      <c r="B689" s="55"/>
      <c r="C689" s="4"/>
      <c r="D689" s="55"/>
      <c r="E689" s="55"/>
      <c r="F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.75" customHeight="1" x14ac:dyDescent="0.2">
      <c r="A690" s="4"/>
      <c r="B690" s="55"/>
      <c r="C690" s="4"/>
      <c r="D690" s="55"/>
      <c r="E690" s="55"/>
      <c r="F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.75" customHeight="1" x14ac:dyDescent="0.2">
      <c r="A691" s="4"/>
      <c r="B691" s="55"/>
      <c r="C691" s="4"/>
      <c r="D691" s="55"/>
      <c r="E691" s="55"/>
      <c r="F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.75" customHeight="1" x14ac:dyDescent="0.2">
      <c r="A692" s="4"/>
      <c r="B692" s="55"/>
      <c r="C692" s="4"/>
      <c r="D692" s="55"/>
      <c r="E692" s="55"/>
      <c r="F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.75" customHeight="1" x14ac:dyDescent="0.2">
      <c r="A693" s="4"/>
      <c r="B693" s="55"/>
      <c r="C693" s="4"/>
      <c r="D693" s="55"/>
      <c r="E693" s="55"/>
      <c r="F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.75" customHeight="1" x14ac:dyDescent="0.2">
      <c r="A694" s="4"/>
      <c r="B694" s="55"/>
      <c r="C694" s="4"/>
      <c r="D694" s="55"/>
      <c r="E694" s="55"/>
      <c r="F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.75" customHeight="1" x14ac:dyDescent="0.2">
      <c r="A695" s="4"/>
      <c r="B695" s="55"/>
      <c r="C695" s="4"/>
      <c r="D695" s="55"/>
      <c r="E695" s="55"/>
      <c r="F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.75" customHeight="1" x14ac:dyDescent="0.2">
      <c r="A696" s="4"/>
      <c r="B696" s="55"/>
      <c r="C696" s="4"/>
      <c r="D696" s="55"/>
      <c r="E696" s="55"/>
      <c r="F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.75" customHeight="1" x14ac:dyDescent="0.2">
      <c r="A697" s="4"/>
      <c r="B697" s="55"/>
      <c r="C697" s="4"/>
      <c r="D697" s="55"/>
      <c r="E697" s="55"/>
      <c r="F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.75" customHeight="1" x14ac:dyDescent="0.2">
      <c r="A698" s="4"/>
      <c r="B698" s="55"/>
      <c r="C698" s="4"/>
      <c r="D698" s="55"/>
      <c r="E698" s="55"/>
      <c r="F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.75" customHeight="1" x14ac:dyDescent="0.2">
      <c r="A699" s="4"/>
      <c r="B699" s="55"/>
      <c r="C699" s="4"/>
      <c r="D699" s="55"/>
      <c r="E699" s="55"/>
      <c r="F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.75" customHeight="1" x14ac:dyDescent="0.2">
      <c r="A700" s="4"/>
      <c r="B700" s="55"/>
      <c r="C700" s="4"/>
      <c r="D700" s="55"/>
      <c r="E700" s="55"/>
      <c r="F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.75" customHeight="1" x14ac:dyDescent="0.2">
      <c r="A701" s="4"/>
      <c r="B701" s="55"/>
      <c r="C701" s="4"/>
      <c r="D701" s="55"/>
      <c r="E701" s="55"/>
      <c r="F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.75" customHeight="1" x14ac:dyDescent="0.2">
      <c r="A702" s="4"/>
      <c r="B702" s="55"/>
      <c r="C702" s="4"/>
      <c r="D702" s="55"/>
      <c r="E702" s="55"/>
      <c r="F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.75" customHeight="1" x14ac:dyDescent="0.2">
      <c r="A703" s="4"/>
      <c r="B703" s="55"/>
      <c r="C703" s="4"/>
      <c r="D703" s="55"/>
      <c r="E703" s="55"/>
      <c r="F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.75" customHeight="1" x14ac:dyDescent="0.2">
      <c r="A704" s="4"/>
      <c r="B704" s="55"/>
      <c r="C704" s="4"/>
      <c r="D704" s="55"/>
      <c r="E704" s="55"/>
      <c r="F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.75" customHeight="1" x14ac:dyDescent="0.2">
      <c r="A705" s="4"/>
      <c r="B705" s="55"/>
      <c r="C705" s="4"/>
      <c r="D705" s="55"/>
      <c r="E705" s="55"/>
      <c r="F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.75" customHeight="1" x14ac:dyDescent="0.2">
      <c r="A706" s="4"/>
      <c r="B706" s="55"/>
      <c r="C706" s="4"/>
      <c r="D706" s="55"/>
      <c r="E706" s="55"/>
      <c r="F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.75" customHeight="1" x14ac:dyDescent="0.2">
      <c r="A707" s="4"/>
      <c r="B707" s="55"/>
      <c r="C707" s="4"/>
      <c r="D707" s="55"/>
      <c r="E707" s="55"/>
      <c r="F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.75" customHeight="1" x14ac:dyDescent="0.2">
      <c r="A708" s="4"/>
      <c r="B708" s="55"/>
      <c r="C708" s="4"/>
      <c r="D708" s="55"/>
      <c r="E708" s="55"/>
      <c r="F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.75" customHeight="1" x14ac:dyDescent="0.2">
      <c r="A709" s="4"/>
      <c r="B709" s="55"/>
      <c r="C709" s="4"/>
      <c r="D709" s="55"/>
      <c r="E709" s="55"/>
      <c r="F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.75" customHeight="1" x14ac:dyDescent="0.2">
      <c r="A710" s="4"/>
      <c r="B710" s="55"/>
      <c r="C710" s="4"/>
      <c r="D710" s="55"/>
      <c r="E710" s="55"/>
      <c r="F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.75" customHeight="1" x14ac:dyDescent="0.2">
      <c r="A711" s="4"/>
      <c r="B711" s="55"/>
      <c r="C711" s="4"/>
      <c r="D711" s="55"/>
      <c r="E711" s="55"/>
      <c r="F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.75" customHeight="1" x14ac:dyDescent="0.2">
      <c r="A712" s="4"/>
      <c r="B712" s="55"/>
      <c r="C712" s="4"/>
      <c r="D712" s="55"/>
      <c r="E712" s="55"/>
      <c r="F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.75" customHeight="1" x14ac:dyDescent="0.2">
      <c r="A713" s="4"/>
      <c r="B713" s="55"/>
      <c r="C713" s="4"/>
      <c r="D713" s="55"/>
      <c r="E713" s="55"/>
      <c r="F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.75" customHeight="1" x14ac:dyDescent="0.2">
      <c r="A714" s="4"/>
      <c r="B714" s="55"/>
      <c r="C714" s="4"/>
      <c r="D714" s="55"/>
      <c r="E714" s="55"/>
      <c r="F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.75" customHeight="1" x14ac:dyDescent="0.2">
      <c r="A715" s="4"/>
      <c r="B715" s="55"/>
      <c r="C715" s="4"/>
      <c r="D715" s="55"/>
      <c r="E715" s="55"/>
      <c r="F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.75" customHeight="1" x14ac:dyDescent="0.2">
      <c r="A716" s="4"/>
      <c r="B716" s="55"/>
      <c r="C716" s="4"/>
      <c r="D716" s="55"/>
      <c r="E716" s="55"/>
      <c r="F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.75" customHeight="1" x14ac:dyDescent="0.2">
      <c r="A717" s="4"/>
      <c r="B717" s="55"/>
      <c r="C717" s="4"/>
      <c r="D717" s="55"/>
      <c r="E717" s="55"/>
      <c r="F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.75" customHeight="1" x14ac:dyDescent="0.2">
      <c r="A718" s="4"/>
      <c r="B718" s="55"/>
      <c r="C718" s="4"/>
      <c r="D718" s="55"/>
      <c r="E718" s="55"/>
      <c r="F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.75" customHeight="1" x14ac:dyDescent="0.2">
      <c r="A719" s="4"/>
      <c r="B719" s="55"/>
      <c r="C719" s="4"/>
      <c r="D719" s="55"/>
      <c r="E719" s="55"/>
      <c r="F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.75" customHeight="1" x14ac:dyDescent="0.2">
      <c r="A720" s="4"/>
      <c r="B720" s="55"/>
      <c r="C720" s="4"/>
      <c r="D720" s="55"/>
      <c r="E720" s="55"/>
      <c r="F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.75" customHeight="1" x14ac:dyDescent="0.2">
      <c r="A721" s="4"/>
      <c r="B721" s="55"/>
      <c r="C721" s="4"/>
      <c r="D721" s="55"/>
      <c r="E721" s="55"/>
      <c r="F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.75" customHeight="1" x14ac:dyDescent="0.2">
      <c r="A722" s="4"/>
      <c r="B722" s="55"/>
      <c r="C722" s="4"/>
      <c r="D722" s="55"/>
      <c r="E722" s="55"/>
      <c r="F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.75" customHeight="1" x14ac:dyDescent="0.2">
      <c r="A723" s="4"/>
      <c r="B723" s="55"/>
      <c r="C723" s="4"/>
      <c r="D723" s="55"/>
      <c r="E723" s="55"/>
      <c r="F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.75" customHeight="1" x14ac:dyDescent="0.2">
      <c r="A724" s="4"/>
      <c r="B724" s="55"/>
      <c r="C724" s="4"/>
      <c r="D724" s="55"/>
      <c r="E724" s="55"/>
      <c r="F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.75" customHeight="1" x14ac:dyDescent="0.2">
      <c r="A725" s="4"/>
      <c r="B725" s="55"/>
      <c r="C725" s="4"/>
      <c r="D725" s="55"/>
      <c r="E725" s="55"/>
      <c r="F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.75" customHeight="1" x14ac:dyDescent="0.2">
      <c r="A726" s="4"/>
      <c r="B726" s="55"/>
      <c r="C726" s="4"/>
      <c r="D726" s="55"/>
      <c r="E726" s="55"/>
      <c r="F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.75" customHeight="1" x14ac:dyDescent="0.2">
      <c r="A727" s="4"/>
      <c r="B727" s="55"/>
      <c r="C727" s="4"/>
      <c r="D727" s="55"/>
      <c r="E727" s="55"/>
      <c r="F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.75" customHeight="1" x14ac:dyDescent="0.2">
      <c r="A728" s="4"/>
      <c r="B728" s="55"/>
      <c r="C728" s="4"/>
      <c r="D728" s="55"/>
      <c r="E728" s="55"/>
      <c r="F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.75" customHeight="1" x14ac:dyDescent="0.2">
      <c r="A729" s="4"/>
      <c r="B729" s="55"/>
      <c r="C729" s="4"/>
      <c r="D729" s="55"/>
      <c r="E729" s="55"/>
      <c r="F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.75" customHeight="1" x14ac:dyDescent="0.2">
      <c r="A730" s="4"/>
      <c r="B730" s="55"/>
      <c r="C730" s="4"/>
      <c r="D730" s="55"/>
      <c r="E730" s="55"/>
      <c r="F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.75" customHeight="1" x14ac:dyDescent="0.2">
      <c r="A731" s="4"/>
      <c r="B731" s="55"/>
      <c r="C731" s="4"/>
      <c r="D731" s="55"/>
      <c r="E731" s="55"/>
      <c r="F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.75" customHeight="1" x14ac:dyDescent="0.2">
      <c r="A732" s="4"/>
      <c r="B732" s="55"/>
      <c r="C732" s="4"/>
      <c r="D732" s="55"/>
      <c r="E732" s="55"/>
      <c r="F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.75" customHeight="1" x14ac:dyDescent="0.2">
      <c r="A733" s="4"/>
      <c r="B733" s="55"/>
      <c r="C733" s="4"/>
      <c r="D733" s="55"/>
      <c r="E733" s="55"/>
      <c r="F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.75" customHeight="1" x14ac:dyDescent="0.2">
      <c r="A734" s="4"/>
      <c r="B734" s="55"/>
      <c r="C734" s="4"/>
      <c r="D734" s="55"/>
      <c r="E734" s="55"/>
      <c r="F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.75" customHeight="1" x14ac:dyDescent="0.2">
      <c r="A735" s="4"/>
      <c r="B735" s="55"/>
      <c r="C735" s="4"/>
      <c r="D735" s="55"/>
      <c r="E735" s="55"/>
      <c r="F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.75" customHeight="1" x14ac:dyDescent="0.2">
      <c r="A736" s="4"/>
      <c r="B736" s="55"/>
      <c r="C736" s="4"/>
      <c r="D736" s="55"/>
      <c r="E736" s="55"/>
      <c r="F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.75" customHeight="1" x14ac:dyDescent="0.2">
      <c r="A737" s="4"/>
      <c r="B737" s="55"/>
      <c r="C737" s="4"/>
      <c r="D737" s="55"/>
      <c r="E737" s="55"/>
      <c r="F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.75" customHeight="1" x14ac:dyDescent="0.2">
      <c r="A738" s="4"/>
      <c r="B738" s="55"/>
      <c r="C738" s="4"/>
      <c r="D738" s="55"/>
      <c r="E738" s="55"/>
      <c r="F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.75" customHeight="1" x14ac:dyDescent="0.2">
      <c r="A739" s="4"/>
      <c r="B739" s="55"/>
      <c r="C739" s="4"/>
      <c r="D739" s="55"/>
      <c r="E739" s="55"/>
      <c r="F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.75" customHeight="1" x14ac:dyDescent="0.2">
      <c r="A740" s="4"/>
      <c r="B740" s="55"/>
      <c r="C740" s="4"/>
      <c r="D740" s="55"/>
      <c r="E740" s="55"/>
      <c r="F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.75" customHeight="1" x14ac:dyDescent="0.2">
      <c r="A741" s="4"/>
      <c r="B741" s="55"/>
      <c r="C741" s="4"/>
      <c r="D741" s="55"/>
      <c r="E741" s="55"/>
      <c r="F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.75" customHeight="1" x14ac:dyDescent="0.2">
      <c r="A742" s="4"/>
      <c r="B742" s="55"/>
      <c r="C742" s="4"/>
      <c r="D742" s="55"/>
      <c r="E742" s="55"/>
      <c r="F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.75" customHeight="1" x14ac:dyDescent="0.2">
      <c r="A743" s="4"/>
      <c r="B743" s="55"/>
      <c r="C743" s="4"/>
      <c r="D743" s="55"/>
      <c r="E743" s="55"/>
      <c r="F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.75" customHeight="1" x14ac:dyDescent="0.2">
      <c r="A744" s="4"/>
      <c r="B744" s="55"/>
      <c r="C744" s="4"/>
      <c r="D744" s="55"/>
      <c r="E744" s="55"/>
      <c r="F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.75" customHeight="1" x14ac:dyDescent="0.2">
      <c r="A745" s="4"/>
      <c r="B745" s="55"/>
      <c r="C745" s="4"/>
      <c r="D745" s="55"/>
      <c r="E745" s="55"/>
      <c r="F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.75" customHeight="1" x14ac:dyDescent="0.2">
      <c r="A746" s="4"/>
      <c r="B746" s="55"/>
      <c r="C746" s="4"/>
      <c r="D746" s="55"/>
      <c r="E746" s="55"/>
      <c r="F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.75" customHeight="1" x14ac:dyDescent="0.2">
      <c r="A747" s="4"/>
      <c r="B747" s="55"/>
      <c r="C747" s="4"/>
      <c r="D747" s="55"/>
      <c r="E747" s="55"/>
      <c r="F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.75" customHeight="1" x14ac:dyDescent="0.2">
      <c r="A748" s="4"/>
      <c r="B748" s="55"/>
      <c r="C748" s="4"/>
      <c r="D748" s="55"/>
      <c r="E748" s="55"/>
      <c r="F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.75" customHeight="1" x14ac:dyDescent="0.2">
      <c r="A749" s="4"/>
      <c r="B749" s="55"/>
      <c r="C749" s="4"/>
      <c r="D749" s="55"/>
      <c r="E749" s="55"/>
      <c r="F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.75" customHeight="1" x14ac:dyDescent="0.2">
      <c r="A750" s="4"/>
      <c r="B750" s="55"/>
      <c r="C750" s="4"/>
      <c r="D750" s="55"/>
      <c r="E750" s="55"/>
      <c r="F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.75" customHeight="1" x14ac:dyDescent="0.2">
      <c r="A751" s="4"/>
      <c r="B751" s="55"/>
      <c r="C751" s="4"/>
      <c r="D751" s="55"/>
      <c r="E751" s="55"/>
      <c r="F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.75" customHeight="1" x14ac:dyDescent="0.2">
      <c r="A752" s="4"/>
      <c r="B752" s="55"/>
      <c r="C752" s="4"/>
      <c r="D752" s="55"/>
      <c r="E752" s="55"/>
      <c r="F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.75" customHeight="1" x14ac:dyDescent="0.2">
      <c r="A753" s="4"/>
      <c r="B753" s="55"/>
      <c r="C753" s="4"/>
      <c r="D753" s="55"/>
      <c r="E753" s="55"/>
      <c r="F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.75" customHeight="1" x14ac:dyDescent="0.2">
      <c r="A754" s="4"/>
      <c r="B754" s="55"/>
      <c r="C754" s="4"/>
      <c r="D754" s="55"/>
      <c r="E754" s="55"/>
      <c r="F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.75" customHeight="1" x14ac:dyDescent="0.2">
      <c r="A755" s="4"/>
      <c r="B755" s="55"/>
      <c r="C755" s="4"/>
      <c r="D755" s="55"/>
      <c r="E755" s="55"/>
      <c r="F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.75" customHeight="1" x14ac:dyDescent="0.2">
      <c r="A756" s="4"/>
      <c r="B756" s="55"/>
      <c r="C756" s="4"/>
      <c r="D756" s="55"/>
      <c r="E756" s="55"/>
      <c r="F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.75" customHeight="1" x14ac:dyDescent="0.2">
      <c r="A757" s="4"/>
      <c r="B757" s="55"/>
      <c r="C757" s="4"/>
      <c r="D757" s="55"/>
      <c r="E757" s="55"/>
      <c r="F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.75" customHeight="1" x14ac:dyDescent="0.2">
      <c r="A758" s="4"/>
      <c r="B758" s="55"/>
      <c r="C758" s="4"/>
      <c r="D758" s="55"/>
      <c r="E758" s="55"/>
      <c r="F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.75" customHeight="1" x14ac:dyDescent="0.2">
      <c r="A759" s="4"/>
      <c r="B759" s="55"/>
      <c r="C759" s="4"/>
      <c r="D759" s="55"/>
      <c r="E759" s="55"/>
      <c r="F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.75" customHeight="1" x14ac:dyDescent="0.2">
      <c r="A760" s="4"/>
      <c r="B760" s="55"/>
      <c r="C760" s="4"/>
      <c r="D760" s="55"/>
      <c r="E760" s="55"/>
      <c r="F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.75" customHeight="1" x14ac:dyDescent="0.2">
      <c r="A761" s="4"/>
      <c r="B761" s="55"/>
      <c r="C761" s="4"/>
      <c r="D761" s="55"/>
      <c r="E761" s="55"/>
      <c r="F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.75" customHeight="1" x14ac:dyDescent="0.2">
      <c r="A762" s="4"/>
      <c r="B762" s="55"/>
      <c r="C762" s="4"/>
      <c r="D762" s="55"/>
      <c r="E762" s="55"/>
      <c r="F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.75" customHeight="1" x14ac:dyDescent="0.2">
      <c r="A763" s="4"/>
      <c r="B763" s="55"/>
      <c r="C763" s="4"/>
      <c r="D763" s="55"/>
      <c r="E763" s="55"/>
      <c r="F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.75" customHeight="1" x14ac:dyDescent="0.2">
      <c r="A764" s="4"/>
      <c r="B764" s="55"/>
      <c r="C764" s="4"/>
      <c r="D764" s="55"/>
      <c r="E764" s="55"/>
      <c r="F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.75" customHeight="1" x14ac:dyDescent="0.2">
      <c r="A765" s="4"/>
      <c r="B765" s="55"/>
      <c r="C765" s="4"/>
      <c r="D765" s="55"/>
      <c r="E765" s="55"/>
      <c r="F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.75" customHeight="1" x14ac:dyDescent="0.2">
      <c r="A766" s="4"/>
      <c r="B766" s="55"/>
      <c r="C766" s="4"/>
      <c r="D766" s="55"/>
      <c r="E766" s="55"/>
      <c r="F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.75" customHeight="1" x14ac:dyDescent="0.2">
      <c r="A767" s="4"/>
      <c r="B767" s="55"/>
      <c r="C767" s="4"/>
      <c r="D767" s="55"/>
      <c r="E767" s="55"/>
      <c r="F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.75" customHeight="1" x14ac:dyDescent="0.2">
      <c r="A768" s="4"/>
      <c r="B768" s="55"/>
      <c r="C768" s="4"/>
      <c r="D768" s="55"/>
      <c r="E768" s="55"/>
      <c r="F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.75" customHeight="1" x14ac:dyDescent="0.2">
      <c r="A769" s="4"/>
      <c r="B769" s="55"/>
      <c r="C769" s="4"/>
      <c r="D769" s="55"/>
      <c r="E769" s="55"/>
      <c r="F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.75" customHeight="1" x14ac:dyDescent="0.2">
      <c r="A770" s="4"/>
      <c r="B770" s="55"/>
      <c r="C770" s="4"/>
      <c r="D770" s="55"/>
      <c r="E770" s="55"/>
      <c r="F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.75" customHeight="1" x14ac:dyDescent="0.2">
      <c r="A771" s="4"/>
      <c r="B771" s="55"/>
      <c r="C771" s="4"/>
      <c r="D771" s="55"/>
      <c r="E771" s="55"/>
      <c r="F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.75" customHeight="1" x14ac:dyDescent="0.2">
      <c r="A772" s="4"/>
      <c r="B772" s="55"/>
      <c r="C772" s="4"/>
      <c r="D772" s="55"/>
      <c r="E772" s="55"/>
      <c r="F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.75" customHeight="1" x14ac:dyDescent="0.2">
      <c r="A773" s="4"/>
      <c r="B773" s="55"/>
      <c r="C773" s="4"/>
      <c r="D773" s="55"/>
      <c r="E773" s="55"/>
      <c r="F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.75" customHeight="1" x14ac:dyDescent="0.2"/>
    <row r="775" spans="1:31" ht="15.75" customHeight="1" x14ac:dyDescent="0.2"/>
    <row r="776" spans="1:31" ht="15.75" customHeight="1" x14ac:dyDescent="0.2"/>
    <row r="777" spans="1:31" ht="15.75" customHeight="1" x14ac:dyDescent="0.2"/>
    <row r="778" spans="1:31" ht="15.75" customHeight="1" x14ac:dyDescent="0.2"/>
    <row r="779" spans="1:31" ht="15.75" customHeight="1" x14ac:dyDescent="0.2"/>
    <row r="780" spans="1:31" ht="15.75" customHeight="1" x14ac:dyDescent="0.2"/>
    <row r="781" spans="1:31" ht="15.75" customHeight="1" x14ac:dyDescent="0.2"/>
    <row r="782" spans="1:31" ht="15.75" customHeight="1" x14ac:dyDescent="0.2"/>
    <row r="783" spans="1:31" ht="15.75" customHeight="1" x14ac:dyDescent="0.2"/>
    <row r="784" spans="1:31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N1"/>
    <mergeCell ref="C2:E2"/>
    <mergeCell ref="V3:W3"/>
    <mergeCell ref="V10:W10"/>
  </mergeCells>
  <conditionalFormatting sqref="A1:A1000">
    <cfRule type="colorScale" priority="1">
      <colorScale>
        <cfvo type="min"/>
        <cfvo type="max"/>
        <color rgb="FF57BB8A"/>
        <color rgb="FFFFFFFF"/>
      </colorScale>
    </cfRule>
  </conditionalFormatting>
  <conditionalFormatting sqref="C2">
    <cfRule type="cellIs" dxfId="12" priority="2" operator="greaterThan">
      <formula>0</formula>
    </cfRule>
    <cfRule type="cellIs" dxfId="11" priority="3" operator="lessThan">
      <formula>0</formula>
    </cfRule>
  </conditionalFormatting>
  <conditionalFormatting sqref="G2">
    <cfRule type="expression" dxfId="10" priority="4">
      <formula>"SI(TEXTE(C2;0)=TEXTE(SOMME(RESULTATS!L13:L27)-SOMME(RESULTATS!J13:J27);0);VRAI;FAUX)"</formula>
    </cfRule>
  </conditionalFormatting>
  <conditionalFormatting sqref="V4:W7 L4:P499 V11:W34 Q25:Q607 M29:P611">
    <cfRule type="cellIs" dxfId="9" priority="5" operator="lessThan">
      <formula>0</formula>
    </cfRule>
  </conditionalFormatting>
  <dataValidations count="2">
    <dataValidation type="list" allowBlank="1" showErrorMessage="1" sqref="J582:K641 J500:J581 I4:I499" xr:uid="{00000000-0002-0000-0000-000001000000}">
      <formula1>"Coffre,CompteCourant,CompteEpargne,CompteMyPos"</formula1>
    </dataValidation>
    <dataValidation type="date" allowBlank="1" showErrorMessage="1" sqref="D4:D581" xr:uid="{00000000-0002-0000-0000-000004000000}">
      <formula1>41153</formula1>
      <formula2>73294</formula2>
    </dataValidation>
  </dataValidations>
  <pageMargins left="0.25" right="0.25" top="0.64583333333333304" bottom="0.67708333333333304" header="0" footer="0"/>
  <pageSetup paperSize="9" fitToHeight="0" orientation="landscape"/>
  <headerFooter>
    <oddHeader>&amp;RBelienv édition 2013</oddHeader>
    <oddFooter>&amp;L&amp;F&amp;R&amp;D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DATA!$A$1:$A$32</xm:f>
          </x14:formula1>
          <xm:sqref>B4:B641</xm:sqref>
        </x14:dataValidation>
        <x14:dataValidation type="list" allowBlank="1" showErrorMessage="1" xr:uid="{00000000-0002-0000-0000-000002000000}">
          <x14:formula1>
            <xm:f>DATA!$F$1:$F$20</xm:f>
          </x14:formula1>
          <xm:sqref>K500:K581</xm:sqref>
        </x14:dataValidation>
        <x14:dataValidation type="list" allowBlank="1" showErrorMessage="1" xr:uid="{00000000-0002-0000-0000-000003000000}">
          <x14:formula1>
            <xm:f>DATA!$F$1:$F$32</xm:f>
          </x14:formula1>
          <xm:sqref>J4:J499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/>
  </sheetViews>
  <sheetFormatPr baseColWidth="10" defaultColWidth="14.5" defaultRowHeight="15" customHeight="1" x14ac:dyDescent="0.2"/>
  <cols>
    <col min="1" max="1" width="1.5" customWidth="1"/>
    <col min="2" max="2" width="30.6640625" customWidth="1"/>
    <col min="3" max="3" width="19.33203125" customWidth="1"/>
    <col min="4" max="4" width="10.5" customWidth="1"/>
    <col min="5" max="5" width="19.33203125" customWidth="1"/>
    <col min="6" max="6" width="8.5" customWidth="1"/>
    <col min="7" max="7" width="21.1640625" customWidth="1"/>
    <col min="8" max="8" width="5.5" customWidth="1"/>
    <col min="9" max="9" width="22.6640625" customWidth="1"/>
    <col min="10" max="10" width="17.5" customWidth="1"/>
    <col min="11" max="11" width="13.5" customWidth="1"/>
    <col min="12" max="12" width="17.5" customWidth="1"/>
    <col min="13" max="13" width="11.6640625" customWidth="1"/>
    <col min="14" max="14" width="21.1640625" customWidth="1"/>
    <col min="15" max="15" width="3.5" customWidth="1"/>
    <col min="16" max="16" width="22.6640625" customWidth="1"/>
    <col min="17" max="17" width="20.6640625" customWidth="1"/>
    <col min="18" max="18" width="18.83203125" customWidth="1"/>
    <col min="19" max="19" width="39" customWidth="1"/>
  </cols>
  <sheetData>
    <row r="1" spans="1:26" ht="22" x14ac:dyDescent="0.25">
      <c r="A1" s="56"/>
      <c r="B1" s="369" t="s">
        <v>192</v>
      </c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68"/>
      <c r="T1" s="4"/>
      <c r="U1" s="4"/>
      <c r="V1" s="4"/>
      <c r="W1" s="4"/>
      <c r="X1" s="4"/>
      <c r="Y1" s="4"/>
      <c r="Z1" s="4"/>
    </row>
    <row r="2" spans="1:26" ht="18.75" customHeight="1" x14ac:dyDescent="0.25">
      <c r="A2" s="4"/>
      <c r="B2" s="57" t="s">
        <v>193</v>
      </c>
      <c r="C2" s="58" t="s">
        <v>194</v>
      </c>
      <c r="D2" s="59"/>
      <c r="E2" s="4"/>
      <c r="F2" s="60"/>
      <c r="G2" s="61"/>
      <c r="H2" s="61"/>
      <c r="I2" s="4"/>
      <c r="J2" s="4"/>
      <c r="K2" s="61"/>
      <c r="L2" s="61"/>
      <c r="M2" s="6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 x14ac:dyDescent="0.25">
      <c r="A3" s="4"/>
      <c r="B3" s="62" t="s">
        <v>195</v>
      </c>
      <c r="C3" s="58">
        <v>1</v>
      </c>
      <c r="D3" s="59"/>
      <c r="E3" s="63"/>
      <c r="F3" s="60"/>
      <c r="G3" s="61"/>
      <c r="H3" s="61"/>
      <c r="I3" s="4"/>
      <c r="J3" s="4"/>
      <c r="K3" s="61"/>
      <c r="L3" s="61"/>
      <c r="M3" s="6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 customHeight="1" x14ac:dyDescent="0.25">
      <c r="A4" s="4"/>
      <c r="B4" s="64" t="s">
        <v>196</v>
      </c>
      <c r="C4" s="65">
        <f ca="1">TODAY()</f>
        <v>46097</v>
      </c>
      <c r="D4" s="59"/>
      <c r="E4" s="63"/>
      <c r="F4" s="60"/>
      <c r="G4" s="61"/>
      <c r="H4" s="61"/>
      <c r="I4" s="4"/>
      <c r="J4" s="4"/>
      <c r="K4" s="61"/>
      <c r="L4" s="61"/>
      <c r="M4" s="6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1.75" customHeight="1" x14ac:dyDescent="0.25">
      <c r="A5" s="61"/>
      <c r="B5" s="61"/>
      <c r="C5" s="66"/>
      <c r="D5" s="61"/>
      <c r="E5" s="4"/>
      <c r="F5" s="4"/>
      <c r="H5" s="61"/>
      <c r="I5" s="61"/>
      <c r="J5" s="61"/>
      <c r="K5" s="61"/>
      <c r="L5" s="61"/>
      <c r="M5" s="6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25">
      <c r="A6" s="61"/>
      <c r="B6" s="67"/>
      <c r="C6" s="68" t="s">
        <v>197</v>
      </c>
      <c r="D6" s="69" t="s">
        <v>198</v>
      </c>
      <c r="E6" s="371"/>
      <c r="F6" s="362"/>
      <c r="G6" s="61"/>
      <c r="H6" s="67"/>
      <c r="I6" s="67"/>
      <c r="J6" s="67"/>
      <c r="K6" s="67"/>
      <c r="L6" s="67"/>
      <c r="M6" s="67"/>
      <c r="N6" s="70"/>
      <c r="O6" s="70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">
      <c r="A7" s="71"/>
      <c r="B7" s="72" t="s">
        <v>199</v>
      </c>
      <c r="C7" s="73"/>
      <c r="D7" s="74"/>
      <c r="E7" s="75"/>
      <c r="F7" s="67"/>
      <c r="G7" s="76"/>
      <c r="H7" s="63"/>
      <c r="I7" s="63"/>
      <c r="J7" s="4"/>
      <c r="K7" s="4"/>
      <c r="L7" s="70"/>
      <c r="M7" s="67"/>
      <c r="N7" s="70"/>
      <c r="O7" s="70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">
      <c r="A8" s="71"/>
      <c r="B8" s="77" t="s">
        <v>200</v>
      </c>
      <c r="C8" s="73"/>
      <c r="D8" s="78"/>
      <c r="E8" s="75"/>
      <c r="F8" s="67"/>
      <c r="G8" s="76"/>
      <c r="H8" s="63"/>
      <c r="I8" s="63"/>
      <c r="J8" s="4"/>
      <c r="K8" s="4"/>
      <c r="L8" s="79"/>
      <c r="M8" s="67"/>
      <c r="N8" s="70"/>
      <c r="O8" s="70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">
      <c r="A9" s="4"/>
      <c r="B9" s="80" t="s">
        <v>201</v>
      </c>
      <c r="C9" s="81">
        <v>300</v>
      </c>
      <c r="D9" s="82"/>
      <c r="E9" s="70"/>
      <c r="F9" s="83"/>
      <c r="G9" s="84"/>
      <c r="H9" s="70"/>
      <c r="I9" s="70"/>
      <c r="J9" s="70"/>
      <c r="K9" s="70"/>
      <c r="L9" s="70"/>
      <c r="M9" s="70"/>
      <c r="N9" s="70"/>
      <c r="O9" s="70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">
      <c r="A10" s="4"/>
      <c r="B10" s="70"/>
      <c r="C10" s="85"/>
      <c r="D10" s="70"/>
      <c r="E10" s="70"/>
      <c r="F10" s="83"/>
      <c r="G10" s="84"/>
      <c r="H10" s="70"/>
      <c r="I10" s="70"/>
      <c r="J10" s="70"/>
      <c r="K10" s="70"/>
      <c r="L10" s="70"/>
      <c r="M10" s="70"/>
      <c r="N10" s="70"/>
      <c r="O10" s="70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" x14ac:dyDescent="0.2">
      <c r="A11" s="86"/>
      <c r="B11" s="87" t="s">
        <v>202</v>
      </c>
      <c r="C11" s="372" t="s">
        <v>203</v>
      </c>
      <c r="D11" s="370"/>
      <c r="E11" s="370"/>
      <c r="F11" s="370"/>
      <c r="G11" s="368"/>
      <c r="H11" s="88"/>
      <c r="I11" s="87" t="s">
        <v>202</v>
      </c>
      <c r="J11" s="373" t="s">
        <v>204</v>
      </c>
      <c r="K11" s="370"/>
      <c r="L11" s="370"/>
      <c r="M11" s="370"/>
      <c r="N11" s="368"/>
      <c r="O11" s="8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 x14ac:dyDescent="0.2">
      <c r="A12" s="4"/>
      <c r="B12" s="89"/>
      <c r="C12" s="90" t="s">
        <v>205</v>
      </c>
      <c r="D12" s="91"/>
      <c r="E12" s="92" t="s">
        <v>206</v>
      </c>
      <c r="F12" s="93"/>
      <c r="G12" s="94" t="s">
        <v>207</v>
      </c>
      <c r="H12" s="95"/>
      <c r="I12" s="89"/>
      <c r="J12" s="96" t="s">
        <v>205</v>
      </c>
      <c r="K12" s="97"/>
      <c r="L12" s="98" t="s">
        <v>206</v>
      </c>
      <c r="M12" s="99"/>
      <c r="N12" s="100" t="s">
        <v>207</v>
      </c>
      <c r="O12" s="70"/>
      <c r="P12" s="4"/>
      <c r="Q12" s="101" t="s">
        <v>208</v>
      </c>
      <c r="R12" s="4" t="s">
        <v>209</v>
      </c>
      <c r="S12" s="4"/>
      <c r="T12" s="4"/>
      <c r="U12" s="4"/>
      <c r="V12" s="4"/>
      <c r="W12" s="4"/>
      <c r="X12" s="4"/>
      <c r="Y12" s="4"/>
      <c r="Z12" s="4"/>
    </row>
    <row r="13" spans="1:26" ht="18.75" customHeight="1" x14ac:dyDescent="0.2">
      <c r="A13" s="4"/>
      <c r="B13" s="102" t="str">
        <f>SECURITE!A1</f>
        <v>SECURITE</v>
      </c>
      <c r="C13" s="103">
        <f>SECURITE!E14</f>
        <v>11900</v>
      </c>
      <c r="D13" s="104">
        <f t="shared" ref="D13:D27" si="0">C13/$C$29</f>
        <v>0.1047797160557745</v>
      </c>
      <c r="E13" s="103">
        <f>SECURITE!E24</f>
        <v>0</v>
      </c>
      <c r="F13" s="104">
        <f t="shared" ref="F13:F27" si="1">E13/$C$29</f>
        <v>0</v>
      </c>
      <c r="G13" s="105">
        <f t="shared" ref="G13:G27" si="2">E13-C13</f>
        <v>-11900</v>
      </c>
      <c r="H13" s="70"/>
      <c r="I13" s="102" t="str">
        <f t="shared" ref="I13:I27" si="3">B13</f>
        <v>SECURITE</v>
      </c>
      <c r="J13" s="106">
        <f ca="1">SECURITE!E45</f>
        <v>0</v>
      </c>
      <c r="K13" s="107">
        <f t="shared" ref="K13:K27" ca="1" si="4">J13/$J$29</f>
        <v>0</v>
      </c>
      <c r="L13" s="106">
        <f ca="1">SECURITE!E55</f>
        <v>0</v>
      </c>
      <c r="M13" s="104">
        <f t="shared" ref="M13:M27" ca="1" si="5">L13/$L$29</f>
        <v>0</v>
      </c>
      <c r="N13" s="108">
        <f t="shared" ref="N13:N27" ca="1" si="6">L13-J13</f>
        <v>0</v>
      </c>
      <c r="O13" s="109"/>
      <c r="P13" s="110" t="str">
        <f t="shared" ref="P13:P27" si="7">I13</f>
        <v>SECURITE</v>
      </c>
      <c r="Q13" s="111">
        <f t="shared" ref="Q13:Q27" ca="1" si="8">N13-G13</f>
        <v>11900</v>
      </c>
      <c r="R13" s="4"/>
      <c r="S13" s="42"/>
      <c r="T13" s="4"/>
      <c r="U13" s="4"/>
      <c r="V13" s="4"/>
      <c r="W13" s="4"/>
      <c r="X13" s="4"/>
      <c r="Y13" s="4"/>
      <c r="Z13" s="4"/>
    </row>
    <row r="14" spans="1:26" ht="18.75" customHeight="1" x14ac:dyDescent="0.2">
      <c r="A14" s="4"/>
      <c r="B14" s="102" t="str">
        <f>PROGRAMMATION!A1</f>
        <v>PROGRAMMATION</v>
      </c>
      <c r="C14" s="112">
        <f>PROGRAMMATION!E20</f>
        <v>18000</v>
      </c>
      <c r="D14" s="113">
        <f t="shared" si="0"/>
        <v>0.15849032680705386</v>
      </c>
      <c r="E14" s="112">
        <f>PROGRAMMATION!E30</f>
        <v>0</v>
      </c>
      <c r="F14" s="113">
        <f t="shared" si="1"/>
        <v>0</v>
      </c>
      <c r="G14" s="114">
        <f t="shared" si="2"/>
        <v>-18000</v>
      </c>
      <c r="H14" s="70"/>
      <c r="I14" s="102" t="str">
        <f t="shared" si="3"/>
        <v>PROGRAMMATION</v>
      </c>
      <c r="J14" s="115">
        <f ca="1">PROGRAMMATION!E75</f>
        <v>1415</v>
      </c>
      <c r="K14" s="116">
        <f t="shared" ca="1" si="4"/>
        <v>6.4807211141893847E-2</v>
      </c>
      <c r="L14" s="115">
        <f ca="1">PROGRAMMATION!E87</f>
        <v>0</v>
      </c>
      <c r="M14" s="113">
        <f t="shared" ca="1" si="5"/>
        <v>0</v>
      </c>
      <c r="N14" s="117">
        <f t="shared" ca="1" si="6"/>
        <v>-1415</v>
      </c>
      <c r="O14" s="109"/>
      <c r="P14" s="102" t="str">
        <f t="shared" si="7"/>
        <v>PROGRAMMATION</v>
      </c>
      <c r="Q14" s="118">
        <f t="shared" ca="1" si="8"/>
        <v>16585</v>
      </c>
      <c r="R14" s="4"/>
      <c r="S14" s="42"/>
      <c r="T14" s="4"/>
      <c r="U14" s="4"/>
      <c r="V14" s="4"/>
      <c r="W14" s="4"/>
      <c r="X14" s="4"/>
      <c r="Y14" s="4"/>
      <c r="Z14" s="4"/>
    </row>
    <row r="15" spans="1:26" ht="18.75" customHeight="1" x14ac:dyDescent="0.2">
      <c r="A15" s="4"/>
      <c r="B15" s="102" t="str">
        <f>TECHNIQUE!A1</f>
        <v>TECHNIQUE</v>
      </c>
      <c r="C15" s="112">
        <f>TECHNIQUE!E14</f>
        <v>20700</v>
      </c>
      <c r="D15" s="113">
        <f t="shared" si="0"/>
        <v>0.18226387582811196</v>
      </c>
      <c r="E15" s="112">
        <f>TECHNIQUE!E24</f>
        <v>0</v>
      </c>
      <c r="F15" s="113">
        <f t="shared" si="1"/>
        <v>0</v>
      </c>
      <c r="G15" s="114">
        <f t="shared" si="2"/>
        <v>-20700</v>
      </c>
      <c r="H15" s="70" t="s">
        <v>210</v>
      </c>
      <c r="I15" s="102" t="str">
        <f t="shared" si="3"/>
        <v>TECHNIQUE</v>
      </c>
      <c r="J15" s="115">
        <f ca="1">TECHNIQUE!E48</f>
        <v>0</v>
      </c>
      <c r="K15" s="116">
        <f t="shared" ca="1" si="4"/>
        <v>0</v>
      </c>
      <c r="L15" s="115">
        <f ca="1">TECHNIQUE!E58</f>
        <v>0</v>
      </c>
      <c r="M15" s="113">
        <f t="shared" ca="1" si="5"/>
        <v>0</v>
      </c>
      <c r="N15" s="117">
        <f t="shared" ca="1" si="6"/>
        <v>0</v>
      </c>
      <c r="O15" s="109"/>
      <c r="P15" s="102" t="str">
        <f t="shared" si="7"/>
        <v>TECHNIQUE</v>
      </c>
      <c r="Q15" s="118">
        <f t="shared" ca="1" si="8"/>
        <v>20700</v>
      </c>
      <c r="R15" s="4"/>
      <c r="S15" s="42"/>
      <c r="T15" s="4"/>
      <c r="U15" s="4"/>
      <c r="V15" s="4"/>
      <c r="W15" s="4"/>
      <c r="X15" s="4"/>
      <c r="Y15" s="4"/>
      <c r="Z15" s="4"/>
    </row>
    <row r="16" spans="1:26" ht="18.75" customHeight="1" x14ac:dyDescent="0.2">
      <c r="A16" s="4"/>
      <c r="B16" s="102" t="str">
        <f>INFRASTRUCTURE!A1</f>
        <v>INFRASTRUCTURE</v>
      </c>
      <c r="C16" s="112">
        <f>INFRASTRUCTURE!E20</f>
        <v>9990</v>
      </c>
      <c r="D16" s="113">
        <f t="shared" si="0"/>
        <v>8.7962131377914893E-2</v>
      </c>
      <c r="E16" s="112">
        <f>INFRASTRUCTURE!E29</f>
        <v>200</v>
      </c>
      <c r="F16" s="113">
        <f t="shared" si="1"/>
        <v>1.7610036311894875E-3</v>
      </c>
      <c r="G16" s="114">
        <f t="shared" si="2"/>
        <v>-9790</v>
      </c>
      <c r="H16" s="70"/>
      <c r="I16" s="102" t="str">
        <f t="shared" si="3"/>
        <v>INFRASTRUCTURE</v>
      </c>
      <c r="J16" s="115">
        <f ca="1">INFRASTRUCTURE!E73</f>
        <v>100</v>
      </c>
      <c r="K16" s="116">
        <f t="shared" ca="1" si="4"/>
        <v>4.5800149216886112E-3</v>
      </c>
      <c r="L16" s="115">
        <f ca="1">INFRASTRUCTURE!E88</f>
        <v>0</v>
      </c>
      <c r="M16" s="113">
        <f t="shared" ca="1" si="5"/>
        <v>0</v>
      </c>
      <c r="N16" s="117">
        <f t="shared" ca="1" si="6"/>
        <v>-100</v>
      </c>
      <c r="O16" s="109"/>
      <c r="P16" s="102" t="str">
        <f t="shared" si="7"/>
        <v>INFRASTRUCTURE</v>
      </c>
      <c r="Q16" s="118">
        <f t="shared" ca="1" si="8"/>
        <v>9690</v>
      </c>
      <c r="R16" s="4"/>
      <c r="S16" s="42"/>
      <c r="T16" s="4"/>
      <c r="U16" s="4"/>
      <c r="V16" s="4"/>
      <c r="W16" s="4"/>
      <c r="X16" s="4"/>
      <c r="Y16" s="4"/>
      <c r="Z16" s="4"/>
    </row>
    <row r="17" spans="1:26" ht="18.75" customHeight="1" x14ac:dyDescent="0.2">
      <c r="A17" s="4"/>
      <c r="B17" s="102" t="str">
        <f>RAVITAILLEMENT!A1</f>
        <v>RAVITAILLEMENT</v>
      </c>
      <c r="C17" s="112">
        <f>RAVITAILLEMENT!E13</f>
        <v>16750</v>
      </c>
      <c r="D17" s="113">
        <f t="shared" si="0"/>
        <v>0.14748405411211957</v>
      </c>
      <c r="E17" s="112">
        <f>RAVITAILLEMENT!E22</f>
        <v>30400</v>
      </c>
      <c r="F17" s="113">
        <f t="shared" si="1"/>
        <v>0.26767255194080208</v>
      </c>
      <c r="G17" s="114">
        <f t="shared" si="2"/>
        <v>13650</v>
      </c>
      <c r="H17" s="70"/>
      <c r="I17" s="102" t="str">
        <f t="shared" si="3"/>
        <v>RAVITAILLEMENT</v>
      </c>
      <c r="J17" s="115">
        <f ca="1">RAVITAILLEMENT!E108</f>
        <v>0</v>
      </c>
      <c r="K17" s="116">
        <f t="shared" ca="1" si="4"/>
        <v>0</v>
      </c>
      <c r="L17" s="115">
        <f ca="1">RAVITAILLEMENT!E144</f>
        <v>108</v>
      </c>
      <c r="M17" s="113">
        <f t="shared" ca="1" si="5"/>
        <v>4.9464161154237005E-3</v>
      </c>
      <c r="N17" s="117">
        <f t="shared" ca="1" si="6"/>
        <v>108</v>
      </c>
      <c r="O17" s="109"/>
      <c r="P17" s="102" t="str">
        <f t="shared" si="7"/>
        <v>RAVITAILLEMENT</v>
      </c>
      <c r="Q17" s="118">
        <f t="shared" ca="1" si="8"/>
        <v>-13542</v>
      </c>
      <c r="R17" s="4"/>
      <c r="S17" s="42"/>
      <c r="T17" s="4"/>
      <c r="U17" s="4"/>
      <c r="V17" s="4"/>
      <c r="W17" s="4"/>
      <c r="X17" s="4"/>
      <c r="Y17" s="4"/>
      <c r="Z17" s="4"/>
    </row>
    <row r="18" spans="1:26" ht="18.75" customHeight="1" x14ac:dyDescent="0.2">
      <c r="A18" s="4"/>
      <c r="B18" s="102" t="str">
        <f>SPONSORING!A1</f>
        <v>SPONSORING</v>
      </c>
      <c r="C18" s="112">
        <f>SPONSORING!E11</f>
        <v>0</v>
      </c>
      <c r="D18" s="113">
        <f t="shared" si="0"/>
        <v>0</v>
      </c>
      <c r="E18" s="112">
        <f>SPONSORING!E50</f>
        <v>18500</v>
      </c>
      <c r="F18" s="113">
        <f t="shared" si="1"/>
        <v>0.16289283588502759</v>
      </c>
      <c r="G18" s="114">
        <f t="shared" si="2"/>
        <v>18500</v>
      </c>
      <c r="H18" s="70"/>
      <c r="I18" s="102" t="str">
        <f t="shared" si="3"/>
        <v>SPONSORING</v>
      </c>
      <c r="J18" s="115">
        <f ca="1">SPONSORING!E71</f>
        <v>0</v>
      </c>
      <c r="K18" s="116">
        <f t="shared" ca="1" si="4"/>
        <v>0</v>
      </c>
      <c r="L18" s="115">
        <f ca="1">SPONSORING!E102</f>
        <v>500</v>
      </c>
      <c r="M18" s="113">
        <f t="shared" ca="1" si="5"/>
        <v>2.2900074608443056E-2</v>
      </c>
      <c r="N18" s="117">
        <f t="shared" ca="1" si="6"/>
        <v>500</v>
      </c>
      <c r="O18" s="109"/>
      <c r="P18" s="102" t="str">
        <f t="shared" si="7"/>
        <v>SPONSORING</v>
      </c>
      <c r="Q18" s="118">
        <f t="shared" ca="1" si="8"/>
        <v>-18000</v>
      </c>
      <c r="R18" s="4"/>
      <c r="S18" s="42"/>
      <c r="T18" s="4"/>
      <c r="U18" s="4"/>
      <c r="V18" s="4"/>
      <c r="W18" s="4"/>
      <c r="X18" s="4"/>
      <c r="Y18" s="4"/>
      <c r="Z18" s="4"/>
    </row>
    <row r="19" spans="1:26" ht="18.75" customHeight="1" x14ac:dyDescent="0.2">
      <c r="A19" s="4"/>
      <c r="B19" s="102" t="str">
        <f>COMMUNICATION!A1</f>
        <v>COMMUNICATION</v>
      </c>
      <c r="C19" s="112">
        <f>COMMUNICATION!E20</f>
        <v>6562</v>
      </c>
      <c r="D19" s="113">
        <f t="shared" si="0"/>
        <v>5.777852913932708E-2</v>
      </c>
      <c r="E19" s="112">
        <f>COMMUNICATION!E27</f>
        <v>2500</v>
      </c>
      <c r="F19" s="113">
        <f t="shared" si="1"/>
        <v>2.2012545389868594E-2</v>
      </c>
      <c r="G19" s="114">
        <f t="shared" si="2"/>
        <v>-4062</v>
      </c>
      <c r="H19" s="70"/>
      <c r="I19" s="102" t="str">
        <f t="shared" si="3"/>
        <v>COMMUNICATION</v>
      </c>
      <c r="J19" s="115">
        <f ca="1">COMMUNICATION!E56</f>
        <v>0</v>
      </c>
      <c r="K19" s="116">
        <f t="shared" ca="1" si="4"/>
        <v>0</v>
      </c>
      <c r="L19" s="115">
        <f ca="1">COMMUNICATION!E85</f>
        <v>0</v>
      </c>
      <c r="M19" s="113">
        <f t="shared" ca="1" si="5"/>
        <v>0</v>
      </c>
      <c r="N19" s="117">
        <f t="shared" ca="1" si="6"/>
        <v>0</v>
      </c>
      <c r="O19" s="109"/>
      <c r="P19" s="102" t="str">
        <f t="shared" si="7"/>
        <v>COMMUNICATION</v>
      </c>
      <c r="Q19" s="118">
        <f t="shared" ca="1" si="8"/>
        <v>4062</v>
      </c>
      <c r="R19" s="4"/>
      <c r="S19" s="42"/>
      <c r="T19" s="4"/>
      <c r="U19" s="4"/>
      <c r="V19" s="4"/>
      <c r="W19" s="4"/>
      <c r="X19" s="4"/>
      <c r="Y19" s="4"/>
      <c r="Z19" s="4"/>
    </row>
    <row r="20" spans="1:26" ht="18.75" customHeight="1" x14ac:dyDescent="0.2">
      <c r="A20" s="4"/>
      <c r="B20" s="102" t="str">
        <f>ADMINISTRATION!A1</f>
        <v>ADMINISTRATION</v>
      </c>
      <c r="C20" s="112">
        <f>ADMINISTRATION!E15</f>
        <v>6020</v>
      </c>
      <c r="D20" s="113">
        <f t="shared" si="0"/>
        <v>5.3006209298803571E-2</v>
      </c>
      <c r="E20" s="112">
        <f>ADMINISTRATION!E25</f>
        <v>800</v>
      </c>
      <c r="F20" s="113">
        <f t="shared" si="1"/>
        <v>7.0440145247579501E-3</v>
      </c>
      <c r="G20" s="114">
        <f t="shared" si="2"/>
        <v>-5220</v>
      </c>
      <c r="H20" s="70"/>
      <c r="I20" s="102" t="str">
        <f t="shared" si="3"/>
        <v>ADMINISTRATION</v>
      </c>
      <c r="J20" s="115">
        <f ca="1">ADMINISTRATION!E53</f>
        <v>6440.7000000000007</v>
      </c>
      <c r="K20" s="116">
        <f t="shared" ca="1" si="4"/>
        <v>0.29498502106119845</v>
      </c>
      <c r="L20" s="115">
        <f ca="1">ADMINISTRATION!E79</f>
        <v>619.29</v>
      </c>
      <c r="M20" s="113">
        <f t="shared" ca="1" si="5"/>
        <v>2.83635744085254E-2</v>
      </c>
      <c r="N20" s="117">
        <f t="shared" ca="1" si="6"/>
        <v>-5821.4100000000008</v>
      </c>
      <c r="O20" s="109"/>
      <c r="P20" s="102" t="str">
        <f t="shared" si="7"/>
        <v>ADMINISTRATION</v>
      </c>
      <c r="Q20" s="118">
        <f t="shared" ca="1" si="8"/>
        <v>-601.41000000000076</v>
      </c>
      <c r="R20" s="4"/>
      <c r="S20" s="42"/>
      <c r="T20" s="4"/>
      <c r="U20" s="4"/>
      <c r="V20" s="4"/>
      <c r="W20" s="4"/>
      <c r="X20" s="4"/>
      <c r="Y20" s="4"/>
      <c r="Z20" s="4"/>
    </row>
    <row r="21" spans="1:26" ht="18.75" customHeight="1" x14ac:dyDescent="0.2">
      <c r="A21" s="4"/>
      <c r="B21" s="102" t="str">
        <f>PMW!A1</f>
        <v>PMW</v>
      </c>
      <c r="C21" s="112">
        <f>PMW!E15</f>
        <v>100</v>
      </c>
      <c r="D21" s="113">
        <f t="shared" si="0"/>
        <v>8.8050181559474376E-4</v>
      </c>
      <c r="E21" s="112">
        <f>PMW!E25</f>
        <v>0</v>
      </c>
      <c r="F21" s="113">
        <f t="shared" si="1"/>
        <v>0</v>
      </c>
      <c r="G21" s="114">
        <f t="shared" si="2"/>
        <v>-100</v>
      </c>
      <c r="H21" s="70"/>
      <c r="I21" s="102" t="str">
        <f t="shared" si="3"/>
        <v>PMW</v>
      </c>
      <c r="J21" s="115">
        <f ca="1">PMW!E46</f>
        <v>0</v>
      </c>
      <c r="K21" s="116">
        <f t="shared" ca="1" si="4"/>
        <v>0</v>
      </c>
      <c r="L21" s="115">
        <f ca="1">PMW!E56</f>
        <v>0</v>
      </c>
      <c r="M21" s="113">
        <f t="shared" ca="1" si="5"/>
        <v>0</v>
      </c>
      <c r="N21" s="117">
        <f t="shared" ca="1" si="6"/>
        <v>0</v>
      </c>
      <c r="O21" s="109"/>
      <c r="P21" s="102" t="str">
        <f t="shared" si="7"/>
        <v>PMW</v>
      </c>
      <c r="Q21" s="118">
        <f t="shared" ca="1" si="8"/>
        <v>100</v>
      </c>
      <c r="R21" s="4"/>
      <c r="S21" s="42"/>
      <c r="T21" s="4"/>
      <c r="U21" s="4"/>
      <c r="V21" s="4"/>
      <c r="W21" s="4"/>
      <c r="X21" s="4"/>
      <c r="Y21" s="4"/>
      <c r="Z21" s="4"/>
    </row>
    <row r="22" spans="1:26" ht="18.75" customHeight="1" x14ac:dyDescent="0.2">
      <c r="A22" s="4"/>
      <c r="B22" s="102" t="str">
        <f>DÉCORATION!A1</f>
        <v>DÉCORATION</v>
      </c>
      <c r="C22" s="112">
        <f>DÉCORATION!E15</f>
        <v>500</v>
      </c>
      <c r="D22" s="113">
        <f t="shared" si="0"/>
        <v>4.4025090779737184E-3</v>
      </c>
      <c r="E22" s="112">
        <f>DÉCORATION!E25</f>
        <v>0</v>
      </c>
      <c r="F22" s="113">
        <f t="shared" si="1"/>
        <v>0</v>
      </c>
      <c r="G22" s="114">
        <f t="shared" si="2"/>
        <v>-500</v>
      </c>
      <c r="H22" s="70"/>
      <c r="I22" s="102" t="str">
        <f t="shared" si="3"/>
        <v>DÉCORATION</v>
      </c>
      <c r="J22" s="115">
        <f ca="1">DÉCORATION!E46</f>
        <v>244.85000000000002</v>
      </c>
      <c r="K22" s="116">
        <f t="shared" ca="1" si="4"/>
        <v>1.1214166535754567E-2</v>
      </c>
      <c r="L22" s="115">
        <f ca="1">DÉCORATION!E56</f>
        <v>0</v>
      </c>
      <c r="M22" s="113">
        <f t="shared" ca="1" si="5"/>
        <v>0</v>
      </c>
      <c r="N22" s="117">
        <f t="shared" ca="1" si="6"/>
        <v>-244.85000000000002</v>
      </c>
      <c r="O22" s="109"/>
      <c r="P22" s="102" t="str">
        <f t="shared" si="7"/>
        <v>DÉCORATION</v>
      </c>
      <c r="Q22" s="118">
        <f t="shared" ca="1" si="8"/>
        <v>255.14999999999998</v>
      </c>
      <c r="R22" s="4"/>
      <c r="S22" s="42"/>
      <c r="T22" s="4"/>
      <c r="U22" s="4"/>
      <c r="V22" s="4"/>
      <c r="W22" s="4"/>
      <c r="X22" s="4"/>
      <c r="Y22" s="4"/>
      <c r="Z22" s="4"/>
    </row>
    <row r="23" spans="1:26" ht="18.75" customHeight="1" x14ac:dyDescent="0.2">
      <c r="A23" s="4"/>
      <c r="B23" s="102" t="str">
        <f>ÉLECTRICITÉ!A1</f>
        <v>ÉLECTRICITÉ</v>
      </c>
      <c r="C23" s="112">
        <f>ÉLECTRICITÉ!E15</f>
        <v>300</v>
      </c>
      <c r="D23" s="113">
        <f t="shared" si="0"/>
        <v>2.6415054467842313E-3</v>
      </c>
      <c r="E23" s="112">
        <f>ÉLECTRICITÉ!E25</f>
        <v>0</v>
      </c>
      <c r="F23" s="113">
        <f t="shared" si="1"/>
        <v>0</v>
      </c>
      <c r="G23" s="114">
        <f t="shared" si="2"/>
        <v>-300</v>
      </c>
      <c r="H23" s="70"/>
      <c r="I23" s="102" t="str">
        <f t="shared" si="3"/>
        <v>ÉLECTRICITÉ</v>
      </c>
      <c r="J23" s="115">
        <f ca="1">ÉLECTRICITÉ!E46</f>
        <v>0</v>
      </c>
      <c r="K23" s="116">
        <f t="shared" ca="1" si="4"/>
        <v>0</v>
      </c>
      <c r="L23" s="115">
        <f ca="1">ÉLECTRICITÉ!E56</f>
        <v>0</v>
      </c>
      <c r="M23" s="113">
        <f t="shared" ca="1" si="5"/>
        <v>0</v>
      </c>
      <c r="N23" s="117">
        <f t="shared" ca="1" si="6"/>
        <v>0</v>
      </c>
      <c r="O23" s="109"/>
      <c r="P23" s="102" t="str">
        <f t="shared" si="7"/>
        <v>ÉLECTRICITÉ</v>
      </c>
      <c r="Q23" s="118">
        <f t="shared" ca="1" si="8"/>
        <v>300</v>
      </c>
      <c r="R23" s="4"/>
      <c r="S23" s="42"/>
      <c r="T23" s="4"/>
      <c r="U23" s="4"/>
      <c r="V23" s="4"/>
      <c r="W23" s="4"/>
      <c r="X23" s="4"/>
      <c r="Y23" s="4"/>
      <c r="Z23" s="4"/>
    </row>
    <row r="24" spans="1:26" ht="18.75" customHeight="1" x14ac:dyDescent="0.2">
      <c r="A24" s="4"/>
      <c r="B24" s="102" t="str">
        <f>LOGES!A1</f>
        <v>LOGES</v>
      </c>
      <c r="C24" s="112">
        <f>LOGES!E15</f>
        <v>800</v>
      </c>
      <c r="D24" s="113">
        <f t="shared" si="0"/>
        <v>7.0440145247579501E-3</v>
      </c>
      <c r="E24" s="112">
        <f>LOGES!E25</f>
        <v>0</v>
      </c>
      <c r="F24" s="113">
        <f t="shared" si="1"/>
        <v>0</v>
      </c>
      <c r="G24" s="114">
        <f t="shared" si="2"/>
        <v>-800</v>
      </c>
      <c r="H24" s="70"/>
      <c r="I24" s="102" t="str">
        <f t="shared" si="3"/>
        <v>LOGES</v>
      </c>
      <c r="J24" s="115">
        <f ca="1">LOGES!E46</f>
        <v>0</v>
      </c>
      <c r="K24" s="116">
        <f t="shared" ca="1" si="4"/>
        <v>0</v>
      </c>
      <c r="L24" s="115">
        <f ca="1">LOGES!E56</f>
        <v>0</v>
      </c>
      <c r="M24" s="113">
        <f t="shared" ca="1" si="5"/>
        <v>0</v>
      </c>
      <c r="N24" s="117">
        <f t="shared" ca="1" si="6"/>
        <v>0</v>
      </c>
      <c r="O24" s="109"/>
      <c r="P24" s="102" t="str">
        <f t="shared" si="7"/>
        <v>LOGES</v>
      </c>
      <c r="Q24" s="118">
        <f t="shared" ca="1" si="8"/>
        <v>800</v>
      </c>
      <c r="R24" s="4"/>
      <c r="S24" s="42"/>
      <c r="T24" s="4"/>
      <c r="U24" s="4"/>
      <c r="V24" s="4"/>
      <c r="W24" s="4"/>
      <c r="X24" s="4"/>
      <c r="Y24" s="4"/>
      <c r="Z24" s="4"/>
    </row>
    <row r="25" spans="1:26" ht="18.75" customHeight="1" x14ac:dyDescent="0.2">
      <c r="A25" s="4"/>
      <c r="B25" s="102" t="str">
        <f>ENTREES!A1</f>
        <v>ENTREES</v>
      </c>
      <c r="C25" s="112">
        <f>ENTREES!E12</f>
        <v>1770.6</v>
      </c>
      <c r="D25" s="113">
        <f t="shared" si="0"/>
        <v>1.5590165146920531E-2</v>
      </c>
      <c r="E25" s="112">
        <f>ENTREES!E23</f>
        <v>18700</v>
      </c>
      <c r="F25" s="113">
        <f t="shared" si="1"/>
        <v>0.16465383951621707</v>
      </c>
      <c r="G25" s="114">
        <f t="shared" si="2"/>
        <v>16929.400000000001</v>
      </c>
      <c r="H25" s="70"/>
      <c r="I25" s="102" t="str">
        <f t="shared" si="3"/>
        <v>ENTREES</v>
      </c>
      <c r="J25" s="115">
        <f ca="1">ENTREES!E35</f>
        <v>1117.3499999999999</v>
      </c>
      <c r="K25" s="116">
        <f t="shared" ca="1" si="4"/>
        <v>5.1174796727487697E-2</v>
      </c>
      <c r="L25" s="115">
        <f ca="1">ENTREES!E99</f>
        <v>702.75</v>
      </c>
      <c r="M25" s="113">
        <f t="shared" ca="1" si="5"/>
        <v>3.2186054862166719E-2</v>
      </c>
      <c r="N25" s="117">
        <f t="shared" ca="1" si="6"/>
        <v>-414.59999999999991</v>
      </c>
      <c r="O25" s="109"/>
      <c r="P25" s="102" t="str">
        <f t="shared" si="7"/>
        <v>ENTREES</v>
      </c>
      <c r="Q25" s="118">
        <f t="shared" ca="1" si="8"/>
        <v>-17344</v>
      </c>
      <c r="R25" s="4"/>
      <c r="S25" s="42"/>
      <c r="T25" s="4"/>
      <c r="U25" s="4"/>
      <c r="V25" s="4"/>
      <c r="W25" s="4"/>
      <c r="X25" s="4"/>
      <c r="Y25" s="4"/>
      <c r="Z25" s="4"/>
    </row>
    <row r="26" spans="1:26" ht="18.75" customHeight="1" x14ac:dyDescent="0.2">
      <c r="A26" s="4"/>
      <c r="B26" s="102" t="str">
        <f>EVENTS!A1</f>
        <v>EVENTS</v>
      </c>
      <c r="C26" s="112">
        <f>EVENTS!E21</f>
        <v>16179</v>
      </c>
      <c r="D26" s="113">
        <f t="shared" si="0"/>
        <v>0.14245638874507358</v>
      </c>
      <c r="E26" s="112">
        <f>EVENTS!E39</f>
        <v>38552</v>
      </c>
      <c r="F26" s="113">
        <f t="shared" si="1"/>
        <v>0.33945105994808561</v>
      </c>
      <c r="G26" s="114">
        <f t="shared" si="2"/>
        <v>22373</v>
      </c>
      <c r="H26" s="70" t="s">
        <v>210</v>
      </c>
      <c r="I26" s="102" t="str">
        <f t="shared" si="3"/>
        <v>EVENTS</v>
      </c>
      <c r="J26" s="115">
        <f ca="1">EVENTS!E175</f>
        <v>9977.2900000000009</v>
      </c>
      <c r="K26" s="116">
        <f t="shared" ca="1" si="4"/>
        <v>0.4569613707801457</v>
      </c>
      <c r="L26" s="115">
        <f ca="1">EVENTS!E450</f>
        <v>19903.950000000015</v>
      </c>
      <c r="M26" s="113">
        <f t="shared" ca="1" si="5"/>
        <v>0.91160388000544113</v>
      </c>
      <c r="N26" s="117">
        <f t="shared" ca="1" si="6"/>
        <v>9926.6600000000144</v>
      </c>
      <c r="O26" s="109"/>
      <c r="P26" s="102" t="str">
        <f t="shared" si="7"/>
        <v>EVENTS</v>
      </c>
      <c r="Q26" s="118">
        <f t="shared" ca="1" si="8"/>
        <v>-12446.339999999986</v>
      </c>
      <c r="R26" s="4"/>
      <c r="S26" s="42"/>
      <c r="T26" s="4"/>
      <c r="U26" s="4"/>
      <c r="V26" s="4"/>
      <c r="W26" s="4"/>
      <c r="X26" s="4"/>
      <c r="Y26" s="4"/>
      <c r="Z26" s="4"/>
    </row>
    <row r="27" spans="1:26" ht="18.75" customHeight="1" x14ac:dyDescent="0.2">
      <c r="A27" s="4"/>
      <c r="B27" s="102" t="str">
        <f>DIVERS!A1</f>
        <v>DIVERS</v>
      </c>
      <c r="C27" s="119">
        <f>DIVERS!E17</f>
        <v>4000</v>
      </c>
      <c r="D27" s="120">
        <f t="shared" si="0"/>
        <v>3.5220072623789747E-2</v>
      </c>
      <c r="E27" s="119">
        <f>DIVERS!E27</f>
        <v>0</v>
      </c>
      <c r="F27" s="120">
        <f t="shared" si="1"/>
        <v>0</v>
      </c>
      <c r="G27" s="121">
        <f t="shared" si="2"/>
        <v>-4000</v>
      </c>
      <c r="H27" s="70"/>
      <c r="I27" s="102" t="str">
        <f t="shared" si="3"/>
        <v>DIVERS</v>
      </c>
      <c r="J27" s="122">
        <f ca="1">DIVERS!E61</f>
        <v>34.200000000000003</v>
      </c>
      <c r="K27" s="123">
        <f t="shared" ca="1" si="4"/>
        <v>1.5663651032175052E-3</v>
      </c>
      <c r="L27" s="122">
        <f ca="1">DIVERS!E92</f>
        <v>0</v>
      </c>
      <c r="M27" s="120">
        <f t="shared" ca="1" si="5"/>
        <v>0</v>
      </c>
      <c r="N27" s="124">
        <f t="shared" ca="1" si="6"/>
        <v>-34.200000000000003</v>
      </c>
      <c r="O27" s="109"/>
      <c r="P27" s="125" t="str">
        <f t="shared" si="7"/>
        <v>DIVERS</v>
      </c>
      <c r="Q27" s="126">
        <f t="shared" ca="1" si="8"/>
        <v>3965.8</v>
      </c>
      <c r="R27" s="4"/>
      <c r="S27" s="42"/>
      <c r="T27" s="4"/>
      <c r="U27" s="4"/>
      <c r="V27" s="4"/>
      <c r="W27" s="4"/>
      <c r="X27" s="4"/>
      <c r="Y27" s="4"/>
      <c r="Z27" s="4"/>
    </row>
    <row r="28" spans="1:26" ht="18.75" customHeight="1" x14ac:dyDescent="0.2">
      <c r="A28" s="55"/>
      <c r="B28" s="127" t="s">
        <v>211</v>
      </c>
      <c r="C28" s="128" t="str">
        <f>IF(SUM(C13:C27)&lt;SUM(E13:E27),SUM(E13:E27)-SUM(C13:C27),"")</f>
        <v/>
      </c>
      <c r="D28" s="129"/>
      <c r="E28" s="130">
        <f>IF(SUM(E13:E27)&gt;SUM(C13:C27),"",SUM(C13:C27)-SUM(E13:E27))</f>
        <v>3919.6000000000058</v>
      </c>
      <c r="F28" s="131"/>
      <c r="G28" s="132"/>
      <c r="H28" s="133"/>
      <c r="I28" s="127" t="s">
        <v>211</v>
      </c>
      <c r="J28" s="134">
        <f ca="1">IF(SUM(J13:J27)&lt;SUM(L13:L27),SUM(L13:L27)-SUM(J13:J27),"")</f>
        <v>2504.6000000000131</v>
      </c>
      <c r="K28" s="135"/>
      <c r="L28" s="136" t="str">
        <f ca="1">IF(SUM(L13:L27)&gt;SUM(J13:J27),"",SUM(J13:J27)-SUM(L13:L27))</f>
        <v/>
      </c>
      <c r="M28" s="135"/>
      <c r="N28" s="70"/>
      <c r="O28" s="70"/>
      <c r="P28" s="95"/>
      <c r="Q28" s="137"/>
      <c r="R28" s="4"/>
      <c r="S28" s="42"/>
      <c r="T28" s="4"/>
      <c r="U28" s="4"/>
      <c r="V28" s="4"/>
      <c r="W28" s="4"/>
      <c r="X28" s="4"/>
      <c r="Y28" s="4"/>
      <c r="Z28" s="4"/>
    </row>
    <row r="29" spans="1:26" ht="18.75" customHeight="1" x14ac:dyDescent="0.2">
      <c r="A29" s="55"/>
      <c r="B29" s="138" t="s">
        <v>212</v>
      </c>
      <c r="C29" s="139">
        <f>SUM(C13:C28)</f>
        <v>113571.6</v>
      </c>
      <c r="D29" s="135"/>
      <c r="E29" s="139">
        <f>SUM(E13:E28)</f>
        <v>113571.6</v>
      </c>
      <c r="F29" s="140"/>
      <c r="G29" s="141"/>
      <c r="H29" s="142"/>
      <c r="I29" s="138" t="s">
        <v>212</v>
      </c>
      <c r="J29" s="139">
        <f ca="1">SUM(J13:J28)</f>
        <v>21833.990000000016</v>
      </c>
      <c r="K29" s="135"/>
      <c r="L29" s="139">
        <f ca="1">SUM(L13:L28)</f>
        <v>21833.990000000016</v>
      </c>
      <c r="M29" s="135"/>
      <c r="N29" s="70"/>
      <c r="O29" s="70"/>
      <c r="P29" s="143" t="s">
        <v>212</v>
      </c>
      <c r="Q29" s="144">
        <f ca="1">L29-E29</f>
        <v>-91737.609999999986</v>
      </c>
      <c r="R29" s="4"/>
      <c r="S29" s="42"/>
      <c r="T29" s="4"/>
      <c r="U29" s="4"/>
      <c r="V29" s="4"/>
      <c r="W29" s="4"/>
      <c r="X29" s="4"/>
      <c r="Y29" s="4"/>
      <c r="Z29" s="4"/>
    </row>
    <row r="30" spans="1:26" ht="14.25" customHeight="1" x14ac:dyDescent="0.2">
      <c r="A30" s="4"/>
      <c r="B30" s="4"/>
      <c r="C30" s="5"/>
      <c r="D30" s="4"/>
      <c r="E30" s="4"/>
      <c r="F30" s="4"/>
      <c r="G30" s="14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">
      <c r="A31" s="4"/>
      <c r="B31" s="4"/>
      <c r="C31" s="7"/>
      <c r="D31" s="4"/>
      <c r="E31" s="4"/>
      <c r="F31" s="4"/>
      <c r="G31" s="14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">
      <c r="A32" s="4"/>
      <c r="B32" s="4"/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">
      <c r="A33" s="4"/>
      <c r="B33" s="4"/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">
      <c r="A34" s="4"/>
      <c r="B34" s="4"/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">
      <c r="A35" s="4"/>
      <c r="B35" s="4"/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">
      <c r="A36" s="4"/>
      <c r="B36" s="4"/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">
      <c r="A37" s="4"/>
      <c r="B37" s="4"/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">
      <c r="A38" s="4"/>
      <c r="B38" s="4"/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">
      <c r="A39" s="4"/>
      <c r="B39" s="4"/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">
      <c r="A40" s="4"/>
      <c r="B40" s="4"/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">
      <c r="A41" s="4"/>
      <c r="B41" s="4"/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">
      <c r="A42" s="4"/>
      <c r="B42" s="4"/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">
      <c r="A43" s="4"/>
      <c r="B43" s="4"/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">
      <c r="A44" s="4"/>
      <c r="B44" s="4"/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">
      <c r="A45" s="4"/>
      <c r="B45" s="4"/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">
      <c r="A46" s="4"/>
      <c r="B46" s="4"/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">
      <c r="A47" s="4"/>
      <c r="B47" s="4"/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">
      <c r="A48" s="4"/>
      <c r="B48" s="4"/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">
      <c r="A49" s="4"/>
      <c r="B49" s="4"/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">
      <c r="A50" s="4"/>
      <c r="B50" s="4"/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">
      <c r="A51" s="4"/>
      <c r="B51" s="4"/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5">
      <c r="A52" s="4"/>
      <c r="B52" s="4"/>
      <c r="C52" s="7"/>
      <c r="D52" s="4"/>
      <c r="E52" s="4"/>
      <c r="F52" s="4"/>
      <c r="G52" s="4"/>
      <c r="H52" s="4"/>
      <c r="I52" s="4"/>
      <c r="J52" s="14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">
      <c r="A53" s="4"/>
      <c r="B53" s="4"/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">
      <c r="A54" s="4"/>
      <c r="B54" s="4"/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">
      <c r="A55" s="4"/>
      <c r="B55" s="4"/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">
      <c r="A56" s="4"/>
      <c r="B56" s="4"/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">
      <c r="A57" s="4"/>
      <c r="B57" s="4"/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">
      <c r="A58" s="4"/>
      <c r="B58" s="4"/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">
      <c r="A59" s="4"/>
      <c r="B59" s="4"/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">
      <c r="A60" s="4"/>
      <c r="B60" s="4"/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">
      <c r="A61" s="4"/>
      <c r="B61" s="4"/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">
      <c r="A62" s="4"/>
      <c r="B62" s="4"/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">
      <c r="A63" s="4"/>
      <c r="B63" s="4"/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">
      <c r="A64" s="4"/>
      <c r="B64" s="4"/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">
      <c r="A65" s="4"/>
      <c r="B65" s="4"/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">
      <c r="A66" s="4"/>
      <c r="B66" s="4"/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">
      <c r="A67" s="4"/>
      <c r="B67" s="4"/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">
      <c r="A68" s="4"/>
      <c r="B68" s="4"/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">
      <c r="A69" s="4"/>
      <c r="B69" s="4"/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">
      <c r="A70" s="4"/>
      <c r="B70" s="4"/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">
      <c r="A71" s="4"/>
      <c r="B71" s="4"/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">
      <c r="A72" s="4"/>
      <c r="B72" s="4"/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">
      <c r="A73" s="4"/>
      <c r="B73" s="4"/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">
      <c r="A74" s="4"/>
      <c r="B74" s="4"/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">
      <c r="A75" s="4"/>
      <c r="B75" s="4"/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">
      <c r="A76" s="4"/>
      <c r="B76" s="4"/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">
      <c r="A77" s="4"/>
      <c r="B77" s="4"/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">
      <c r="A78" s="4"/>
      <c r="B78" s="4"/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">
      <c r="A79" s="4"/>
      <c r="B79" s="4"/>
      <c r="C79" s="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">
      <c r="A80" s="4"/>
      <c r="B80" s="4"/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">
      <c r="A81" s="4"/>
      <c r="B81" s="4"/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">
      <c r="A82" s="4"/>
      <c r="B82" s="4"/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">
      <c r="A83" s="4"/>
      <c r="B83" s="4"/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">
      <c r="A84" s="4"/>
      <c r="B84" s="4"/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">
      <c r="A85" s="4"/>
      <c r="B85" s="4"/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">
      <c r="A86" s="4"/>
      <c r="B86" s="4"/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">
      <c r="A87" s="4"/>
      <c r="B87" s="4"/>
      <c r="C87" s="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">
      <c r="A88" s="4"/>
      <c r="B88" s="4"/>
      <c r="C88" s="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">
      <c r="A89" s="4"/>
      <c r="B89" s="4"/>
      <c r="C89" s="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">
      <c r="A90" s="4"/>
      <c r="B90" s="4"/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">
      <c r="A91" s="4"/>
      <c r="B91" s="4"/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">
      <c r="A92" s="4"/>
      <c r="B92" s="4"/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">
      <c r="A93" s="4"/>
      <c r="B93" s="4"/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">
      <c r="A94" s="4"/>
      <c r="B94" s="4"/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">
      <c r="A95" s="4"/>
      <c r="B95" s="4"/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">
      <c r="A96" s="4"/>
      <c r="B96" s="4"/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">
      <c r="A97" s="4"/>
      <c r="B97" s="4"/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">
      <c r="A98" s="4"/>
      <c r="B98" s="4"/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">
      <c r="A99" s="4"/>
      <c r="B99" s="4"/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">
      <c r="A100" s="4"/>
      <c r="B100" s="4"/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">
      <c r="A101" s="4"/>
      <c r="B101" s="4"/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">
      <c r="A102" s="4"/>
      <c r="B102" s="4"/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">
      <c r="A103" s="4"/>
      <c r="B103" s="4"/>
      <c r="C103" s="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">
      <c r="A104" s="4"/>
      <c r="B104" s="4"/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">
      <c r="A105" s="4"/>
      <c r="B105" s="4"/>
      <c r="C105" s="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">
      <c r="A106" s="4"/>
      <c r="B106" s="4"/>
      <c r="C106" s="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">
      <c r="A107" s="4"/>
      <c r="B107" s="4"/>
      <c r="C107" s="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">
      <c r="A108" s="4"/>
      <c r="B108" s="4"/>
      <c r="C108" s="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">
      <c r="A109" s="4"/>
      <c r="B109" s="4"/>
      <c r="C109" s="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">
      <c r="A110" s="4"/>
      <c r="B110" s="4"/>
      <c r="C110" s="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">
      <c r="A111" s="4"/>
      <c r="B111" s="4"/>
      <c r="C111" s="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">
      <c r="A112" s="4"/>
      <c r="B112" s="4"/>
      <c r="C112" s="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">
      <c r="A113" s="4"/>
      <c r="B113" s="4"/>
      <c r="C113" s="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">
      <c r="A114" s="4"/>
      <c r="B114" s="4"/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">
      <c r="A115" s="4"/>
      <c r="B115" s="4"/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">
      <c r="A116" s="4"/>
      <c r="B116" s="4"/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">
      <c r="A117" s="4"/>
      <c r="B117" s="4"/>
      <c r="C117" s="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">
      <c r="A118" s="4"/>
      <c r="B118" s="4"/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">
      <c r="A119" s="4"/>
      <c r="B119" s="4"/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">
      <c r="A120" s="4"/>
      <c r="B120" s="4"/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">
      <c r="A121" s="4"/>
      <c r="B121" s="4"/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">
      <c r="A122" s="4"/>
      <c r="B122" s="4"/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">
      <c r="A123" s="4"/>
      <c r="B123" s="4"/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">
      <c r="A124" s="4"/>
      <c r="B124" s="4"/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">
      <c r="A125" s="4"/>
      <c r="B125" s="4"/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">
      <c r="A126" s="4"/>
      <c r="B126" s="4"/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">
      <c r="A127" s="4"/>
      <c r="B127" s="4"/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">
      <c r="A128" s="4"/>
      <c r="B128" s="4"/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">
      <c r="A129" s="4"/>
      <c r="B129" s="4"/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">
      <c r="A130" s="4"/>
      <c r="B130" s="4"/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">
      <c r="A131" s="4"/>
      <c r="B131" s="4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">
      <c r="A132" s="4"/>
      <c r="B132" s="4"/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">
      <c r="A133" s="4"/>
      <c r="B133" s="4"/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">
      <c r="A134" s="4"/>
      <c r="B134" s="4"/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">
      <c r="A135" s="4"/>
      <c r="B135" s="4"/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">
      <c r="A136" s="4"/>
      <c r="B136" s="4"/>
      <c r="C136" s="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">
      <c r="A137" s="4"/>
      <c r="B137" s="4"/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">
      <c r="A138" s="4"/>
      <c r="B138" s="4"/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">
      <c r="A139" s="4"/>
      <c r="B139" s="4"/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">
      <c r="A140" s="4"/>
      <c r="B140" s="4"/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">
      <c r="A141" s="4"/>
      <c r="B141" s="4"/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">
      <c r="A142" s="4"/>
      <c r="B142" s="4"/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">
      <c r="A143" s="4"/>
      <c r="B143" s="4"/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">
      <c r="A144" s="4"/>
      <c r="B144" s="4"/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">
      <c r="A145" s="4"/>
      <c r="B145" s="4"/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">
      <c r="A146" s="4"/>
      <c r="B146" s="4"/>
      <c r="C146" s="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">
      <c r="A147" s="4"/>
      <c r="B147" s="4"/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">
      <c r="A148" s="4"/>
      <c r="B148" s="4"/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">
      <c r="A149" s="4"/>
      <c r="B149" s="4"/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/>
      <c r="B150" s="4"/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">
      <c r="A151" s="4"/>
      <c r="B151" s="4"/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">
      <c r="A152" s="4"/>
      <c r="B152" s="4"/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">
      <c r="A153" s="4"/>
      <c r="B153" s="4"/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">
      <c r="A154" s="4"/>
      <c r="B154" s="4"/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">
      <c r="A155" s="4"/>
      <c r="B155" s="4"/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">
      <c r="A156" s="4"/>
      <c r="B156" s="4"/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">
      <c r="A157" s="4"/>
      <c r="B157" s="4"/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">
      <c r="A158" s="4"/>
      <c r="B158" s="4"/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">
      <c r="A159" s="4"/>
      <c r="B159" s="4"/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">
      <c r="A160" s="4"/>
      <c r="B160" s="4"/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">
      <c r="A161" s="4"/>
      <c r="B161" s="4"/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">
      <c r="A162" s="4"/>
      <c r="B162" s="4"/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">
      <c r="A163" s="4"/>
      <c r="B163" s="4"/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">
      <c r="A164" s="4"/>
      <c r="B164" s="4"/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">
      <c r="A165" s="4"/>
      <c r="B165" s="4"/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">
      <c r="A166" s="4"/>
      <c r="B166" s="4"/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">
      <c r="A167" s="4"/>
      <c r="B167" s="4"/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">
      <c r="A168" s="4"/>
      <c r="B168" s="4"/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">
      <c r="A169" s="4"/>
      <c r="B169" s="4"/>
      <c r="C169" s="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">
      <c r="A170" s="4"/>
      <c r="B170" s="4"/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">
      <c r="A171" s="4"/>
      <c r="B171" s="4"/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">
      <c r="A172" s="4"/>
      <c r="B172" s="4"/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">
      <c r="A173" s="4"/>
      <c r="B173" s="4"/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">
      <c r="A174" s="4"/>
      <c r="B174" s="4"/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">
      <c r="A175" s="4"/>
      <c r="B175" s="4"/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">
      <c r="A176" s="4"/>
      <c r="B176" s="4"/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">
      <c r="A177" s="4"/>
      <c r="B177" s="4"/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">
      <c r="A178" s="4"/>
      <c r="B178" s="4"/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">
      <c r="A179" s="4"/>
      <c r="B179" s="4"/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">
      <c r="A180" s="4"/>
      <c r="B180" s="4"/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">
      <c r="A181" s="4"/>
      <c r="B181" s="4"/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">
      <c r="A182" s="4"/>
      <c r="B182" s="4"/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">
      <c r="A183" s="4"/>
      <c r="B183" s="4"/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">
      <c r="A184" s="4"/>
      <c r="B184" s="4"/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">
      <c r="A185" s="4"/>
      <c r="B185" s="4"/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">
      <c r="A186" s="4"/>
      <c r="B186" s="4"/>
      <c r="C186" s="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">
      <c r="A187" s="4"/>
      <c r="B187" s="4"/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">
      <c r="A188" s="4"/>
      <c r="B188" s="4"/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">
      <c r="A189" s="4"/>
      <c r="B189" s="4"/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">
      <c r="A190" s="4"/>
      <c r="B190" s="4"/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">
      <c r="A191" s="4"/>
      <c r="B191" s="4"/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">
      <c r="A192" s="4"/>
      <c r="B192" s="4"/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">
      <c r="A193" s="4"/>
      <c r="B193" s="4"/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">
      <c r="A194" s="4"/>
      <c r="B194" s="4"/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">
      <c r="A195" s="4"/>
      <c r="B195" s="4"/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">
      <c r="A196" s="4"/>
      <c r="B196" s="4"/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">
      <c r="A197" s="4"/>
      <c r="B197" s="4"/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">
      <c r="A198" s="4"/>
      <c r="B198" s="4"/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">
      <c r="A199" s="4"/>
      <c r="B199" s="4"/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">
      <c r="A200" s="4"/>
      <c r="B200" s="4"/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">
      <c r="A201" s="4"/>
      <c r="B201" s="4"/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">
      <c r="A202" s="4"/>
      <c r="B202" s="4"/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">
      <c r="A203" s="4"/>
      <c r="B203" s="4"/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">
      <c r="A204" s="4"/>
      <c r="B204" s="4"/>
      <c r="C204" s="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">
      <c r="A205" s="4"/>
      <c r="B205" s="4"/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">
      <c r="A206" s="4"/>
      <c r="B206" s="4"/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">
      <c r="A207" s="4"/>
      <c r="B207" s="4"/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">
      <c r="A208" s="4"/>
      <c r="B208" s="4"/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">
      <c r="A209" s="4"/>
      <c r="B209" s="4"/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">
      <c r="A210" s="4"/>
      <c r="B210" s="4"/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">
      <c r="A211" s="4"/>
      <c r="B211" s="4"/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">
      <c r="A212" s="4"/>
      <c r="B212" s="4"/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">
      <c r="A213" s="4"/>
      <c r="B213" s="4"/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">
      <c r="A214" s="4"/>
      <c r="B214" s="4"/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">
      <c r="A215" s="4"/>
      <c r="B215" s="4"/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">
      <c r="A216" s="4"/>
      <c r="B216" s="4"/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">
      <c r="A217" s="4"/>
      <c r="B217" s="4"/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">
      <c r="A218" s="4"/>
      <c r="B218" s="4"/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">
      <c r="A219" s="4"/>
      <c r="B219" s="4"/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">
      <c r="A220" s="4"/>
      <c r="B220" s="4"/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2">
      <c r="A221" s="4"/>
      <c r="B221" s="4"/>
      <c r="C221" s="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2">
      <c r="A222" s="4"/>
      <c r="B222" s="4"/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2">
      <c r="A223" s="4"/>
      <c r="B223" s="4"/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2">
      <c r="A224" s="4"/>
      <c r="B224" s="4"/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2">
      <c r="A225" s="4"/>
      <c r="B225" s="4"/>
      <c r="C225" s="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2">
      <c r="A226" s="4"/>
      <c r="B226" s="4"/>
      <c r="C226" s="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2">
      <c r="A227" s="4"/>
      <c r="B227" s="4"/>
      <c r="C227" s="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2">
      <c r="A228" s="4"/>
      <c r="B228" s="4"/>
      <c r="C228" s="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2">
      <c r="A229" s="4"/>
      <c r="B229" s="4"/>
      <c r="C229" s="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:S1"/>
    <mergeCell ref="E6:F6"/>
    <mergeCell ref="C11:G11"/>
    <mergeCell ref="J11:N11"/>
  </mergeCells>
  <conditionalFormatting sqref="C28">
    <cfRule type="cellIs" dxfId="8" priority="1" operator="greaterThan">
      <formula>0</formula>
    </cfRule>
  </conditionalFormatting>
  <conditionalFormatting sqref="E28">
    <cfRule type="cellIs" dxfId="7" priority="2" operator="greaterThan">
      <formula>0</formula>
    </cfRule>
  </conditionalFormatting>
  <conditionalFormatting sqref="G13:G2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8 J28">
    <cfRule type="cellIs" dxfId="6" priority="4" operator="greaterThan">
      <formula>0</formula>
    </cfRule>
  </conditionalFormatting>
  <conditionalFormatting sqref="L13">
    <cfRule type="expression" dxfId="5" priority="5">
      <formula>IF(L13&gt;E13,TRUE,FALSE)</formula>
    </cfRule>
    <cfRule type="expression" dxfId="4" priority="6">
      <formula>IF(L13&lt;E13,TRUE,FALSE)</formula>
    </cfRule>
  </conditionalFormatting>
  <conditionalFormatting sqref="L28">
    <cfRule type="cellIs" dxfId="3" priority="7" operator="greaterThan">
      <formula>0</formula>
    </cfRule>
  </conditionalFormatting>
  <conditionalFormatting sqref="N13:N2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3:O27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3:Q27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8">
    <cfRule type="cellIs" dxfId="2" priority="11" operator="greaterThan">
      <formula>0</formula>
    </cfRule>
  </conditionalFormatting>
  <conditionalFormatting sqref="S13:S29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25" right="0.25" top="0.75" bottom="0.75" header="0" footer="0"/>
  <pageSetup paperSize="9" orientation="landscape"/>
  <headerFooter>
    <oddHeader>&amp;RBaleinev 2015</oddHeader>
    <oddFooter>&amp;L&amp;F&amp;R&amp;D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3" customWidth="1"/>
    <col min="2" max="2" width="35" customWidth="1"/>
    <col min="3" max="3" width="12.1640625" customWidth="1"/>
    <col min="4" max="4" width="18" customWidth="1"/>
    <col min="5" max="5" width="15.5" customWidth="1"/>
    <col min="6" max="6" width="9.1640625" customWidth="1"/>
    <col min="7" max="7" width="16.6640625" customWidth="1"/>
    <col min="8" max="8" width="17.5" customWidth="1"/>
    <col min="9" max="9" width="27.6640625" customWidth="1"/>
    <col min="10" max="10" width="14.6640625" customWidth="1"/>
    <col min="11" max="11" width="16.6640625" customWidth="1"/>
    <col min="12" max="12" width="16.5" customWidth="1"/>
    <col min="13" max="25" width="9" customWidth="1"/>
  </cols>
  <sheetData>
    <row r="1" spans="1:26" ht="22" x14ac:dyDescent="0.25">
      <c r="A1" s="360" t="s">
        <v>213</v>
      </c>
      <c r="B1" s="361"/>
      <c r="C1" s="361"/>
      <c r="D1" s="361"/>
      <c r="E1" s="362"/>
      <c r="F1" s="4"/>
      <c r="G1" s="4"/>
      <c r="H1" s="4"/>
      <c r="I1" s="4"/>
      <c r="J1" s="147"/>
      <c r="K1" s="14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147"/>
      <c r="K2" s="14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147"/>
      <c r="K3" s="14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 t="s">
        <v>214</v>
      </c>
      <c r="J4" s="147" t="s">
        <v>215</v>
      </c>
      <c r="K4" s="154" t="s">
        <v>216</v>
      </c>
      <c r="L4" s="155" t="s">
        <v>217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157" t="s">
        <v>7</v>
      </c>
      <c r="C5" s="158"/>
      <c r="D5" s="159"/>
      <c r="E5" s="160" t="s">
        <v>5</v>
      </c>
      <c r="F5" s="4"/>
      <c r="G5" s="4"/>
      <c r="H5" s="4"/>
      <c r="I5" s="4" t="s">
        <v>219</v>
      </c>
      <c r="J5" s="147">
        <v>2.58</v>
      </c>
      <c r="K5" s="148">
        <v>800</v>
      </c>
      <c r="L5" s="4">
        <f t="shared" ref="L5:L11" si="0">K5*J5</f>
        <v>2064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162" t="s">
        <v>220</v>
      </c>
      <c r="C6" s="163"/>
      <c r="D6" s="164"/>
      <c r="E6" s="165">
        <v>50</v>
      </c>
      <c r="F6" s="4"/>
      <c r="G6" s="4"/>
      <c r="H6" s="4"/>
      <c r="I6" s="4" t="s">
        <v>221</v>
      </c>
      <c r="J6" s="147">
        <v>2</v>
      </c>
      <c r="K6" s="148">
        <v>800</v>
      </c>
      <c r="L6" s="4">
        <f t="shared" si="0"/>
        <v>1600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166" t="s">
        <v>222</v>
      </c>
      <c r="C7" s="167"/>
      <c r="D7" s="168"/>
      <c r="E7" s="169">
        <v>995</v>
      </c>
      <c r="F7" s="4"/>
      <c r="G7" s="4"/>
      <c r="H7" s="4"/>
      <c r="I7" s="4" t="s">
        <v>223</v>
      </c>
      <c r="J7" s="147">
        <v>0.02</v>
      </c>
      <c r="K7" s="148">
        <v>30000</v>
      </c>
      <c r="L7" s="4">
        <f t="shared" si="0"/>
        <v>600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166" t="s">
        <v>224</v>
      </c>
      <c r="C8" s="170"/>
      <c r="D8" s="168"/>
      <c r="E8" s="169">
        <v>400</v>
      </c>
      <c r="F8" s="4"/>
      <c r="G8" s="4"/>
      <c r="H8" s="4"/>
      <c r="I8" s="4" t="s">
        <v>225</v>
      </c>
      <c r="J8" s="147">
        <v>100</v>
      </c>
      <c r="K8" s="148">
        <v>1</v>
      </c>
      <c r="L8" s="4">
        <f t="shared" si="0"/>
        <v>100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171" t="s">
        <v>226</v>
      </c>
      <c r="C9" s="163"/>
      <c r="D9" s="172"/>
      <c r="E9" s="165">
        <v>300</v>
      </c>
      <c r="F9" s="4"/>
      <c r="G9" s="4"/>
      <c r="H9" s="4"/>
      <c r="I9" s="4" t="s">
        <v>227</v>
      </c>
      <c r="J9" s="147">
        <v>0.05</v>
      </c>
      <c r="K9" s="148">
        <v>800</v>
      </c>
      <c r="L9" s="4">
        <f t="shared" si="0"/>
        <v>40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171" t="s">
        <v>228</v>
      </c>
      <c r="C10" s="163"/>
      <c r="D10" s="172"/>
      <c r="E10" s="165">
        <v>400</v>
      </c>
      <c r="F10" s="4"/>
      <c r="G10" s="4"/>
      <c r="H10" s="4"/>
      <c r="I10" s="4" t="s">
        <v>229</v>
      </c>
      <c r="J10" s="147">
        <v>1.1000000000000001</v>
      </c>
      <c r="K10" s="148">
        <v>800</v>
      </c>
      <c r="L10" s="4">
        <f t="shared" si="0"/>
        <v>880.00000000000011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171" t="s">
        <v>230</v>
      </c>
      <c r="C11" s="163"/>
      <c r="D11" s="172"/>
      <c r="E11" s="165">
        <v>3600</v>
      </c>
      <c r="F11" s="4" t="s">
        <v>231</v>
      </c>
      <c r="G11" s="4"/>
      <c r="H11" s="4"/>
      <c r="I11" s="4" t="s">
        <v>232</v>
      </c>
      <c r="J11" s="147">
        <v>130</v>
      </c>
      <c r="K11" s="148">
        <v>1</v>
      </c>
      <c r="L11" s="4">
        <f t="shared" si="0"/>
        <v>130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171" t="s">
        <v>233</v>
      </c>
      <c r="C12" s="163"/>
      <c r="D12" s="172"/>
      <c r="E12" s="165">
        <v>150</v>
      </c>
      <c r="F12" s="4"/>
      <c r="G12" s="4"/>
      <c r="H12" s="4"/>
      <c r="I12" s="4"/>
      <c r="J12" s="147"/>
      <c r="K12" s="1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61"/>
      <c r="B13" s="171" t="s">
        <v>234</v>
      </c>
      <c r="C13" s="163"/>
      <c r="D13" s="172"/>
      <c r="E13" s="165">
        <v>85</v>
      </c>
      <c r="F13" s="4"/>
      <c r="G13" s="4"/>
      <c r="H13" s="4"/>
      <c r="I13" s="4"/>
      <c r="J13" s="147"/>
      <c r="K13" s="1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73"/>
      <c r="B14" s="174" t="s">
        <v>235</v>
      </c>
      <c r="C14" s="175"/>
      <c r="D14" s="176"/>
      <c r="E14" s="177">
        <v>40</v>
      </c>
      <c r="F14" s="4"/>
      <c r="G14" s="4"/>
      <c r="H14" s="4"/>
      <c r="I14" s="4"/>
      <c r="J14" s="147"/>
      <c r="K14" s="1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78" t="s">
        <v>16</v>
      </c>
      <c r="B15" s="179"/>
      <c r="C15" s="180"/>
      <c r="D15" s="181"/>
      <c r="E15" s="182">
        <f>SUM(E6:E14)</f>
        <v>6020</v>
      </c>
      <c r="F15" s="4"/>
      <c r="G15" s="4"/>
      <c r="H15" s="4"/>
      <c r="I15" s="4"/>
      <c r="J15" s="147"/>
      <c r="K15" s="1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83" t="s">
        <v>206</v>
      </c>
      <c r="B16" s="184"/>
      <c r="C16" s="185"/>
      <c r="D16" s="184"/>
      <c r="E16" s="186"/>
      <c r="F16" s="4"/>
      <c r="G16" s="4"/>
      <c r="H16" s="4"/>
      <c r="I16" s="4"/>
      <c r="J16" s="147"/>
      <c r="K16" s="1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56" t="s">
        <v>218</v>
      </c>
      <c r="B17" s="157" t="s">
        <v>7</v>
      </c>
      <c r="C17" s="158"/>
      <c r="D17" s="159"/>
      <c r="E17" s="160" t="s">
        <v>5</v>
      </c>
      <c r="F17" s="4"/>
      <c r="G17" s="4"/>
      <c r="H17" s="4"/>
      <c r="I17" s="4"/>
      <c r="J17" s="147"/>
      <c r="K17" s="1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4" t="s">
        <v>236</v>
      </c>
      <c r="C18" s="149"/>
      <c r="D18" s="4"/>
      <c r="E18" s="187">
        <v>800</v>
      </c>
      <c r="F18" s="4"/>
      <c r="G18" s="4"/>
      <c r="H18" s="4"/>
      <c r="I18" s="4"/>
      <c r="J18" s="147"/>
      <c r="K18" s="1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188"/>
      <c r="C19" s="189"/>
      <c r="D19" s="190"/>
      <c r="E19" s="187"/>
      <c r="F19" s="4"/>
      <c r="G19" s="4"/>
      <c r="H19" s="4"/>
      <c r="I19" s="4"/>
      <c r="J19" s="147"/>
      <c r="K19" s="1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188"/>
      <c r="C20" s="189"/>
      <c r="D20" s="190"/>
      <c r="E20" s="187"/>
      <c r="F20" s="4"/>
      <c r="G20" s="4"/>
      <c r="H20" s="4"/>
      <c r="I20" s="4"/>
      <c r="J20" s="147"/>
      <c r="K20" s="1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188"/>
      <c r="C21" s="189"/>
      <c r="D21" s="190"/>
      <c r="E21" s="187"/>
      <c r="F21" s="4"/>
      <c r="G21" s="4"/>
      <c r="H21" s="4"/>
      <c r="I21" s="4"/>
      <c r="J21" s="147"/>
      <c r="K21" s="14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61"/>
      <c r="B22" s="188"/>
      <c r="C22" s="189"/>
      <c r="D22" s="190"/>
      <c r="E22" s="187"/>
      <c r="F22" s="4"/>
      <c r="G22" s="4"/>
      <c r="H22" s="4"/>
      <c r="I22" s="4"/>
      <c r="J22" s="147"/>
      <c r="K22" s="148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61"/>
      <c r="B23" s="188"/>
      <c r="C23" s="189"/>
      <c r="D23" s="190"/>
      <c r="E23" s="187"/>
      <c r="F23" s="4"/>
      <c r="G23" s="4"/>
      <c r="H23" s="4"/>
      <c r="I23" s="4"/>
      <c r="J23" s="147"/>
      <c r="K23" s="148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61"/>
      <c r="B24" s="188"/>
      <c r="C24" s="189"/>
      <c r="D24" s="190"/>
      <c r="E24" s="187"/>
      <c r="F24" s="4"/>
      <c r="G24" s="4"/>
      <c r="H24" s="4"/>
      <c r="I24" s="4"/>
      <c r="J24" s="147"/>
      <c r="K24" s="148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78" t="s">
        <v>16</v>
      </c>
      <c r="B25" s="179"/>
      <c r="C25" s="180"/>
      <c r="D25" s="181"/>
      <c r="E25" s="182">
        <f>SUM(E18:E24)</f>
        <v>800</v>
      </c>
      <c r="F25" s="55"/>
      <c r="G25" s="55"/>
      <c r="H25" s="55"/>
      <c r="I25" s="55"/>
      <c r="J25" s="191"/>
      <c r="K25" s="192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4"/>
    </row>
    <row r="26" spans="1:26" ht="16.5" customHeight="1" x14ac:dyDescent="0.2">
      <c r="A26" s="51"/>
      <c r="B26" s="4"/>
      <c r="C26" s="149"/>
      <c r="D26" s="4"/>
      <c r="E26" s="7"/>
      <c r="F26" s="4"/>
      <c r="G26" s="4"/>
      <c r="H26" s="4"/>
      <c r="I26" s="4"/>
      <c r="J26" s="147"/>
      <c r="K26" s="148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377" t="s">
        <v>204</v>
      </c>
      <c r="B27" s="375"/>
      <c r="C27" s="375"/>
      <c r="D27" s="375"/>
      <c r="E27" s="376"/>
      <c r="F27" s="4"/>
      <c r="G27" s="4"/>
      <c r="H27" s="4"/>
      <c r="I27" s="4"/>
      <c r="J27" s="147"/>
      <c r="K27" s="14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93" t="s">
        <v>205</v>
      </c>
      <c r="B28" s="194"/>
      <c r="C28" s="195"/>
      <c r="D28" s="194"/>
      <c r="E28" s="196"/>
      <c r="F28" s="4"/>
      <c r="G28" s="4"/>
      <c r="H28" s="4"/>
      <c r="I28" s="4"/>
      <c r="J28" s="147"/>
      <c r="K28" s="14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156" t="s">
        <v>3</v>
      </c>
      <c r="B29" s="197" t="s">
        <v>7</v>
      </c>
      <c r="C29" s="198" t="s">
        <v>4</v>
      </c>
      <c r="D29" s="199" t="s">
        <v>6</v>
      </c>
      <c r="E29" s="160" t="s">
        <v>5</v>
      </c>
      <c r="F29" s="4"/>
      <c r="G29" s="4"/>
      <c r="H29" s="4"/>
      <c r="I29" s="4"/>
      <c r="J29" s="147"/>
      <c r="K29" s="148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>
        <f>IF(ISNA(VLOOKUP($A$1&amp;" / "&amp;$A$28,JOURNAL!$B$5:$I$1115,2,0)),"",VLOOKUP($A$1&amp;" / "&amp;$A$28,JOURNAL!$B$5:$I$1115,2,0))</f>
        <v>29</v>
      </c>
      <c r="B30" s="201" t="str">
        <f>IF($A30="","",VLOOKUP($A30,JOURNAL!$C$5:$I$1115,5,0))</f>
        <v>Frais périodiques</v>
      </c>
      <c r="C30" s="202">
        <f>IF($A30="","",VLOOKUP($A30,JOURNAL!$C$5:$I$1115,2,0))</f>
        <v>45930</v>
      </c>
      <c r="D30" s="201" t="str">
        <f>IF($A30="","",VLOOKUP($A30,JOURNAL!$C$5:$I$1115,4,0))</f>
        <v>BCV</v>
      </c>
      <c r="E30" s="187">
        <f>IF($A30="","",VLOOKUP($A30,JOURNAL!$C$5:$I$1115,3,0))</f>
        <v>25.2</v>
      </c>
      <c r="F30" s="4"/>
      <c r="G30" s="4"/>
      <c r="H30" s="4"/>
      <c r="I30" s="4"/>
      <c r="J30" s="147"/>
      <c r="K30" s="148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>
        <f t="shared" ref="A31:A37" ca="1" si="1">IF(A30="","",IF(ISNA(VLOOKUP($A$1&amp;" / "&amp;$A$28,INDIRECT(ADDRESS(A30+5,2,1,,"JOURNAL")&amp;":G500"),2,0)),"",VLOOKUP($A$1&amp;" / "&amp;$A$28,INDIRECT(ADDRESS(A30+5,2,1,,"JOURNAL")&amp;":G500"),2,0)))</f>
        <v>30</v>
      </c>
      <c r="B31" s="201" t="str">
        <f ca="1">IF($A31="","",VLOOKUP($A31,JOURNAL!$C$5:$I$1115,5,0))</f>
        <v>SG : Pizza</v>
      </c>
      <c r="C31" s="202">
        <f ca="1">IF($A31="","",VLOOKUP($A31,JOURNAL!$C$5:$I$1115,2,0))</f>
        <v>45932</v>
      </c>
      <c r="D31" s="201" t="str">
        <f ca="1">IF($A31="","",VLOOKUP($A31,JOURNAL!$C$5:$I$1115,4,0))</f>
        <v>Le Csarda</v>
      </c>
      <c r="E31" s="187">
        <f ca="1">IF($A31="","",VLOOKUP($A31,JOURNAL!$C$5:$I$1115,3,0))</f>
        <v>120</v>
      </c>
      <c r="F31" s="4"/>
      <c r="G31" s="4"/>
      <c r="H31" s="4"/>
      <c r="I31" s="4"/>
      <c r="J31" s="147"/>
      <c r="K31" s="148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>
        <f t="shared" ca="1" si="1"/>
        <v>32</v>
      </c>
      <c r="B32" s="201" t="str">
        <f ca="1">IF($A32="","",VLOOKUP($A32,JOURNAL!$C$5:$I$1115,5,0))</f>
        <v>Renouvellement Infomaniak</v>
      </c>
      <c r="C32" s="202">
        <f ca="1">IF($A32="","",VLOOKUP($A32,JOURNAL!$C$5:$I$1115,2,0))</f>
        <v>45957</v>
      </c>
      <c r="D32" s="201" t="str">
        <f ca="1">IF($A32="","",VLOOKUP($A32,JOURNAL!$C$5:$I$1115,4,0))</f>
        <v>Maxime Magnenat</v>
      </c>
      <c r="E32" s="187">
        <f ca="1">IF($A32="","",VLOOKUP($A32,JOURNAL!$C$5:$I$1115,3,0))</f>
        <v>36.75</v>
      </c>
      <c r="F32" s="4"/>
      <c r="G32" s="4"/>
      <c r="H32" s="4"/>
      <c r="I32" s="4"/>
      <c r="J32" s="147"/>
      <c r="K32" s="148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>
        <f t="shared" ca="1" si="1"/>
        <v>35</v>
      </c>
      <c r="B33" s="201" t="str">
        <f ca="1">IF($A33="","",VLOOKUP($A33,JOURNAL!$C$5:$I$1115,5,0))</f>
        <v>A COMPLETER</v>
      </c>
      <c r="C33" s="202">
        <f ca="1">IF($A33="","",VLOOKUP($A33,JOURNAL!$C$5:$I$1115,2,0))</f>
        <v>45933</v>
      </c>
      <c r="D33" s="203" t="str">
        <f ca="1">IF($A33="","",VLOOKUP($A33,JOURNAL!$C$5:$I$1115,4,0))</f>
        <v>Landi</v>
      </c>
      <c r="E33" s="187">
        <f ca="1">IF($A33="","",VLOOKUP($A33,JOURNAL!$C$5:$I$1115,3,0))</f>
        <v>172.6</v>
      </c>
      <c r="F33" s="4"/>
      <c r="G33" s="4"/>
      <c r="H33" s="4"/>
      <c r="I33" s="4"/>
      <c r="J33" s="147"/>
      <c r="K33" s="148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>
        <f t="shared" ca="1" si="1"/>
        <v>42</v>
      </c>
      <c r="B34" s="201" t="str">
        <f ca="1">IF($A34="","",VLOOKUP($A34,JOURNAL!$C$5:$I$1115,5,0))</f>
        <v>Achat nouvelle cuisine</v>
      </c>
      <c r="C34" s="202">
        <f ca="1">IF($A34="","",VLOOKUP($A34,JOURNAL!$C$5:$I$1115,2,0))</f>
        <v>45952</v>
      </c>
      <c r="D34" s="201" t="str">
        <f ca="1">IF($A34="","",VLOOKUP($A34,JOURNAL!$C$5:$I$1115,4,0))</f>
        <v>Patrick Magnenat</v>
      </c>
      <c r="E34" s="187">
        <f ca="1">IF($A34="","",VLOOKUP($A34,JOURNAL!$C$5:$I$1115,3,0))</f>
        <v>2977.65</v>
      </c>
      <c r="F34" s="4"/>
      <c r="G34" s="4"/>
      <c r="H34" s="4"/>
      <c r="I34" s="4"/>
      <c r="J34" s="147"/>
      <c r="K34" s="148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>
        <f t="shared" ca="1" si="1"/>
        <v>52</v>
      </c>
      <c r="B35" s="201" t="str">
        <f ca="1">IF($A35="","",VLOOKUP($A35,JOURNAL!$C$5:$I$1115,5,0))</f>
        <v>Correction après comptage caisse</v>
      </c>
      <c r="C35" s="202">
        <f ca="1">IF($A35="","",VLOOKUP($A35,JOURNAL!$C$5:$I$1115,2,0))</f>
        <v>45925</v>
      </c>
      <c r="D35" s="203" t="str">
        <f ca="1">IF($A35="","",VLOOKUP($A35,JOURNAL!$C$5:$I$1115,4,0))</f>
        <v>BLV</v>
      </c>
      <c r="E35" s="187">
        <f ca="1">IF($A35="","",VLOOKUP($A35,JOURNAL!$C$5:$I$1115,3,0))</f>
        <v>591.4</v>
      </c>
      <c r="F35" s="4"/>
      <c r="G35" s="4"/>
      <c r="H35" s="4"/>
      <c r="I35" s="4"/>
      <c r="J35" s="147"/>
      <c r="K35" s="148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>
        <f t="shared" ca="1" si="1"/>
        <v>54</v>
      </c>
      <c r="B36" s="201" t="str">
        <f ca="1">IF($A36="","",VLOOKUP($A36,JOURNAL!$C$5:$I$1115,5,0))</f>
        <v>note de frais</v>
      </c>
      <c r="C36" s="202">
        <f ca="1">IF($A36="","",VLOOKUP($A36,JOURNAL!$C$5:$I$1115,2,0))</f>
        <v>45957</v>
      </c>
      <c r="D36" s="201" t="str">
        <f ca="1">IF($A36="","",VLOOKUP($A36,JOURNAL!$C$5:$I$1115,4,0))</f>
        <v>Maxime Magnenat</v>
      </c>
      <c r="E36" s="187">
        <f ca="1">IF($A36="","",VLOOKUP($A36,JOURNAL!$C$5:$I$1115,3,0))</f>
        <v>26.85</v>
      </c>
      <c r="F36" s="4"/>
      <c r="G36" s="4"/>
      <c r="H36" s="4"/>
      <c r="I36" s="4"/>
      <c r="J36" s="147"/>
      <c r="K36" s="148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>
        <f t="shared" ca="1" si="1"/>
        <v>55</v>
      </c>
      <c r="B37" s="201" t="str">
        <f ca="1">IF($A37="","",VLOOKUP($A37,JOURNAL!$C$5:$I$1115,5,0))</f>
        <v>note de frais</v>
      </c>
      <c r="C37" s="202">
        <f ca="1">IF($A37="","",VLOOKUP($A37,JOURNAL!$C$5:$I$1115,2,0))</f>
        <v>45957</v>
      </c>
      <c r="D37" s="201" t="str">
        <f ca="1">IF($A37="","",VLOOKUP($A37,JOURNAL!$C$5:$I$1115,4,0))</f>
        <v>Manuel Cabras</v>
      </c>
      <c r="E37" s="187">
        <f ca="1">IF($A37="","",VLOOKUP($A37,JOURNAL!$C$5:$I$1115,3,0))</f>
        <v>210</v>
      </c>
      <c r="F37" s="55"/>
      <c r="G37" s="55"/>
      <c r="H37" s="55"/>
      <c r="I37" s="55"/>
      <c r="J37" s="191"/>
      <c r="K37" s="192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4"/>
    </row>
    <row r="38" spans="1:26" ht="16.5" customHeight="1" x14ac:dyDescent="0.2">
      <c r="A38" s="200">
        <f t="shared" ref="A38:A51" ca="1" si="2">IF(A37="","",IF(ISNA(VLOOKUP($A$1&amp;" / "&amp;$A$28,INDIRECT(ADDRESS(A37+5,2,1,,"JOURNAL")&amp;":G700"),2,0)),"",VLOOKUP($A$1&amp;" / "&amp;$A$28,INDIRECT(ADDRESS(A37+5,2,1,,"JOURNAL")&amp;":G700"),2,0)))</f>
        <v>57</v>
      </c>
      <c r="B38" s="201" t="str">
        <f ca="1">IF($A38="","",VLOOKUP($A38,JOURNAL!$C$5:$I$1115,5,0))</f>
        <v>note de frais</v>
      </c>
      <c r="C38" s="202">
        <f ca="1">IF($A38="","",VLOOKUP($A38,JOURNAL!$C$5:$I$1115,2,0))</f>
        <v>45961</v>
      </c>
      <c r="D38" s="201" t="str">
        <f ca="1">IF($A38="","",VLOOKUP($A38,JOURNAL!$C$5:$I$1115,4,0))</f>
        <v>Manuel Cabras</v>
      </c>
      <c r="E38" s="187">
        <f ca="1">IF($A38="","",VLOOKUP($A38,JOURNAL!$C$5:$I$1115,3,0))</f>
        <v>107.6</v>
      </c>
      <c r="F38" s="4"/>
      <c r="G38" s="4"/>
      <c r="H38" s="4"/>
      <c r="I38" s="4"/>
      <c r="J38" s="147"/>
      <c r="K38" s="148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>
        <f t="shared" ca="1" si="2"/>
        <v>64</v>
      </c>
      <c r="B39" s="201" t="str">
        <f ca="1">IF($A39="","",VLOOKUP($A39,JOURNAL!$C$5:$I$1115,5,0))</f>
        <v>Dépôt chalet Baleiski</v>
      </c>
      <c r="C39" s="202">
        <f ca="1">IF($A39="","",VLOOKUP($A39,JOURNAL!$C$5:$I$1115,2,0))</f>
        <v>45972</v>
      </c>
      <c r="D39" s="201" t="str">
        <f ca="1">IF($A39="","",VLOOKUP($A39,JOURNAL!$C$5:$I$1115,4,0))</f>
        <v>Entente intercomm. Crissier</v>
      </c>
      <c r="E39" s="187">
        <f ca="1">IF($A39="","",VLOOKUP($A39,JOURNAL!$C$5:$I$1115,3,0))</f>
        <v>650</v>
      </c>
      <c r="F39" s="4"/>
      <c r="G39" s="4"/>
      <c r="H39" s="4"/>
      <c r="I39" s="4"/>
      <c r="J39" s="147"/>
      <c r="K39" s="148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>
        <f t="shared" ca="1" si="2"/>
        <v>71</v>
      </c>
      <c r="B40" s="201" t="str">
        <f ca="1">IF($A40="","",VLOOKUP($A40,JOURNAL!$C$5:$I$1115,5,0))</f>
        <v>note de frais</v>
      </c>
      <c r="C40" s="202">
        <f ca="1">IF($A40="","",VLOOKUP($A40,JOURNAL!$C$5:$I$1115,2,0))</f>
        <v>45978</v>
      </c>
      <c r="D40" s="201" t="str">
        <f ca="1">IF($A40="","",VLOOKUP($A40,JOURNAL!$C$5:$I$1115,4,0))</f>
        <v>Gilles Rothermund</v>
      </c>
      <c r="E40" s="187">
        <f ca="1">IF($A40="","",VLOOKUP($A40,JOURNAL!$C$5:$I$1115,3,0))</f>
        <v>51.5</v>
      </c>
      <c r="F40" s="4"/>
      <c r="G40" s="4"/>
      <c r="H40" s="4"/>
      <c r="I40" s="4"/>
      <c r="J40" s="147"/>
      <c r="K40" s="148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>
        <f t="shared" ca="1" si="2"/>
        <v>72</v>
      </c>
      <c r="B41" s="201" t="str">
        <f ca="1">IF($A41="","",VLOOKUP($A41,JOURNAL!$C$5:$I$1115,5,0))</f>
        <v>note de frais</v>
      </c>
      <c r="C41" s="202">
        <f ca="1">IF($A41="","",VLOOKUP($A41,JOURNAL!$C$5:$I$1115,2,0))</f>
        <v>45978</v>
      </c>
      <c r="D41" s="201" t="str">
        <f ca="1">IF($A41="","",VLOOKUP($A41,JOURNAL!$C$5:$I$1115,4,0))</f>
        <v>Sarah Mallet</v>
      </c>
      <c r="E41" s="187">
        <f ca="1">IF($A41="","",VLOOKUP($A41,JOURNAL!$C$5:$I$1115,3,0))</f>
        <v>45</v>
      </c>
      <c r="F41" s="4"/>
      <c r="G41" s="4"/>
      <c r="H41" s="4"/>
      <c r="I41" s="4"/>
      <c r="J41" s="147"/>
      <c r="K41" s="148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>
        <f t="shared" ca="1" si="2"/>
        <v>76</v>
      </c>
      <c r="B42" s="201">
        <f ca="1">IF($A42="","",VLOOKUP($A42,JOURNAL!$C$5:$I$1115,5,0))</f>
        <v>0</v>
      </c>
      <c r="C42" s="202">
        <f ca="1">IF($A42="","",VLOOKUP($A42,JOURNAL!$C$5:$I$1115,2,0))</f>
        <v>45982</v>
      </c>
      <c r="D42" s="201" t="str">
        <f ca="1">IF($A42="","",VLOOKUP($A42,JOURNAL!$C$5:$I$1115,4,0))</f>
        <v>PMT CARTE Landi Nord vaudois V</v>
      </c>
      <c r="E42" s="187">
        <f ca="1">IF($A42="","",VLOOKUP($A42,JOURNAL!$C$5:$I$1115,3,0))</f>
        <v>33.5</v>
      </c>
      <c r="F42" s="4"/>
      <c r="G42" s="4"/>
      <c r="H42" s="4"/>
      <c r="I42" s="4"/>
      <c r="J42" s="147"/>
      <c r="K42" s="148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>
        <f t="shared" ca="1" si="2"/>
        <v>78</v>
      </c>
      <c r="B43" s="201">
        <f ca="1">IF($A43="","",VLOOKUP($A43,JOURNAL!$C$5:$I$1115,5,0))</f>
        <v>0</v>
      </c>
      <c r="C43" s="202">
        <f ca="1">IF($A43="","",VLOOKUP($A43,JOURNAL!$C$5:$I$1115,2,0))</f>
        <v>45983</v>
      </c>
      <c r="D43" s="201" t="str">
        <f ca="1">IF($A43="","",VLOOKUP($A43,JOURNAL!$C$5:$I$1115,4,0))</f>
        <v>PMT CARTE Lidl Yverdon</v>
      </c>
      <c r="E43" s="187">
        <f ca="1">IF($A43="","",VLOOKUP($A43,JOURNAL!$C$5:$I$1115,3,0))</f>
        <v>46.1</v>
      </c>
      <c r="F43" s="4"/>
      <c r="G43" s="4"/>
      <c r="H43" s="4"/>
      <c r="I43" s="4"/>
      <c r="J43" s="147"/>
      <c r="K43" s="148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>
        <f t="shared" ca="1" si="2"/>
        <v>85</v>
      </c>
      <c r="B44" s="201">
        <f ca="1">IF($A44="","",VLOOKUP($A44,JOURNAL!$C$5:$I$1115,5,0))</f>
        <v>0</v>
      </c>
      <c r="C44" s="202">
        <f ca="1">IF($A44="","",VLOOKUP($A44,JOURNAL!$C$5:$I$1115,2,0))</f>
        <v>45987</v>
      </c>
      <c r="D44" s="201" t="str">
        <f ca="1">IF($A44="","",VLOOKUP($A44,JOURNAL!$C$5:$I$1115,4,0))</f>
        <v>Lucas Charbonnier</v>
      </c>
      <c r="E44" s="187">
        <f ca="1">IF($A44="","",VLOOKUP($A44,JOURNAL!$C$5:$I$1115,3,0))</f>
        <v>168</v>
      </c>
      <c r="F44" s="4"/>
      <c r="G44" s="4"/>
      <c r="H44" s="4"/>
      <c r="I44" s="4"/>
      <c r="J44" s="147"/>
      <c r="K44" s="148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>
        <f t="shared" ca="1" si="2"/>
        <v>86</v>
      </c>
      <c r="B45" s="201" t="str">
        <f ca="1">IF($A45="","",VLOOKUP($A45,JOURNAL!$C$5:$I$1115,5,0))</f>
        <v>???</v>
      </c>
      <c r="C45" s="202">
        <f ca="1">IF($A45="","",VLOOKUP($A45,JOURNAL!$C$5:$I$1115,2,0))</f>
        <v>45987</v>
      </c>
      <c r="D45" s="201" t="str">
        <f ca="1">IF($A45="","",VLOOKUP($A45,JOURNAL!$C$5:$I$1115,4,0))</f>
        <v>Fino Resto SA</v>
      </c>
      <c r="E45" s="187">
        <f ca="1">IF($A45="","",VLOOKUP($A45,JOURNAL!$C$5:$I$1115,3,0))</f>
        <v>40.200000000000003</v>
      </c>
      <c r="F45" s="4"/>
      <c r="G45" s="4"/>
      <c r="H45" s="4"/>
      <c r="I45" s="4"/>
      <c r="J45" s="147"/>
      <c r="K45" s="148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200">
        <f t="shared" ca="1" si="2"/>
        <v>92</v>
      </c>
      <c r="B46" s="201">
        <f ca="1">IF($A46="","",VLOOKUP($A46,JOURNAL!$C$5:$I$1115,5,0))</f>
        <v>0</v>
      </c>
      <c r="C46" s="202">
        <f ca="1">IF($A46="","",VLOOKUP($A46,JOURNAL!$C$5:$I$1115,2,0))</f>
        <v>45989</v>
      </c>
      <c r="D46" s="201" t="str">
        <f ca="1">IF($A46="","",VLOOKUP($A46,JOURNAL!$C$5:$I$1115,4,0))</f>
        <v>PMT CARTE Landi Nord vaudois V</v>
      </c>
      <c r="E46" s="187">
        <f ca="1">IF($A46="","",VLOOKUP($A46,JOURNAL!$C$5:$I$1115,3,0))</f>
        <v>14.05</v>
      </c>
      <c r="F46" s="4"/>
      <c r="G46" s="4"/>
      <c r="H46" s="4"/>
      <c r="I46" s="4"/>
      <c r="J46" s="147"/>
      <c r="K46" s="148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200">
        <f t="shared" ca="1" si="2"/>
        <v>95</v>
      </c>
      <c r="B47" s="201" t="str">
        <f ca="1">IF($A47="","",VLOOKUP($A47,JOURNAL!$C$5:$I$1115,5,0))</f>
        <v>note de frais</v>
      </c>
      <c r="C47" s="202">
        <f ca="1">IF($A47="","",VLOOKUP($A47,JOURNAL!$C$5:$I$1115,2,0))</f>
        <v>45992</v>
      </c>
      <c r="D47" s="201" t="str">
        <f ca="1">IF($A47="","",VLOOKUP($A47,JOURNAL!$C$5:$I$1115,4,0))</f>
        <v>Maxime Magnenat</v>
      </c>
      <c r="E47" s="187">
        <f ca="1">IF($A47="","",VLOOKUP($A47,JOURNAL!$C$5:$I$1115,3,0))</f>
        <v>370</v>
      </c>
      <c r="F47" s="4"/>
      <c r="G47" s="4"/>
      <c r="H47" s="4"/>
      <c r="I47" s="4"/>
      <c r="J47" s="147"/>
      <c r="K47" s="148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200">
        <f t="shared" ca="1" si="2"/>
        <v>100</v>
      </c>
      <c r="B48" s="201">
        <f ca="1">IF($A48="","",VLOOKUP($A48,JOURNAL!$C$5:$I$1115,5,0))</f>
        <v>0</v>
      </c>
      <c r="C48" s="202">
        <f ca="1">IF($A48="","",VLOOKUP($A48,JOURNAL!$C$5:$I$1115,2,0))</f>
        <v>45993</v>
      </c>
      <c r="D48" s="201" t="str">
        <f ca="1">IF($A48="","",VLOOKUP($A48,JOURNAL!$C$5:$I$1115,4,0))</f>
        <v>Maxime : PIZZAS SG 3</v>
      </c>
      <c r="E48" s="187">
        <f ca="1">IF($A48="","",VLOOKUP($A48,JOURNAL!$C$5:$I$1115,3,0))</f>
        <v>72</v>
      </c>
      <c r="F48" s="4"/>
      <c r="G48" s="4"/>
      <c r="H48" s="4"/>
      <c r="I48" s="4"/>
      <c r="J48" s="147"/>
      <c r="K48" s="148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>
        <f t="shared" ca="1" si="2"/>
        <v>138</v>
      </c>
      <c r="B49" s="201">
        <f ca="1">IF($A49="","",VLOOKUP($A49,JOURNAL!$C$5:$I$1115,5,0))</f>
        <v>0</v>
      </c>
      <c r="C49" s="202">
        <f ca="1">IF($A49="","",VLOOKUP($A49,JOURNAL!$C$5:$I$1115,2,0))</f>
        <v>46010</v>
      </c>
      <c r="D49" s="201" t="str">
        <f ca="1">IF($A49="","",VLOOKUP($A49,JOURNAL!$C$5:$I$1115,4,0))</f>
        <v>Sarah : CADEAU AIDE CUISINE</v>
      </c>
      <c r="E49" s="187">
        <f ca="1">IF($A49="","",VLOOKUP($A49,JOURNAL!$C$5:$I$1115,3,0))</f>
        <v>73</v>
      </c>
      <c r="F49" s="4"/>
      <c r="G49" s="4"/>
      <c r="H49" s="4"/>
      <c r="I49" s="4"/>
      <c r="J49" s="147"/>
      <c r="K49" s="148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>
        <f t="shared" ca="1" si="2"/>
        <v>157</v>
      </c>
      <c r="B50" s="201" t="str">
        <f ca="1">IF($A50="","",VLOOKUP($A50,JOURNAL!$C$5:$I$1115,5,0))</f>
        <v>Frais annuel</v>
      </c>
      <c r="C50" s="202">
        <f ca="1">IF($A50="","",VLOOKUP($A50,JOURNAL!$C$5:$I$1115,2,0))</f>
        <v>46022</v>
      </c>
      <c r="D50" s="201" t="str">
        <f ca="1">IF($A50="","",VLOOKUP($A50,JOURNAL!$C$5:$I$1115,4,0))</f>
        <v>BCV</v>
      </c>
      <c r="E50" s="187">
        <f ca="1">IF($A50="","",VLOOKUP($A50,JOURNAL!$C$5:$I$1115,3,0))</f>
        <v>77.3</v>
      </c>
      <c r="F50" s="4"/>
      <c r="G50" s="4"/>
      <c r="H50" s="4"/>
      <c r="I50" s="4"/>
      <c r="J50" s="147"/>
      <c r="K50" s="148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>
        <f t="shared" ca="1" si="2"/>
        <v>158</v>
      </c>
      <c r="B51" s="201">
        <f ca="1">IF($A51="","",VLOOKUP($A51,JOURNAL!$C$5:$I$1115,5,0))</f>
        <v>0</v>
      </c>
      <c r="C51" s="202">
        <f ca="1">IF($A51="","",VLOOKUP($A51,JOURNAL!$C$5:$I$1115,2,0))</f>
        <v>46030</v>
      </c>
      <c r="D51" s="201" t="str">
        <f ca="1">IF($A51="","",VLOOKUP($A51,JOURNAL!$C$5:$I$1115,4,0))</f>
        <v>PMT CARTE ARTISANPIZZA SARL</v>
      </c>
      <c r="E51" s="187">
        <f ca="1">IF($A51="","",VLOOKUP($A51,JOURNAL!$C$5:$I$1115,3,0))</f>
        <v>132</v>
      </c>
      <c r="F51" s="4"/>
      <c r="G51" s="4"/>
      <c r="H51" s="4"/>
      <c r="I51" s="4"/>
      <c r="J51" s="147"/>
      <c r="K51" s="148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>
        <f t="array" aca="1" ref="A52" ca="1">IF(A51="","",IF(ISNA(VLOOKUP($A$1&amp;" / "&amp;$A$28,INDIRECT(ADDRESS(A51+5,2,1,,"JOURNAL")&amp;":G500"),2,0)),"",VLOOKUP($A$1&amp;" / "&amp;$A$28,INDIRECT(ADDRESS(A51+5,2,1,,"JOURNAL")&amp;":G500"),2,0)))</f>
        <v>169</v>
      </c>
      <c r="B52" s="201" t="str">
        <f ca="1">IF($A52="","",VLOOKUP($A52,JOURNAL!$C$5:$I$1115,5,0))</f>
        <v>Avance caution baleiski</v>
      </c>
      <c r="C52" s="202">
        <f ca="1">IF($A52="","",VLOOKUP($A52,JOURNAL!$C$5:$I$1115,2,0))</f>
        <v>46063</v>
      </c>
      <c r="D52" s="201" t="str">
        <f ca="1">IF($A52="","",VLOOKUP($A52,JOURNAL!$C$5:$I$1115,4,0))</f>
        <v>Manuel Cabras</v>
      </c>
      <c r="E52" s="187">
        <f ca="1">IF($A52="","",VLOOKUP($A52,JOURNAL!$C$5:$I$1115,3,0))</f>
        <v>400</v>
      </c>
      <c r="F52" s="55"/>
      <c r="G52" s="55"/>
      <c r="H52" s="55"/>
      <c r="I52" s="55"/>
      <c r="J52" s="191"/>
      <c r="K52" s="192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4"/>
    </row>
    <row r="53" spans="1:26" ht="16.5" customHeight="1" x14ac:dyDescent="0.2">
      <c r="A53" s="178" t="s">
        <v>16</v>
      </c>
      <c r="B53" s="179"/>
      <c r="C53" s="180"/>
      <c r="D53" s="181"/>
      <c r="E53" s="182">
        <f ca="1">SUM(E30:E52)</f>
        <v>6440.7000000000007</v>
      </c>
      <c r="F53" s="4"/>
      <c r="G53" s="4"/>
      <c r="H53" s="4"/>
      <c r="I53" s="4"/>
      <c r="J53" s="147"/>
      <c r="K53" s="148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4" t="s">
        <v>206</v>
      </c>
      <c r="B54" s="205"/>
      <c r="C54" s="206"/>
      <c r="D54" s="205"/>
      <c r="E54" s="207"/>
      <c r="F54" s="4"/>
      <c r="G54" s="4"/>
      <c r="H54" s="4"/>
      <c r="I54" s="4"/>
      <c r="J54" s="147"/>
      <c r="K54" s="148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156" t="s">
        <v>3</v>
      </c>
      <c r="B55" s="197" t="s">
        <v>7</v>
      </c>
      <c r="C55" s="198" t="s">
        <v>4</v>
      </c>
      <c r="D55" s="199" t="s">
        <v>6</v>
      </c>
      <c r="E55" s="160" t="s">
        <v>5</v>
      </c>
      <c r="F55" s="4"/>
      <c r="G55" s="4"/>
      <c r="H55" s="4"/>
      <c r="I55" s="4"/>
      <c r="J55" s="147"/>
      <c r="K55" s="148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200">
        <f>IF(ISNA(VLOOKUP($A$1&amp;" / "&amp;$A$54,JOURNAL!$B$5:$I$1115,2,0)),"",VLOOKUP($A$1&amp;" / "&amp;$A$54,JOURNAL!$B$5:$I$1115,2,0))</f>
        <v>31</v>
      </c>
      <c r="B56" s="201" t="str">
        <f>IF($A56="","",VLOOKUP($A56,JOURNAL!$C$5:$I$1115,5,0))</f>
        <v>SG : Pizzas + boissons</v>
      </c>
      <c r="C56" s="202">
        <f>IF($A56="","",VLOOKUP($A56,JOURNAL!$C$5:$I$1115,2,0))</f>
        <v>45932</v>
      </c>
      <c r="D56" s="201" t="str">
        <f>IF($A56="","",VLOOKUP($A56,JOURNAL!$C$5:$I$1115,4,0))</f>
        <v>BLV</v>
      </c>
      <c r="E56" s="187">
        <f>IF($A56="","",VLOOKUP($A56,JOURNAL!$C$5:$I$1115,3,0))</f>
        <v>156.9</v>
      </c>
      <c r="F56" s="4"/>
      <c r="G56" s="4"/>
      <c r="H56" s="4"/>
      <c r="I56" s="4"/>
      <c r="J56" s="147"/>
      <c r="K56" s="148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200">
        <f t="shared" ref="A57:A77" ca="1" si="3">IF(A56="","",IF(ISNA(VLOOKUP($A$1&amp;" / "&amp;$A$54,INDIRECT(ADDRESS(A56+5,2,1,,"JOURNAL")&amp;":G700"),2,0)),"",VLOOKUP($A$1&amp;" / "&amp;$A$54,INDIRECT(ADDRESS(A56+5,2,1,,"JOURNAL")&amp;":G700"),2,0)))</f>
        <v>39</v>
      </c>
      <c r="B57" s="201" t="str">
        <f ca="1">IF($A57="","",VLOOKUP($A57,JOURNAL!$C$5:$I$1115,5,0))</f>
        <v>Remboursement caution GM</v>
      </c>
      <c r="C57" s="202">
        <f ca="1">IF($A57="","",VLOOKUP($A57,JOURNAL!$C$5:$I$1115,2,0))</f>
        <v>45943</v>
      </c>
      <c r="D57" s="201" t="str">
        <f ca="1">IF($A57="","",VLOOKUP($A57,JOURNAL!$C$5:$I$1115,4,0))</f>
        <v>BLV</v>
      </c>
      <c r="E57" s="187">
        <f ca="1">IF($A57="","",VLOOKUP($A57,JOURNAL!$C$5:$I$1115,3,0))</f>
        <v>192</v>
      </c>
      <c r="F57" s="4"/>
      <c r="G57" s="4"/>
      <c r="H57" s="4"/>
      <c r="I57" s="4"/>
      <c r="J57" s="147"/>
      <c r="K57" s="148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200">
        <f t="shared" ca="1" si="3"/>
        <v>41</v>
      </c>
      <c r="B58" s="201" t="str">
        <f ca="1">IF($A58="","",VLOOKUP($A58,JOURNAL!$C$5:$I$1115,5,0))</f>
        <v>Provenance : Etu'sounds</v>
      </c>
      <c r="C58" s="202">
        <f ca="1">IF($A58="","",VLOOKUP($A58,JOURNAL!$C$5:$I$1115,2,0))</f>
        <v>45951</v>
      </c>
      <c r="D58" s="201" t="str">
        <f ca="1">IF($A58="","",VLOOKUP($A58,JOURNAL!$C$5:$I$1115,4,0))</f>
        <v>BLV</v>
      </c>
      <c r="E58" s="187">
        <f ca="1">IF($A58="","",VLOOKUP($A58,JOURNAL!$C$5:$I$1115,3,0))</f>
        <v>67</v>
      </c>
      <c r="F58" s="4"/>
      <c r="G58" s="4"/>
      <c r="H58" s="4"/>
      <c r="I58" s="4"/>
      <c r="J58" s="147"/>
      <c r="K58" s="148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200">
        <f t="shared" ca="1" si="3"/>
        <v>62</v>
      </c>
      <c r="B59" s="201" t="str">
        <f ca="1">IF($A59="","",VLOOKUP($A59,JOURNAL!$C$5:$I$1115,5,0))</f>
        <v>Depôt GM cheseaux pt 2</v>
      </c>
      <c r="C59" s="202">
        <f ca="1">IF($A59="","",VLOOKUP($A59,JOURNAL!$C$5:$I$1115,2,0))</f>
        <v>45965</v>
      </c>
      <c r="D59" s="201" t="str">
        <f ca="1">IF($A59="","",VLOOKUP($A59,JOURNAL!$C$5:$I$1115,4,0))</f>
        <v>BLV</v>
      </c>
      <c r="E59" s="187">
        <f ca="1">IF($A59="","",VLOOKUP($A59,JOURNAL!$C$5:$I$1115,3,0))</f>
        <v>8</v>
      </c>
      <c r="F59" s="4"/>
      <c r="G59" s="4"/>
      <c r="H59" s="4"/>
      <c r="I59" s="4"/>
      <c r="J59" s="147"/>
      <c r="K59" s="148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200">
        <f t="shared" ca="1" si="3"/>
        <v>159</v>
      </c>
      <c r="B60" s="201" t="str">
        <f ca="1">IF($A60="","",VLOOKUP($A60,JOURNAL!$C$5:$I$1115,5,0))</f>
        <v>entrée twint</v>
      </c>
      <c r="C60" s="202">
        <f ca="1">IF($A60="","",VLOOKUP($A60,JOURNAL!$C$5:$I$1115,2,0))</f>
        <v>46030</v>
      </c>
      <c r="D60" s="201" t="str">
        <f ca="1">IF($A60="","",VLOOKUP($A60,JOURNAL!$C$5:$I$1115,4,0))</f>
        <v>BLV</v>
      </c>
      <c r="E60" s="187">
        <f ca="1">IF($A60="","",VLOOKUP($A60,JOURNAL!$C$5:$I$1115,3,0))</f>
        <v>97.7</v>
      </c>
      <c r="F60" s="4"/>
      <c r="G60" s="4"/>
      <c r="H60" s="4"/>
      <c r="I60" s="4"/>
      <c r="J60" s="147"/>
      <c r="K60" s="148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200">
        <f t="shared" ca="1" si="3"/>
        <v>194</v>
      </c>
      <c r="B61" s="201" t="str">
        <f ca="1">IF($A61="","",VLOOKUP($A61,JOURNAL!$C$5:$I$1115,5,0))</f>
        <v>Entrées SG</v>
      </c>
      <c r="C61" s="202">
        <f ca="1">IF($A61="","",VLOOKUP($A61,JOURNAL!$C$5:$I$1115,2,0))</f>
        <v>46086</v>
      </c>
      <c r="D61" s="201" t="str">
        <f ca="1">IF($A61="","",VLOOKUP($A61,JOURNAL!$C$5:$I$1115,4,0))</f>
        <v>BLV</v>
      </c>
      <c r="E61" s="187">
        <f ca="1">IF($A61="","",VLOOKUP($A61,JOURNAL!$C$5:$I$1115,3,0))</f>
        <v>8.8800000000000008</v>
      </c>
      <c r="F61" s="4"/>
      <c r="G61" s="4"/>
      <c r="H61" s="4"/>
      <c r="I61" s="4"/>
      <c r="J61" s="147"/>
      <c r="K61" s="148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200">
        <f t="shared" ca="1" si="3"/>
        <v>195</v>
      </c>
      <c r="B62" s="201" t="str">
        <f ca="1">IF($A62="","",VLOOKUP($A62,JOURNAL!$C$5:$I$1115,5,0))</f>
        <v>Entrées SG</v>
      </c>
      <c r="C62" s="202">
        <f ca="1">IF($A62="","",VLOOKUP($A62,JOURNAL!$C$5:$I$1115,2,0))</f>
        <v>46086</v>
      </c>
      <c r="D62" s="201" t="str">
        <f ca="1">IF($A62="","",VLOOKUP($A62,JOURNAL!$C$5:$I$1115,4,0))</f>
        <v>BLV</v>
      </c>
      <c r="E62" s="187">
        <f ca="1">IF($A62="","",VLOOKUP($A62,JOURNAL!$C$5:$I$1115,3,0))</f>
        <v>88.81</v>
      </c>
      <c r="F62" s="4"/>
      <c r="G62" s="4"/>
      <c r="H62" s="4"/>
      <c r="I62" s="4"/>
      <c r="J62" s="147"/>
      <c r="K62" s="148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200">
        <f t="shared" ca="1" si="3"/>
        <v>196</v>
      </c>
      <c r="B63" s="201" t="str">
        <f ca="1">IF($A63="","",VLOOKUP($A63,JOURNAL!$C$5:$I$1115,5,0))</f>
        <v>Entrées SG</v>
      </c>
      <c r="C63" s="202">
        <f ca="1">IF($A63="","",VLOOKUP($A63,JOURNAL!$C$5:$I$1115,2,0))</f>
        <v>46086</v>
      </c>
      <c r="D63" s="201" t="str">
        <f ca="1">IF($A63="","",VLOOKUP($A63,JOURNAL!$C$5:$I$1115,4,0))</f>
        <v>BLV</v>
      </c>
      <c r="E63" s="187">
        <f ca="1">IF($A63="","",VLOOKUP($A63,JOURNAL!$C$5:$I$1115,3,0))</f>
        <v>40.46</v>
      </c>
      <c r="F63" s="4"/>
      <c r="G63" s="4"/>
      <c r="H63" s="4"/>
      <c r="I63" s="4"/>
      <c r="J63" s="147"/>
      <c r="K63" s="148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200" t="str">
        <f t="shared" ca="1" si="3"/>
        <v/>
      </c>
      <c r="B64" s="201" t="str">
        <f ca="1">IF($A64="","",VLOOKUP($A64,JOURNAL!$C$5:$I$1115,5,0))</f>
        <v/>
      </c>
      <c r="C64" s="202" t="str">
        <f ca="1">IF($A64="","",VLOOKUP($A64,JOURNAL!$C$5:$I$1115,2,0))</f>
        <v/>
      </c>
      <c r="D64" s="201" t="str">
        <f ca="1">IF($A64="","",VLOOKUP($A64,JOURNAL!$C$5:$I$1115,4,0))</f>
        <v/>
      </c>
      <c r="E64" s="187" t="str">
        <f ca="1">IF($A64="","",VLOOKUP($A64,JOURNAL!$C$5:$I$1115,3,0))</f>
        <v/>
      </c>
      <c r="F64" s="4"/>
      <c r="G64" s="4"/>
      <c r="H64" s="4"/>
      <c r="I64" s="4"/>
      <c r="J64" s="147"/>
      <c r="K64" s="148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200" t="str">
        <f t="shared" ca="1" si="3"/>
        <v/>
      </c>
      <c r="B65" s="201" t="str">
        <f ca="1">IF($A65="","",VLOOKUP($A65,JOURNAL!$C$5:$I$1115,5,0))</f>
        <v/>
      </c>
      <c r="C65" s="202" t="str">
        <f ca="1">IF($A65="","",VLOOKUP($A65,JOURNAL!$C$5:$I$1115,2,0))</f>
        <v/>
      </c>
      <c r="D65" s="201" t="str">
        <f ca="1">IF($A65="","",VLOOKUP($A65,JOURNAL!$C$5:$I$1115,4,0))</f>
        <v/>
      </c>
      <c r="E65" s="187" t="str">
        <f ca="1">IF($A65="","",VLOOKUP($A65,JOURNAL!$C$5:$I$1115,3,0))</f>
        <v/>
      </c>
      <c r="F65" s="4"/>
      <c r="G65" s="4"/>
      <c r="H65" s="4"/>
      <c r="I65" s="4"/>
      <c r="J65" s="147"/>
      <c r="K65" s="148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200" t="str">
        <f t="shared" ca="1" si="3"/>
        <v/>
      </c>
      <c r="B66" s="201" t="str">
        <f ca="1">IF($A66="","",VLOOKUP($A66,JOURNAL!$C$5:$I$1115,5,0))</f>
        <v/>
      </c>
      <c r="C66" s="202" t="str">
        <f ca="1">IF($A66="","",VLOOKUP($A66,JOURNAL!$C$5:$I$1115,2,0))</f>
        <v/>
      </c>
      <c r="D66" s="201" t="str">
        <f ca="1">IF($A66="","",VLOOKUP($A66,JOURNAL!$C$5:$I$1115,4,0))</f>
        <v/>
      </c>
      <c r="E66" s="187" t="str">
        <f ca="1">IF($A66="","",VLOOKUP($A66,JOURNAL!$C$5:$I$1115,3,0))</f>
        <v/>
      </c>
      <c r="F66" s="4"/>
      <c r="G66" s="4"/>
      <c r="H66" s="4"/>
      <c r="I66" s="4"/>
      <c r="J66" s="147"/>
      <c r="K66" s="148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200" t="str">
        <f t="shared" ca="1" si="3"/>
        <v/>
      </c>
      <c r="B67" s="201" t="str">
        <f ca="1">IF($A67="","",VLOOKUP($A67,JOURNAL!$C$5:$I$1115,5,0))</f>
        <v/>
      </c>
      <c r="C67" s="202" t="str">
        <f ca="1">IF($A67="","",VLOOKUP($A67,JOURNAL!$C$5:$I$1115,2,0))</f>
        <v/>
      </c>
      <c r="D67" s="201" t="str">
        <f ca="1">IF($A67="","",VLOOKUP($A67,JOURNAL!$C$5:$I$1115,4,0))</f>
        <v/>
      </c>
      <c r="E67" s="187" t="str">
        <f ca="1">IF($A67="","",VLOOKUP($A67,JOURNAL!$C$5:$I$1115,3,0))</f>
        <v/>
      </c>
      <c r="F67" s="4"/>
      <c r="G67" s="4"/>
      <c r="H67" s="4"/>
      <c r="I67" s="4"/>
      <c r="J67" s="147"/>
      <c r="K67" s="148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200" t="str">
        <f t="shared" ca="1" si="3"/>
        <v/>
      </c>
      <c r="B68" s="201" t="str">
        <f ca="1">IF($A68="","",VLOOKUP($A68,JOURNAL!$C$5:$I$1115,5,0))</f>
        <v/>
      </c>
      <c r="C68" s="202" t="str">
        <f ca="1">IF($A68="","",VLOOKUP($A68,JOURNAL!$C$5:$I$1115,2,0))</f>
        <v/>
      </c>
      <c r="D68" s="201" t="str">
        <f ca="1">IF($A68="","",VLOOKUP($A68,JOURNAL!$C$5:$I$1115,4,0))</f>
        <v/>
      </c>
      <c r="E68" s="187" t="str">
        <f ca="1">IF($A68="","",VLOOKUP($A68,JOURNAL!$C$5:$I$1115,3,0))</f>
        <v/>
      </c>
      <c r="F68" s="4"/>
      <c r="G68" s="4"/>
      <c r="H68" s="4"/>
      <c r="I68" s="4"/>
      <c r="J68" s="147"/>
      <c r="K68" s="148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200" t="str">
        <f t="shared" ca="1" si="3"/>
        <v/>
      </c>
      <c r="B69" s="201" t="str">
        <f ca="1">IF($A69="","",VLOOKUP($A69,JOURNAL!$C$5:$I$1115,5,0))</f>
        <v/>
      </c>
      <c r="C69" s="202" t="str">
        <f ca="1">IF($A69="","",VLOOKUP($A69,JOURNAL!$C$5:$I$1115,2,0))</f>
        <v/>
      </c>
      <c r="D69" s="201" t="str">
        <f ca="1">IF($A69="","",VLOOKUP($A69,JOURNAL!$C$5:$I$1115,4,0))</f>
        <v/>
      </c>
      <c r="E69" s="187" t="str">
        <f ca="1">IF($A69="","",VLOOKUP($A69,JOURNAL!$C$5:$I$1115,3,0))</f>
        <v/>
      </c>
      <c r="F69" s="4"/>
      <c r="G69" s="4"/>
      <c r="H69" s="4"/>
      <c r="I69" s="4"/>
      <c r="J69" s="147"/>
      <c r="K69" s="148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200" t="str">
        <f t="shared" ca="1" si="3"/>
        <v/>
      </c>
      <c r="B70" s="201" t="str">
        <f ca="1">IF($A70="","",VLOOKUP($A70,JOURNAL!$C$5:$I$1115,5,0))</f>
        <v/>
      </c>
      <c r="C70" s="202" t="str">
        <f ca="1">IF($A70="","",VLOOKUP($A70,JOURNAL!$C$5:$I$1115,2,0))</f>
        <v/>
      </c>
      <c r="D70" s="201" t="str">
        <f ca="1">IF($A70="","",VLOOKUP($A70,JOURNAL!$C$5:$I$1115,4,0))</f>
        <v/>
      </c>
      <c r="E70" s="187" t="str">
        <f ca="1">IF($A70="","",VLOOKUP($A70,JOURNAL!$C$5:$I$1115,3,0))</f>
        <v/>
      </c>
      <c r="F70" s="4"/>
      <c r="G70" s="4"/>
      <c r="H70" s="4"/>
      <c r="I70" s="4"/>
      <c r="J70" s="147"/>
      <c r="K70" s="148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200" t="str">
        <f t="shared" ca="1" si="3"/>
        <v/>
      </c>
      <c r="B71" s="201" t="str">
        <f ca="1">IF($A71="","",VLOOKUP($A71,JOURNAL!$C$5:$I$1115,5,0))</f>
        <v/>
      </c>
      <c r="C71" s="202" t="str">
        <f ca="1">IF($A71="","",VLOOKUP($A71,JOURNAL!$C$5:$I$1115,2,0))</f>
        <v/>
      </c>
      <c r="D71" s="201" t="str">
        <f ca="1">IF($A71="","",VLOOKUP($A71,JOURNAL!$C$5:$I$1115,4,0))</f>
        <v/>
      </c>
      <c r="E71" s="187" t="str">
        <f ca="1">IF($A71="","",VLOOKUP($A71,JOURNAL!$C$5:$I$1115,3,0))</f>
        <v/>
      </c>
      <c r="F71" s="4"/>
      <c r="G71" s="4"/>
      <c r="H71" s="4"/>
      <c r="I71" s="4"/>
      <c r="J71" s="147"/>
      <c r="K71" s="148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200" t="str">
        <f t="shared" ca="1" si="3"/>
        <v/>
      </c>
      <c r="B72" s="201" t="str">
        <f ca="1">IF($A72="","",VLOOKUP($A72,JOURNAL!$C$5:$I$1115,5,0))</f>
        <v/>
      </c>
      <c r="C72" s="202" t="str">
        <f ca="1">IF($A72="","",VLOOKUP($A72,JOURNAL!$C$5:$I$1115,2,0))</f>
        <v/>
      </c>
      <c r="D72" s="201" t="str">
        <f ca="1">IF($A72="","",VLOOKUP($A72,JOURNAL!$C$5:$I$1115,4,0))</f>
        <v/>
      </c>
      <c r="E72" s="187" t="str">
        <f ca="1">IF($A72="","",VLOOKUP($A72,JOURNAL!$C$5:$I$1115,3,0))</f>
        <v/>
      </c>
      <c r="F72" s="4"/>
      <c r="G72" s="4"/>
      <c r="H72" s="4"/>
      <c r="I72" s="4"/>
      <c r="J72" s="147"/>
      <c r="K72" s="148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200" t="str">
        <f t="shared" ca="1" si="3"/>
        <v/>
      </c>
      <c r="B73" s="201" t="str">
        <f ca="1">IF($A73="","",VLOOKUP($A73,JOURNAL!$C$5:$I$1115,5,0))</f>
        <v/>
      </c>
      <c r="C73" s="202" t="str">
        <f ca="1">IF($A73="","",VLOOKUP($A73,JOURNAL!$C$5:$I$1115,2,0))</f>
        <v/>
      </c>
      <c r="D73" s="201" t="str">
        <f ca="1">IF($A73="","",VLOOKUP($A73,JOURNAL!$C$5:$I$1115,4,0))</f>
        <v/>
      </c>
      <c r="E73" s="187" t="str">
        <f ca="1">IF($A73="","",VLOOKUP($A73,JOURNAL!$C$5:$I$1115,3,0))</f>
        <v/>
      </c>
      <c r="F73" s="4"/>
      <c r="G73" s="4"/>
      <c r="H73" s="4"/>
      <c r="I73" s="4"/>
      <c r="J73" s="147"/>
      <c r="K73" s="148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200" t="str">
        <f t="shared" ca="1" si="3"/>
        <v/>
      </c>
      <c r="B74" s="201" t="str">
        <f ca="1">IF($A74="","",VLOOKUP($A74,JOURNAL!$C$5:$I$1115,5,0))</f>
        <v/>
      </c>
      <c r="C74" s="202" t="str">
        <f ca="1">IF($A74="","",VLOOKUP($A74,JOURNAL!$C$5:$I$1115,2,0))</f>
        <v/>
      </c>
      <c r="D74" s="201" t="str">
        <f ca="1">IF($A74="","",VLOOKUP($A74,JOURNAL!$C$5:$I$1115,4,0))</f>
        <v/>
      </c>
      <c r="E74" s="187" t="str">
        <f ca="1">IF($A74="","",VLOOKUP($A74,JOURNAL!$C$5:$I$1115,3,0))</f>
        <v/>
      </c>
      <c r="F74" s="4"/>
      <c r="G74" s="4"/>
      <c r="H74" s="4"/>
      <c r="I74" s="4"/>
      <c r="J74" s="147"/>
      <c r="K74" s="148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200" t="str">
        <f t="shared" ca="1" si="3"/>
        <v/>
      </c>
      <c r="B75" s="201" t="str">
        <f ca="1">IF($A75="","",VLOOKUP($A75,JOURNAL!$C$5:$I$1115,5,0))</f>
        <v/>
      </c>
      <c r="C75" s="202" t="str">
        <f ca="1">IF($A75="","",VLOOKUP($A75,JOURNAL!$C$5:$I$1115,2,0))</f>
        <v/>
      </c>
      <c r="D75" s="201" t="str">
        <f ca="1">IF($A75="","",VLOOKUP($A75,JOURNAL!$C$5:$I$1115,4,0))</f>
        <v/>
      </c>
      <c r="E75" s="187" t="str">
        <f ca="1">IF($A75="","",VLOOKUP($A75,JOURNAL!$C$5:$I$1115,3,0))</f>
        <v/>
      </c>
      <c r="F75" s="4"/>
      <c r="G75" s="4"/>
      <c r="H75" s="4"/>
      <c r="I75" s="4"/>
      <c r="J75" s="147"/>
      <c r="K75" s="148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200" t="str">
        <f t="shared" ca="1" si="3"/>
        <v/>
      </c>
      <c r="B76" s="201" t="str">
        <f ca="1">IF($A76="","",VLOOKUP($A76,JOURNAL!$C$5:$I$1115,5,0))</f>
        <v/>
      </c>
      <c r="C76" s="202" t="str">
        <f ca="1">IF($A76="","",VLOOKUP($A76,JOURNAL!$C$5:$I$1115,2,0))</f>
        <v/>
      </c>
      <c r="D76" s="201" t="str">
        <f ca="1">IF($A76="","",VLOOKUP($A76,JOURNAL!$C$5:$I$1115,4,0))</f>
        <v/>
      </c>
      <c r="E76" s="187" t="str">
        <f ca="1">IF($A76="","",VLOOKUP($A76,JOURNAL!$C$5:$I$1115,3,0))</f>
        <v/>
      </c>
      <c r="F76" s="4"/>
      <c r="G76" s="4"/>
      <c r="H76" s="4"/>
      <c r="I76" s="4"/>
      <c r="J76" s="147"/>
      <c r="K76" s="148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200" t="str">
        <f t="shared" ca="1" si="3"/>
        <v/>
      </c>
      <c r="B77" s="201" t="str">
        <f ca="1">IF($A77="","",VLOOKUP($A77,JOURNAL!$C$5:$I$1115,5,0))</f>
        <v/>
      </c>
      <c r="C77" s="202" t="str">
        <f ca="1">IF($A77="","",VLOOKUP($A77,JOURNAL!$C$5:$I$1115,2,0))</f>
        <v/>
      </c>
      <c r="D77" s="201" t="str">
        <f ca="1">IF($A77="","",VLOOKUP($A77,JOURNAL!$C$5:$I$1115,4,0))</f>
        <v/>
      </c>
      <c r="E77" s="187" t="str">
        <f ca="1">IF($A77="","",VLOOKUP($A77,JOURNAL!$C$5:$I$1115,3,0))</f>
        <v/>
      </c>
      <c r="F77" s="4"/>
      <c r="G77" s="4"/>
      <c r="H77" s="4"/>
      <c r="I77" s="4"/>
      <c r="J77" s="147"/>
      <c r="K77" s="148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200" t="str">
        <f t="array" aca="1" ref="A78" ca="1">IF(A77="","",IF(ISNA(VLOOKUP($A$1&amp;" / "&amp;$A$54,INDIRECT(ADDRESS(A77+5,2,1,,"JOURNAL")&amp;":G500"),2,0)),"",VLOOKUP($A$1&amp;" / "&amp;$A$54,INDIRECT(ADDRESS(A77+5,2,1,,"JOURNAL")&amp;":G500"),2,0)))</f>
        <v/>
      </c>
      <c r="B78" s="201" t="str">
        <f ca="1">IF($A78="","",VLOOKUP($A78,JOURNAL!$C$5:$I$1115,5,0))</f>
        <v/>
      </c>
      <c r="C78" s="202" t="str">
        <f ca="1">IF($A78="","",VLOOKUP($A78,JOURNAL!$C$5:$I$1115,2,0))</f>
        <v/>
      </c>
      <c r="D78" s="201" t="str">
        <f ca="1">IF($A78="","",VLOOKUP($A78,JOURNAL!$C$5:$I$1115,4,0))</f>
        <v/>
      </c>
      <c r="E78" s="187" t="str">
        <f ca="1">IF($A78="","",VLOOKUP($A78,JOURNAL!$C$5:$I$1115,3,0))</f>
        <v/>
      </c>
      <c r="F78" s="4"/>
      <c r="G78" s="4"/>
      <c r="H78" s="4"/>
      <c r="I78" s="4"/>
      <c r="J78" s="147"/>
      <c r="K78" s="148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178" t="s">
        <v>16</v>
      </c>
      <c r="B79" s="179"/>
      <c r="C79" s="180"/>
      <c r="D79" s="181"/>
      <c r="E79" s="182">
        <f ca="1">SUM(E56:E62)</f>
        <v>619.29</v>
      </c>
      <c r="F79" s="4"/>
      <c r="G79" s="4"/>
      <c r="H79" s="4"/>
      <c r="I79" s="4"/>
      <c r="J79" s="147"/>
      <c r="K79" s="148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51"/>
      <c r="B80" s="4"/>
      <c r="C80" s="149"/>
      <c r="D80" s="4"/>
      <c r="E80" s="7"/>
      <c r="F80" s="4"/>
      <c r="G80" s="4"/>
      <c r="H80" s="4"/>
      <c r="I80" s="4"/>
      <c r="J80" s="147"/>
      <c r="K80" s="148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51"/>
      <c r="B81" s="4"/>
      <c r="C81" s="149"/>
      <c r="D81" s="4"/>
      <c r="E81" s="7"/>
      <c r="F81" s="4"/>
      <c r="G81" s="4"/>
      <c r="H81" s="4"/>
      <c r="I81" s="4"/>
      <c r="J81" s="147"/>
      <c r="K81" s="148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51"/>
      <c r="B82" s="4"/>
      <c r="C82" s="149"/>
      <c r="D82" s="4"/>
      <c r="E82" s="7"/>
      <c r="F82" s="4"/>
      <c r="G82" s="4"/>
      <c r="H82" s="4"/>
      <c r="I82" s="4"/>
      <c r="J82" s="147"/>
      <c r="K82" s="148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51"/>
      <c r="B83" s="4"/>
      <c r="C83" s="149"/>
      <c r="D83" s="4"/>
      <c r="E83" s="7"/>
      <c r="F83" s="4"/>
      <c r="G83" s="4"/>
      <c r="H83" s="4"/>
      <c r="I83" s="4"/>
      <c r="J83" s="147"/>
      <c r="K83" s="148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51"/>
      <c r="B84" s="4"/>
      <c r="C84" s="149"/>
      <c r="D84" s="4"/>
      <c r="E84" s="7"/>
      <c r="F84" s="4"/>
      <c r="G84" s="4"/>
      <c r="H84" s="4"/>
      <c r="I84" s="4"/>
      <c r="J84" s="147"/>
      <c r="K84" s="148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51"/>
      <c r="B85" s="4"/>
      <c r="C85" s="149"/>
      <c r="D85" s="4"/>
      <c r="E85" s="7"/>
      <c r="F85" s="4"/>
      <c r="G85" s="4"/>
      <c r="H85" s="4"/>
      <c r="I85" s="4"/>
      <c r="J85" s="147"/>
      <c r="K85" s="148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51"/>
      <c r="B86" s="4"/>
      <c r="C86" s="149"/>
      <c r="D86" s="4"/>
      <c r="E86" s="7"/>
      <c r="F86" s="4"/>
      <c r="G86" s="4"/>
      <c r="H86" s="4"/>
      <c r="I86" s="4"/>
      <c r="J86" s="147"/>
      <c r="K86" s="148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51"/>
      <c r="B87" s="4"/>
      <c r="C87" s="149"/>
      <c r="D87" s="4"/>
      <c r="E87" s="7"/>
      <c r="F87" s="4"/>
      <c r="G87" s="4"/>
      <c r="H87" s="4"/>
      <c r="I87" s="4"/>
      <c r="J87" s="147"/>
      <c r="K87" s="148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147"/>
      <c r="K88" s="148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147"/>
      <c r="K89" s="148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147"/>
      <c r="K90" s="148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147"/>
      <c r="K91" s="148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147"/>
      <c r="K92" s="148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147"/>
      <c r="K93" s="148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147"/>
      <c r="K94" s="148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147"/>
      <c r="K95" s="148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147"/>
      <c r="K96" s="148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147"/>
      <c r="K97" s="148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147"/>
      <c r="K98" s="148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147"/>
      <c r="K99" s="148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147"/>
      <c r="K100" s="148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147"/>
      <c r="K101" s="148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147"/>
      <c r="K102" s="148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147"/>
      <c r="K103" s="148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147"/>
      <c r="K104" s="148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147"/>
      <c r="K105" s="148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147"/>
      <c r="K106" s="148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147"/>
      <c r="K107" s="148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147"/>
      <c r="K108" s="148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147"/>
      <c r="K109" s="148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147"/>
      <c r="K110" s="148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147"/>
      <c r="K111" s="148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147"/>
      <c r="K112" s="148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147"/>
      <c r="K113" s="148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147"/>
      <c r="K114" s="148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147"/>
      <c r="K115" s="148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147"/>
      <c r="K116" s="148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147"/>
      <c r="K117" s="148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147"/>
      <c r="K118" s="148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147"/>
      <c r="K119" s="148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147"/>
      <c r="K120" s="148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147"/>
      <c r="K121" s="148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147"/>
      <c r="K122" s="148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147"/>
      <c r="K123" s="148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147"/>
      <c r="K124" s="148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147"/>
      <c r="K125" s="148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147"/>
      <c r="K126" s="148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147"/>
      <c r="K127" s="148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147"/>
      <c r="K128" s="148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147"/>
      <c r="K129" s="148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147"/>
      <c r="K130" s="148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147"/>
      <c r="K131" s="148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147"/>
      <c r="K132" s="148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147"/>
      <c r="K133" s="148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147"/>
      <c r="K134" s="148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147"/>
      <c r="K135" s="148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147"/>
      <c r="K136" s="148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147"/>
      <c r="K137" s="148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147"/>
      <c r="K138" s="148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147"/>
      <c r="K139" s="148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147"/>
      <c r="K140" s="148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147"/>
      <c r="K141" s="148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147"/>
      <c r="K142" s="148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147"/>
      <c r="K143" s="148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147"/>
      <c r="K144" s="148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147"/>
      <c r="K145" s="148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147"/>
      <c r="K146" s="148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147"/>
      <c r="K147" s="148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147"/>
      <c r="K148" s="148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147"/>
      <c r="K149" s="148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147"/>
      <c r="K150" s="148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147"/>
      <c r="K151" s="148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147"/>
      <c r="K152" s="148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147"/>
      <c r="K153" s="148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147"/>
      <c r="K154" s="148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147"/>
      <c r="K155" s="148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147"/>
      <c r="K156" s="148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147"/>
      <c r="K157" s="148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147"/>
      <c r="K158" s="148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147"/>
      <c r="K159" s="148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147"/>
      <c r="K160" s="148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147"/>
      <c r="K161" s="148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147"/>
      <c r="K162" s="148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147"/>
      <c r="K163" s="148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147"/>
      <c r="K164" s="148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147"/>
      <c r="K165" s="148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147"/>
      <c r="K166" s="148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147"/>
      <c r="K167" s="148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147"/>
      <c r="K168" s="148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147"/>
      <c r="K169" s="148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147"/>
      <c r="K170" s="148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147"/>
      <c r="K171" s="148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147"/>
      <c r="K172" s="148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147"/>
      <c r="K173" s="148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147"/>
      <c r="K174" s="148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147"/>
      <c r="K175" s="148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147"/>
      <c r="K176" s="148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147"/>
      <c r="K177" s="148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147"/>
      <c r="K178" s="148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147"/>
      <c r="K179" s="148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147"/>
      <c r="K180" s="148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147"/>
      <c r="K181" s="148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147"/>
      <c r="K182" s="148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147"/>
      <c r="K183" s="148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147"/>
      <c r="K184" s="148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147"/>
      <c r="K185" s="148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147"/>
      <c r="K186" s="148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147"/>
      <c r="K187" s="148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147"/>
      <c r="K188" s="148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147"/>
      <c r="K189" s="148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147"/>
      <c r="K190" s="148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147"/>
      <c r="K191" s="148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147"/>
      <c r="K192" s="148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147"/>
      <c r="K193" s="148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147"/>
      <c r="K194" s="148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147"/>
      <c r="K195" s="148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147"/>
      <c r="K196" s="148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147"/>
      <c r="K197" s="148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147"/>
      <c r="K198" s="148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147"/>
      <c r="K199" s="148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147"/>
      <c r="K200" s="148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147"/>
      <c r="K201" s="148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147"/>
      <c r="K202" s="148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147"/>
      <c r="K203" s="148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147"/>
      <c r="K204" s="148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147"/>
      <c r="K205" s="148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147"/>
      <c r="K206" s="148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147"/>
      <c r="K207" s="148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147"/>
      <c r="K208" s="148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147"/>
      <c r="K209" s="148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147"/>
      <c r="K210" s="148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147"/>
      <c r="K211" s="148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147"/>
      <c r="K212" s="148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147"/>
      <c r="K213" s="148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147"/>
      <c r="K214" s="148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147"/>
      <c r="K215" s="148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147"/>
      <c r="K216" s="148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147"/>
      <c r="K217" s="148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147"/>
      <c r="K218" s="148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147"/>
      <c r="K219" s="148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147"/>
      <c r="K220" s="148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147"/>
      <c r="K221" s="148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147"/>
      <c r="K222" s="148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147"/>
      <c r="K223" s="148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147"/>
      <c r="K224" s="148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147"/>
      <c r="K225" s="148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147"/>
      <c r="K226" s="148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147"/>
      <c r="K227" s="148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147"/>
      <c r="K228" s="148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147"/>
      <c r="K229" s="148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147"/>
      <c r="K230" s="148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147"/>
      <c r="K231" s="148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147"/>
      <c r="K232" s="148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147"/>
      <c r="K233" s="148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147"/>
      <c r="K234" s="148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147"/>
      <c r="K235" s="148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147"/>
      <c r="K236" s="148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147"/>
      <c r="K237" s="148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147"/>
      <c r="K238" s="148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147"/>
      <c r="K239" s="148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147"/>
      <c r="K240" s="148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147"/>
      <c r="K241" s="148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147"/>
      <c r="K242" s="148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147"/>
      <c r="K243" s="148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147"/>
      <c r="K244" s="148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147"/>
      <c r="K245" s="148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147"/>
      <c r="K246" s="148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147"/>
      <c r="K247" s="148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147"/>
      <c r="K248" s="148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147"/>
      <c r="K249" s="148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147"/>
      <c r="K250" s="148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147"/>
      <c r="K251" s="148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147"/>
      <c r="K252" s="148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147"/>
      <c r="K253" s="148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147"/>
      <c r="K254" s="148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147"/>
      <c r="K255" s="148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147"/>
      <c r="K256" s="148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">
      <c r="A257" s="51"/>
      <c r="B257" s="4"/>
      <c r="C257" s="149"/>
      <c r="D257" s="4"/>
      <c r="E257" s="7"/>
      <c r="F257" s="4"/>
      <c r="G257" s="4"/>
      <c r="H257" s="4"/>
      <c r="I257" s="4"/>
      <c r="J257" s="147"/>
      <c r="K257" s="148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">
      <c r="A258" s="51"/>
      <c r="B258" s="4"/>
      <c r="C258" s="149"/>
      <c r="D258" s="4"/>
      <c r="E258" s="7"/>
      <c r="F258" s="4"/>
      <c r="G258" s="4"/>
      <c r="H258" s="4"/>
      <c r="I258" s="4"/>
      <c r="J258" s="147"/>
      <c r="K258" s="148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2">
      <c r="A259" s="51"/>
      <c r="B259" s="4"/>
      <c r="C259" s="149"/>
      <c r="D259" s="4"/>
      <c r="E259" s="7"/>
      <c r="F259" s="4"/>
      <c r="G259" s="4"/>
      <c r="H259" s="4"/>
      <c r="I259" s="4"/>
      <c r="J259" s="147"/>
      <c r="K259" s="148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2">
      <c r="A260" s="51"/>
      <c r="B260" s="4"/>
      <c r="C260" s="149"/>
      <c r="D260" s="4"/>
      <c r="E260" s="7"/>
      <c r="F260" s="4"/>
      <c r="G260" s="4"/>
      <c r="H260" s="4"/>
      <c r="I260" s="4"/>
      <c r="J260" s="147"/>
      <c r="K260" s="148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2">
      <c r="A261" s="51"/>
      <c r="B261" s="4"/>
      <c r="C261" s="149"/>
      <c r="D261" s="4"/>
      <c r="E261" s="7"/>
      <c r="F261" s="4"/>
      <c r="G261" s="4"/>
      <c r="H261" s="4"/>
      <c r="I261" s="4"/>
      <c r="J261" s="147"/>
      <c r="K261" s="148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2">
      <c r="A262" s="51"/>
      <c r="B262" s="4"/>
      <c r="C262" s="149"/>
      <c r="D262" s="4"/>
      <c r="E262" s="7"/>
      <c r="F262" s="4"/>
      <c r="G262" s="4"/>
      <c r="H262" s="4"/>
      <c r="I262" s="4"/>
      <c r="J262" s="147"/>
      <c r="K262" s="148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2">
      <c r="A263" s="51"/>
      <c r="B263" s="4"/>
      <c r="C263" s="149"/>
      <c r="D263" s="4"/>
      <c r="E263" s="7"/>
      <c r="F263" s="4"/>
      <c r="G263" s="4"/>
      <c r="H263" s="4"/>
      <c r="I263" s="4"/>
      <c r="J263" s="147"/>
      <c r="K263" s="148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2">
      <c r="A264" s="51"/>
      <c r="B264" s="4"/>
      <c r="C264" s="149"/>
      <c r="D264" s="4"/>
      <c r="E264" s="7"/>
      <c r="F264" s="4"/>
      <c r="G264" s="4"/>
      <c r="H264" s="4"/>
      <c r="I264" s="4"/>
      <c r="J264" s="147"/>
      <c r="K264" s="148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2">
      <c r="A265" s="51"/>
      <c r="B265" s="4"/>
      <c r="C265" s="149"/>
      <c r="D265" s="4"/>
      <c r="E265" s="7"/>
      <c r="F265" s="4"/>
      <c r="G265" s="4"/>
      <c r="H265" s="4"/>
      <c r="I265" s="4"/>
      <c r="J265" s="147"/>
      <c r="K265" s="148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2">
      <c r="A266" s="51"/>
      <c r="B266" s="4"/>
      <c r="C266" s="149"/>
      <c r="D266" s="4"/>
      <c r="E266" s="7"/>
      <c r="F266" s="4"/>
      <c r="G266" s="4"/>
      <c r="H266" s="4"/>
      <c r="I266" s="4"/>
      <c r="J266" s="147"/>
      <c r="K266" s="148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2">
      <c r="A267" s="51"/>
      <c r="B267" s="4"/>
      <c r="C267" s="149"/>
      <c r="D267" s="4"/>
      <c r="E267" s="7"/>
      <c r="F267" s="4"/>
      <c r="G267" s="4"/>
      <c r="H267" s="4"/>
      <c r="I267" s="4"/>
      <c r="J267" s="147"/>
      <c r="K267" s="148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2">
      <c r="A268" s="51"/>
      <c r="B268" s="4"/>
      <c r="C268" s="149"/>
      <c r="D268" s="4"/>
      <c r="E268" s="7"/>
      <c r="F268" s="4"/>
      <c r="G268" s="4"/>
      <c r="H268" s="4"/>
      <c r="I268" s="4"/>
      <c r="J268" s="147"/>
      <c r="K268" s="148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2">
      <c r="A269" s="51"/>
      <c r="B269" s="4"/>
      <c r="C269" s="149"/>
      <c r="D269" s="4"/>
      <c r="E269" s="7"/>
      <c r="F269" s="4"/>
      <c r="G269" s="4"/>
      <c r="H269" s="4"/>
      <c r="I269" s="4"/>
      <c r="J269" s="147"/>
      <c r="K269" s="148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2">
      <c r="A270" s="51"/>
      <c r="B270" s="4"/>
      <c r="C270" s="149"/>
      <c r="D270" s="4"/>
      <c r="E270" s="7"/>
      <c r="F270" s="4"/>
      <c r="G270" s="4"/>
      <c r="H270" s="4"/>
      <c r="I270" s="4"/>
      <c r="J270" s="147"/>
      <c r="K270" s="148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2">
      <c r="A271" s="51"/>
      <c r="B271" s="4"/>
      <c r="C271" s="149"/>
      <c r="D271" s="4"/>
      <c r="E271" s="7"/>
      <c r="F271" s="4"/>
      <c r="G271" s="4"/>
      <c r="H271" s="4"/>
      <c r="I271" s="4"/>
      <c r="J271" s="147"/>
      <c r="K271" s="148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2">
      <c r="A272" s="51"/>
      <c r="B272" s="4"/>
      <c r="C272" s="149"/>
      <c r="D272" s="4"/>
      <c r="E272" s="7"/>
      <c r="F272" s="4"/>
      <c r="G272" s="4"/>
      <c r="H272" s="4"/>
      <c r="I272" s="4"/>
      <c r="J272" s="147"/>
      <c r="K272" s="148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2">
      <c r="A273" s="51"/>
      <c r="B273" s="4"/>
      <c r="C273" s="149"/>
      <c r="D273" s="4"/>
      <c r="E273" s="7"/>
      <c r="F273" s="4"/>
      <c r="G273" s="4"/>
      <c r="H273" s="4"/>
      <c r="I273" s="4"/>
      <c r="J273" s="147"/>
      <c r="K273" s="148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 x14ac:dyDescent="0.2">
      <c r="A274" s="51"/>
      <c r="B274" s="4"/>
      <c r="C274" s="149"/>
      <c r="D274" s="4"/>
      <c r="E274" s="7"/>
      <c r="F274" s="4"/>
      <c r="G274" s="4"/>
      <c r="H274" s="4"/>
      <c r="I274" s="4"/>
      <c r="J274" s="147"/>
      <c r="K274" s="148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2">
      <c r="A275" s="51"/>
      <c r="B275" s="4"/>
      <c r="C275" s="149"/>
      <c r="D275" s="4"/>
      <c r="E275" s="7"/>
      <c r="F275" s="4"/>
      <c r="G275" s="4"/>
      <c r="H275" s="4"/>
      <c r="I275" s="4"/>
      <c r="J275" s="147"/>
      <c r="K275" s="148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2">
      <c r="A276" s="51"/>
      <c r="B276" s="4"/>
      <c r="C276" s="149"/>
      <c r="D276" s="4"/>
      <c r="E276" s="7"/>
      <c r="F276" s="4"/>
      <c r="G276" s="4"/>
      <c r="H276" s="4"/>
      <c r="I276" s="4"/>
      <c r="J276" s="147"/>
      <c r="K276" s="148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2">
      <c r="A277" s="51"/>
      <c r="B277" s="4"/>
      <c r="C277" s="149"/>
      <c r="D277" s="4"/>
      <c r="E277" s="7"/>
      <c r="F277" s="4"/>
      <c r="G277" s="4"/>
      <c r="H277" s="4"/>
      <c r="I277" s="4"/>
      <c r="J277" s="147"/>
      <c r="K277" s="148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2">
      <c r="A278" s="51"/>
      <c r="B278" s="4"/>
      <c r="C278" s="149"/>
      <c r="D278" s="4"/>
      <c r="E278" s="7"/>
      <c r="F278" s="4"/>
      <c r="G278" s="4"/>
      <c r="H278" s="4"/>
      <c r="I278" s="4"/>
      <c r="J278" s="147"/>
      <c r="K278" s="148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2">
      <c r="A279" s="51"/>
      <c r="B279" s="4"/>
      <c r="C279" s="149"/>
      <c r="D279" s="4"/>
      <c r="E279" s="7"/>
      <c r="F279" s="4"/>
      <c r="G279" s="4"/>
      <c r="H279" s="4"/>
      <c r="I279" s="4"/>
      <c r="J279" s="147"/>
      <c r="K279" s="148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/>
    <row r="281" spans="1:26" ht="15.75" customHeight="1" x14ac:dyDescent="0.2"/>
    <row r="282" spans="1:26" ht="15.75" customHeight="1" x14ac:dyDescent="0.2"/>
    <row r="283" spans="1:26" ht="15.75" customHeight="1" x14ac:dyDescent="0.2"/>
    <row r="284" spans="1:26" ht="15.75" customHeight="1" x14ac:dyDescent="0.2"/>
    <row r="285" spans="1:26" ht="15.75" customHeight="1" x14ac:dyDescent="0.2"/>
    <row r="286" spans="1:26" ht="15.75" customHeight="1" x14ac:dyDescent="0.2"/>
    <row r="287" spans="1:26" ht="15.75" customHeight="1" x14ac:dyDescent="0.2"/>
    <row r="288" spans="1:26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7:E27"/>
  </mergeCells>
  <dataValidations count="1">
    <dataValidation type="list" allowBlank="1" showErrorMessage="1" sqref="A6:A14 A18:A24" xr:uid="{00000000-0002-0000-02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101.6640625" customWidth="1"/>
    <col min="3" max="3" width="6" customWidth="1"/>
    <col min="4" max="4" width="19.5" customWidth="1"/>
    <col min="5" max="5" width="23" customWidth="1"/>
    <col min="6" max="6" width="9.1640625" customWidth="1"/>
    <col min="7" max="7" width="70" customWidth="1"/>
    <col min="8" max="8" width="18.83203125" customWidth="1"/>
    <col min="9" max="26" width="9" customWidth="1"/>
  </cols>
  <sheetData>
    <row r="1" spans="1:26" ht="22" x14ac:dyDescent="0.25">
      <c r="A1" s="360" t="s">
        <v>237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08" t="s">
        <v>7</v>
      </c>
      <c r="C5" s="158"/>
      <c r="D5" s="159"/>
      <c r="E5" s="160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209"/>
      <c r="C6" s="189"/>
      <c r="D6" s="190"/>
      <c r="E6" s="18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x14ac:dyDescent="0.2">
      <c r="A7" s="161" t="s">
        <v>238</v>
      </c>
      <c r="B7" s="210" t="s">
        <v>239</v>
      </c>
      <c r="C7" s="189"/>
      <c r="D7" s="190"/>
      <c r="E7" s="187">
        <v>155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 t="s">
        <v>240</v>
      </c>
      <c r="B8" s="211"/>
      <c r="C8" s="189"/>
      <c r="D8" s="190"/>
      <c r="E8" s="2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 t="s">
        <v>241</v>
      </c>
      <c r="B9" s="213" t="s">
        <v>242</v>
      </c>
      <c r="C9" s="189"/>
      <c r="D9" s="190"/>
      <c r="E9" s="187">
        <v>145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 t="s">
        <v>241</v>
      </c>
      <c r="B10" s="209" t="s">
        <v>243</v>
      </c>
      <c r="C10" s="189"/>
      <c r="D10" s="190"/>
      <c r="E10" s="187">
        <v>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8.5" customHeight="1" x14ac:dyDescent="0.2">
      <c r="A11" s="161" t="s">
        <v>241</v>
      </c>
      <c r="B11" s="210" t="s">
        <v>244</v>
      </c>
      <c r="C11" s="189"/>
      <c r="D11" s="190"/>
      <c r="E11" s="187">
        <v>190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8.5" customHeight="1" x14ac:dyDescent="0.2">
      <c r="A12" s="161" t="s">
        <v>241</v>
      </c>
      <c r="B12" s="210" t="s">
        <v>245</v>
      </c>
      <c r="C12" s="189"/>
      <c r="D12" s="190"/>
      <c r="E12" s="187">
        <v>120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61" t="s">
        <v>246</v>
      </c>
      <c r="B13" s="210" t="s">
        <v>247</v>
      </c>
      <c r="C13" s="189"/>
      <c r="D13" s="190"/>
      <c r="E13" s="187">
        <v>400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61" t="s">
        <v>241</v>
      </c>
      <c r="B14" s="210" t="s">
        <v>248</v>
      </c>
      <c r="C14" s="189"/>
      <c r="D14" s="190"/>
      <c r="E14" s="187">
        <v>3000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61" t="s">
        <v>249</v>
      </c>
      <c r="B15" s="214" t="s">
        <v>250</v>
      </c>
      <c r="C15" s="48"/>
      <c r="D15" s="48"/>
      <c r="E15" s="187">
        <v>100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61" t="s">
        <v>251</v>
      </c>
      <c r="B16" s="210" t="s">
        <v>252</v>
      </c>
      <c r="C16" s="189"/>
      <c r="D16" s="190"/>
      <c r="E16" s="187">
        <v>37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61" t="s">
        <v>241</v>
      </c>
      <c r="B17" s="210" t="s">
        <v>253</v>
      </c>
      <c r="C17" s="189"/>
      <c r="D17" s="190"/>
      <c r="E17" s="187">
        <v>2000</v>
      </c>
      <c r="F17" s="4"/>
      <c r="G17" s="4" t="s">
        <v>254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 t="s">
        <v>241</v>
      </c>
      <c r="B18" s="210" t="s">
        <v>255</v>
      </c>
      <c r="C18" s="189"/>
      <c r="D18" s="215"/>
      <c r="E18" s="187">
        <v>0</v>
      </c>
      <c r="F18" s="4"/>
      <c r="G18" s="4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 t="s">
        <v>256</v>
      </c>
      <c r="B19" s="209" t="s">
        <v>257</v>
      </c>
      <c r="C19" s="189"/>
      <c r="D19" s="215"/>
      <c r="E19" s="216">
        <v>350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78" t="s">
        <v>16</v>
      </c>
      <c r="B20" s="179"/>
      <c r="C20" s="180"/>
      <c r="D20" s="181"/>
      <c r="E20" s="182">
        <f>SUM(E6:E19)</f>
        <v>6562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83" t="s">
        <v>206</v>
      </c>
      <c r="B21" s="184"/>
      <c r="C21" s="185"/>
      <c r="D21" s="184"/>
      <c r="E21" s="18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56" t="s">
        <v>218</v>
      </c>
      <c r="B22" s="208" t="s">
        <v>7</v>
      </c>
      <c r="C22" s="158"/>
      <c r="D22" s="159"/>
      <c r="E22" s="160" t="s">
        <v>5</v>
      </c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61" t="s">
        <v>246</v>
      </c>
      <c r="B23" s="215" t="s">
        <v>258</v>
      </c>
      <c r="C23" s="189"/>
      <c r="D23" s="190"/>
      <c r="E23" s="187">
        <v>2500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61"/>
      <c r="B24" s="188"/>
      <c r="C24" s="189"/>
      <c r="D24" s="190"/>
      <c r="E24" s="18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61"/>
      <c r="B25" s="188"/>
      <c r="C25" s="189"/>
      <c r="D25" s="190"/>
      <c r="E25" s="18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161"/>
      <c r="B26" s="188"/>
      <c r="C26" s="189"/>
      <c r="D26" s="190"/>
      <c r="E26" s="18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178" t="s">
        <v>16</v>
      </c>
      <c r="B27" s="179"/>
      <c r="C27" s="180"/>
      <c r="D27" s="181"/>
      <c r="E27" s="182">
        <f>SUM(E23:E26)</f>
        <v>2500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6.5" customHeight="1" x14ac:dyDescent="0.2">
      <c r="A28" s="51"/>
      <c r="B28" s="4"/>
      <c r="C28" s="149"/>
      <c r="D28" s="4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377" t="s">
        <v>204</v>
      </c>
      <c r="B29" s="375"/>
      <c r="C29" s="375"/>
      <c r="D29" s="375"/>
      <c r="E29" s="37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193" t="s">
        <v>205</v>
      </c>
      <c r="B30" s="194"/>
      <c r="C30" s="195"/>
      <c r="D30" s="194"/>
      <c r="E30" s="19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156" t="s">
        <v>3</v>
      </c>
      <c r="B31" s="197" t="s">
        <v>7</v>
      </c>
      <c r="C31" s="198" t="s">
        <v>4</v>
      </c>
      <c r="D31" s="199" t="s">
        <v>6</v>
      </c>
      <c r="E31" s="160" t="s">
        <v>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 t="str">
        <f>IF(ISNA(VLOOKUP($A$1&amp;" / "&amp;$A$30,JOURNAL!$B$5:$I$1115,2,0)),"",VLOOKUP($A$1&amp;" / "&amp;$A$30,JOURNAL!$B$5:$I$277,2,0))</f>
        <v/>
      </c>
      <c r="B32" s="201" t="str">
        <f>IF($A32="","",VLOOKUP($A32,JOURNAL!$C$5:$I$1115,5,0))</f>
        <v/>
      </c>
      <c r="C32" s="202" t="str">
        <f>IF($A32="","",VLOOKUP($A32,JOURNAL!$C$5:$I$1115,2,0))</f>
        <v/>
      </c>
      <c r="D32" s="201" t="str">
        <f>IF($A32="","",VLOOKUP($A32,JOURNAL!$C$5:$I$1115,4,0))</f>
        <v/>
      </c>
      <c r="E32" s="187" t="str">
        <f>IF($A32="","",VLOOKUP($A32,JOURNAL!$C$5:$I$1115,3,0))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t="shared" ref="A33:A40" ca="1" si="0">IF(A32="","",IF(ISNA(VLOOKUP($A$1&amp;" / "&amp;$A$30,INDIRECT(ADDRESS(A32+5,2,1,,"JOURNAL")&amp;":G500"),2,0)),"",VLOOKUP($A$1&amp;" / "&amp;$A$30,INDIRECT(ADDRESS(A32+5,2,1,,"JOURNAL")&amp;":G500"),2,0)))</f>
        <v/>
      </c>
      <c r="B33" s="201" t="str">
        <f ca="1">IF($A33="","",VLOOKUP($A33,JOURNAL!$C$5:$I$1115,5,0))</f>
        <v/>
      </c>
      <c r="C33" s="202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shared" ca="1" si="0"/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t="shared" ca="1" si="0"/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ref="A41:A54" ca="1" si="1">IF(A40="","",IF(ISNA(VLOOKUP($A$1&amp;" / "&amp;$A$30,INDIRECT(ADDRESS(A40+5,2,1,,"JOURNAL")&amp;":G700"),2,0)),"",VLOOKUP($A$1&amp;" / "&amp;$A$30,INDIRECT(ADDRESS(A40+5,2,1,,"JOURNAL")&amp;":G700"),2,0)))</f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1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1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1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t="shared" ca="1" si="1"/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200" t="str">
        <f t="shared" ca="1" si="1"/>
        <v/>
      </c>
      <c r="B46" s="201" t="str">
        <f ca="1">IF($A46="","",VLOOKUP($A46,JOURNAL!$C$5:$I$1115,5,0))</f>
        <v/>
      </c>
      <c r="C46" s="202" t="str">
        <f ca="1">IF($A46="","",VLOOKUP($A46,JOURNAL!$C$5:$I$1115,2,0))</f>
        <v/>
      </c>
      <c r="D46" s="201" t="str">
        <f ca="1">IF($A46="","",VLOOKUP($A46,JOURNAL!$C$5:$I$1115,4,0))</f>
        <v/>
      </c>
      <c r="E46" s="187" t="str">
        <f ca="1">IF($A46="","",VLOOKUP($A46,JOURNAL!$C$5:$I$1115,3,0))</f>
        <v/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200" t="str">
        <f t="shared" ca="1" si="1"/>
        <v/>
      </c>
      <c r="B47" s="201" t="str">
        <f ca="1">IF($A47="","",VLOOKUP($A47,JOURNAL!$C$5:$I$1115,5,0))</f>
        <v/>
      </c>
      <c r="C47" s="202" t="str">
        <f ca="1">IF($A47="","",VLOOKUP($A47,JOURNAL!$C$5:$I$1115,2,0))</f>
        <v/>
      </c>
      <c r="D47" s="201" t="str">
        <f ca="1">IF($A47="","",VLOOKUP($A47,JOURNAL!$C$5:$I$1115,4,0))</f>
        <v/>
      </c>
      <c r="E47" s="187" t="str">
        <f ca="1">IF($A47="","",VLOOKUP($A47,JOURNAL!$C$5:$I$1115,3,0))</f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200" t="str">
        <f t="shared" ca="1" si="1"/>
        <v/>
      </c>
      <c r="B48" s="201" t="str">
        <f ca="1">IF($A48="","",VLOOKUP($A48,JOURNAL!$C$5:$I$1115,5,0))</f>
        <v/>
      </c>
      <c r="C48" s="202" t="str">
        <f ca="1">IF($A48="","",VLOOKUP($A48,JOURNAL!$C$5:$I$1115,2,0))</f>
        <v/>
      </c>
      <c r="D48" s="201" t="str">
        <f ca="1">IF($A48="","",VLOOKUP($A48,JOURNAL!$C$5:$I$1115,4,0))</f>
        <v/>
      </c>
      <c r="E48" s="187" t="str">
        <f ca="1">IF($A48="","",VLOOKUP($A48,JOURNAL!$C$5:$I$1115,3,0))</f>
        <v/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 t="str">
        <f t="shared" ca="1" si="1"/>
        <v/>
      </c>
      <c r="B49" s="201" t="str">
        <f ca="1">IF($A49="","",VLOOKUP($A49,JOURNAL!$C$5:$I$1115,5,0))</f>
        <v/>
      </c>
      <c r="C49" s="202" t="str">
        <f ca="1">IF($A49="","",VLOOKUP($A49,JOURNAL!$C$5:$I$1115,2,0))</f>
        <v/>
      </c>
      <c r="D49" s="201" t="str">
        <f ca="1">IF($A49="","",VLOOKUP($A49,JOURNAL!$C$5:$I$1115,4,0))</f>
        <v/>
      </c>
      <c r="E49" s="187" t="str">
        <f ca="1">IF($A49="","",VLOOKUP($A49,JOURNAL!$C$5:$I$1115,3,0))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 t="str">
        <f t="shared" ca="1" si="1"/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 t="str">
        <f t="shared" ca="1" si="1"/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 t="str">
        <f t="shared" ca="1" si="1"/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 t="str">
        <f t="shared" ca="1" si="1"/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t="shared" ca="1" si="1"/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 t="array" aca="1" ref="A55" ca="1">IF(A54="","",IF(ISNA(VLOOKUP($A$1&amp;" / "&amp;$A$30,INDIRECT(ADDRESS(A54+5,2,1,,"JOURNAL")&amp;":G500"),2,0)),"",VLOOKUP($A$1&amp;" / "&amp;$A$30,INDIRECT(ADDRESS(A54+5,2,1,,"JOURNAL")&amp;":G500"),2,0)))</f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178" t="s">
        <v>16</v>
      </c>
      <c r="B56" s="179"/>
      <c r="C56" s="180"/>
      <c r="D56" s="181"/>
      <c r="E56" s="182">
        <f ca="1">SUM(E32:E55)</f>
        <v>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6.5" customHeight="1" x14ac:dyDescent="0.2">
      <c r="A57" s="204" t="s">
        <v>206</v>
      </c>
      <c r="B57" s="205"/>
      <c r="C57" s="206"/>
      <c r="D57" s="205"/>
      <c r="E57" s="20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156" t="s">
        <v>3</v>
      </c>
      <c r="B58" s="197" t="s">
        <v>7</v>
      </c>
      <c r="C58" s="198" t="s">
        <v>4</v>
      </c>
      <c r="D58" s="199" t="s">
        <v>6</v>
      </c>
      <c r="E58" s="160" t="s">
        <v>5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200" t="str">
        <f>IF(ISNA(VLOOKUP($A$1&amp;" / "&amp;$A$57,JOURNAL!$B$5:$I$1115,2,0)),"",VLOOKUP($A$1&amp;" / "&amp;$A$57,JOURNAL!$B$5:$I$1115,2,0))</f>
        <v/>
      </c>
      <c r="B59" s="201" t="str">
        <f>IF($A59="","",VLOOKUP($A59,JOURNAL!$C$5:$I$1115,5,0))</f>
        <v/>
      </c>
      <c r="C59" s="202" t="str">
        <f>IF($A59="","",VLOOKUP($A59,JOURNAL!$C$5:$I$1115,2,0))</f>
        <v/>
      </c>
      <c r="D59" s="201" t="str">
        <f>IF($A59="","",VLOOKUP($A59,JOURNAL!$C$5:$I$1115,4,0))</f>
        <v/>
      </c>
      <c r="E59" s="187" t="str">
        <f>IF($A59="","",VLOOKUP($A59,JOURNAL!$C$5:$I$1003,3,0))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200" t="str">
        <f t="shared" ref="A60:A74" ca="1" si="2">IF(A59="","",IF(ISNA(VLOOKUP($A$1&amp;" / "&amp;$A$57,INDIRECT(ADDRESS(A59+5,2,1,,"JOURNAL")&amp;":G500"),2,0)),"",VLOOKUP($A$1&amp;" / "&amp;$A$57,INDIRECT(ADDRESS(A59+5,2,1,,"JOURNAL")&amp;":G500"),2,0)))</f>
        <v/>
      </c>
      <c r="B60" s="201" t="str">
        <f ca="1">IF($A60="","",VLOOKUP($A60,JOURNAL!$C$5:$I$1115,5,0))</f>
        <v/>
      </c>
      <c r="C60" s="202" t="str">
        <f ca="1">IF($A60="","",VLOOKUP($A60,JOURNAL!$C$5:$I$1115,2,0))</f>
        <v/>
      </c>
      <c r="D60" s="201" t="str">
        <f ca="1">IF($A60="","",VLOOKUP($A60,JOURNAL!$C$5:$I$1115,4,0))</f>
        <v/>
      </c>
      <c r="E60" s="187" t="str">
        <f ca="1">IF($A60="","",VLOOKUP($A60,JOURNAL!$C$5:$I$1115,3,0))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200" t="str">
        <f t="shared" ca="1" si="2"/>
        <v/>
      </c>
      <c r="B61" s="201" t="str">
        <f ca="1">IF($A61="","",VLOOKUP($A61,JOURNAL!$C$5:$I$1115,5,0))</f>
        <v/>
      </c>
      <c r="C61" s="202" t="str">
        <f ca="1">IF($A61="","",VLOOKUP($A61,JOURNAL!$C$5:$I$1115,2,0))</f>
        <v/>
      </c>
      <c r="D61" s="201" t="str">
        <f ca="1">IF($A61="","",VLOOKUP($A61,JOURNAL!$C$5:$I$1115,4,0))</f>
        <v/>
      </c>
      <c r="E61" s="187" t="str">
        <f ca="1">IF($A61="","",VLOOKUP($A61,JOURNAL!$C$5:$I$1115,3,0))</f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200" t="str">
        <f t="shared" ca="1" si="2"/>
        <v/>
      </c>
      <c r="B62" s="201" t="str">
        <f ca="1">IF($A62="","",VLOOKUP($A62,JOURNAL!$C$5:$I$1115,5,0))</f>
        <v/>
      </c>
      <c r="C62" s="202" t="str">
        <f ca="1">IF($A62="","",VLOOKUP($A62,JOURNAL!$C$5:$I$1115,2,0))</f>
        <v/>
      </c>
      <c r="D62" s="201" t="str">
        <f ca="1">IF($A62="","",VLOOKUP($A62,JOURNAL!$C$5:$I$1115,4,0))</f>
        <v/>
      </c>
      <c r="E62" s="187" t="str">
        <f ca="1">IF($A62="","",VLOOKUP($A62,JOURNAL!$C$5:$I$1115,3,0))</f>
        <v/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200" t="str">
        <f t="shared" ca="1" si="2"/>
        <v/>
      </c>
      <c r="B63" s="201" t="str">
        <f ca="1">IF($A63="","",VLOOKUP($A63,JOURNAL!$C$5:$I$1115,5,0))</f>
        <v/>
      </c>
      <c r="C63" s="202" t="str">
        <f ca="1">IF($A63="","",VLOOKUP($A63,JOURNAL!$C$5:$I$1115,2,0))</f>
        <v/>
      </c>
      <c r="D63" s="201" t="str">
        <f ca="1">IF($A63="","",VLOOKUP($A63,JOURNAL!$C$5:$I$1115,4,0))</f>
        <v/>
      </c>
      <c r="E63" s="187" t="str">
        <f ca="1">IF($A63="","",VLOOKUP($A63,JOURNAL!$C$5:$I$1115,3,0))</f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200" t="str">
        <f t="shared" ca="1" si="2"/>
        <v/>
      </c>
      <c r="B64" s="201" t="str">
        <f ca="1">IF($A64="","",VLOOKUP($A64,JOURNAL!$C$5:$I$1115,5,0))</f>
        <v/>
      </c>
      <c r="C64" s="202" t="str">
        <f ca="1">IF($A64="","",VLOOKUP($A64,JOURNAL!$C$5:$I$1115,2,0))</f>
        <v/>
      </c>
      <c r="D64" s="201" t="str">
        <f ca="1">IF($A64="","",VLOOKUP($A64,JOURNAL!$C$5:$I$1115,4,0))</f>
        <v/>
      </c>
      <c r="E64" s="187" t="str">
        <f ca="1">IF($A64="","",VLOOKUP($A64,JOURNAL!$C$5:$I$1115,3,0))</f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200" t="str">
        <f t="shared" ca="1" si="2"/>
        <v/>
      </c>
      <c r="B65" s="201" t="str">
        <f ca="1">IF($A65="","",VLOOKUP($A65,JOURNAL!$C$5:$I$1115,5,0))</f>
        <v/>
      </c>
      <c r="C65" s="202" t="str">
        <f ca="1">IF($A65="","",VLOOKUP($A65,JOURNAL!$C$5:$I$1115,2,0))</f>
        <v/>
      </c>
      <c r="D65" s="201" t="str">
        <f ca="1">IF($A65="","",VLOOKUP($A65,JOURNAL!$C$5:$I$1115,4,0))</f>
        <v/>
      </c>
      <c r="E65" s="187" t="str">
        <f ca="1">IF($A65="","",VLOOKUP($A65,JOURNAL!$C$5:$I$1115,3,0))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200" t="str">
        <f t="shared" ca="1" si="2"/>
        <v/>
      </c>
      <c r="B66" s="201" t="str">
        <f ca="1">IF($A66="","",VLOOKUP($A66,JOURNAL!$C$5:$I$1115,5,0))</f>
        <v/>
      </c>
      <c r="C66" s="202" t="str">
        <f ca="1">IF($A66="","",VLOOKUP($A66,JOURNAL!$C$5:$I$1115,2,0))</f>
        <v/>
      </c>
      <c r="D66" s="201" t="str">
        <f ca="1">IF($A66="","",VLOOKUP($A66,JOURNAL!$C$5:$I$1115,4,0))</f>
        <v/>
      </c>
      <c r="E66" s="187" t="str">
        <f ca="1">IF($A66="","",VLOOKUP($A66,JOURNAL!$C$5:$I$1115,3,0))</f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200" t="str">
        <f t="shared" ca="1" si="2"/>
        <v/>
      </c>
      <c r="B67" s="201" t="str">
        <f ca="1">IF($A67="","",VLOOKUP($A67,JOURNAL!$C$5:$I$1115,5,0))</f>
        <v/>
      </c>
      <c r="C67" s="202" t="str">
        <f ca="1">IF($A67="","",VLOOKUP($A67,JOURNAL!$C$5:$I$1115,2,0))</f>
        <v/>
      </c>
      <c r="D67" s="201" t="str">
        <f ca="1">IF($A67="","",VLOOKUP($A67,JOURNAL!$C$5:$I$1115,4,0))</f>
        <v/>
      </c>
      <c r="E67" s="187" t="str">
        <f ca="1">IF($A67="","",VLOOKUP($A67,JOURNAL!$C$5:$I$1115,3,0))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200" t="str">
        <f t="shared" ca="1" si="2"/>
        <v/>
      </c>
      <c r="B68" s="201" t="str">
        <f ca="1">IF($A68="","",VLOOKUP($A68,JOURNAL!$C$5:$I$1115,5,0))</f>
        <v/>
      </c>
      <c r="C68" s="202" t="str">
        <f ca="1">IF($A68="","",VLOOKUP($A68,JOURNAL!$C$5:$I$1115,2,0))</f>
        <v/>
      </c>
      <c r="D68" s="201" t="str">
        <f ca="1">IF($A68="","",VLOOKUP($A68,JOURNAL!$C$5:$I$1115,4,0))</f>
        <v/>
      </c>
      <c r="E68" s="187" t="str">
        <f ca="1">IF($A68="","",VLOOKUP($A68,JOURNAL!$C$5:$I$1115,3,0))</f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200" t="str">
        <f t="shared" ca="1" si="2"/>
        <v/>
      </c>
      <c r="B69" s="201" t="str">
        <f ca="1">IF($A69="","",VLOOKUP($A69,JOURNAL!$C$5:$I$1115,5,0))</f>
        <v/>
      </c>
      <c r="C69" s="202" t="str">
        <f ca="1">IF($A69="","",VLOOKUP($A69,JOURNAL!$C$5:$I$1115,2,0))</f>
        <v/>
      </c>
      <c r="D69" s="201" t="str">
        <f ca="1">IF($A69="","",VLOOKUP($A69,JOURNAL!$C$5:$I$1115,4,0))</f>
        <v/>
      </c>
      <c r="E69" s="187" t="str">
        <f ca="1">IF($A69="","",VLOOKUP($A69,JOURNAL!$C$5:$I$1115,3,0))</f>
        <v/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6.5" customHeight="1" x14ac:dyDescent="0.2">
      <c r="A70" s="200" t="str">
        <f t="shared" ca="1" si="2"/>
        <v/>
      </c>
      <c r="B70" s="201" t="str">
        <f ca="1">IF($A70="","",VLOOKUP($A70,JOURNAL!$C$5:$I$1115,5,0))</f>
        <v/>
      </c>
      <c r="C70" s="202" t="str">
        <f ca="1">IF($A70="","",VLOOKUP($A70,JOURNAL!$C$5:$I$1115,2,0))</f>
        <v/>
      </c>
      <c r="D70" s="201" t="str">
        <f ca="1">IF($A70="","",VLOOKUP($A70,JOURNAL!$C$5:$I$1115,4,0))</f>
        <v/>
      </c>
      <c r="E70" s="187" t="str">
        <f ca="1">IF($A70="","",VLOOKUP($A70,JOURNAL!$C$5:$I$1115,3,0))</f>
        <v/>
      </c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6.5" customHeight="1" x14ac:dyDescent="0.2">
      <c r="A71" s="200" t="str">
        <f t="shared" ca="1" si="2"/>
        <v/>
      </c>
      <c r="B71" s="201" t="str">
        <f ca="1">IF($A71="","",VLOOKUP($A71,JOURNAL!$C$5:$I$1115,5,0))</f>
        <v/>
      </c>
      <c r="C71" s="202" t="str">
        <f ca="1">IF($A71="","",VLOOKUP($A71,JOURNAL!$C$5:$I$1115,2,0))</f>
        <v/>
      </c>
      <c r="D71" s="201" t="str">
        <f ca="1">IF($A71="","",VLOOKUP($A71,JOURNAL!$C$5:$I$1115,4,0))</f>
        <v/>
      </c>
      <c r="E71" s="187" t="str">
        <f ca="1">IF($A71="","",VLOOKUP($A71,JOURNAL!$C$5:$I$1115,3,0))</f>
        <v/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6.5" customHeight="1" x14ac:dyDescent="0.2">
      <c r="A72" s="200" t="str">
        <f t="shared" ca="1" si="2"/>
        <v/>
      </c>
      <c r="B72" s="201" t="str">
        <f ca="1">IF($A72="","",VLOOKUP($A72,JOURNAL!$C$5:$I$1115,5,0))</f>
        <v/>
      </c>
      <c r="C72" s="202" t="str">
        <f ca="1">IF($A72="","",VLOOKUP($A72,JOURNAL!$C$5:$I$1115,2,0))</f>
        <v/>
      </c>
      <c r="D72" s="201" t="str">
        <f ca="1">IF($A72="","",VLOOKUP($A72,JOURNAL!$C$5:$I$1115,4,0))</f>
        <v/>
      </c>
      <c r="E72" s="187" t="str">
        <f ca="1">IF($A72="","",VLOOKUP($A72,JOURNAL!$C$5:$I$1115,3,0))</f>
        <v/>
      </c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6.5" customHeight="1" x14ac:dyDescent="0.2">
      <c r="A73" s="200" t="str">
        <f t="shared" ca="1" si="2"/>
        <v/>
      </c>
      <c r="B73" s="201" t="str">
        <f ca="1">IF($A73="","",VLOOKUP($A73,JOURNAL!$C$5:$I$1115,5,0))</f>
        <v/>
      </c>
      <c r="C73" s="202" t="str">
        <f ca="1">IF($A73="","",VLOOKUP($A73,JOURNAL!$C$5:$I$1115,2,0))</f>
        <v/>
      </c>
      <c r="D73" s="201" t="str">
        <f ca="1">IF($A73="","",VLOOKUP($A73,JOURNAL!$C$5:$I$1115,4,0))</f>
        <v/>
      </c>
      <c r="E73" s="187" t="str">
        <f ca="1">IF($A73="","",VLOOKUP($A73,JOURNAL!$C$5:$I$1115,3,0))</f>
        <v/>
      </c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6.5" customHeight="1" x14ac:dyDescent="0.2">
      <c r="A74" s="200" t="str">
        <f t="shared" ca="1" si="2"/>
        <v/>
      </c>
      <c r="B74" s="201" t="str">
        <f ca="1">IF($A74="","",VLOOKUP($A74,JOURNAL!$C$5:$I$1115,5,0))</f>
        <v/>
      </c>
      <c r="C74" s="202" t="str">
        <f ca="1">IF($A74="","",VLOOKUP($A74,JOURNAL!$C$5:$I$1115,2,0))</f>
        <v/>
      </c>
      <c r="D74" s="201" t="str">
        <f ca="1">IF($A74="","",VLOOKUP($A74,JOURNAL!$C$5:$I$1115,4,0))</f>
        <v/>
      </c>
      <c r="E74" s="187" t="str">
        <f ca="1">IF($A74="","",VLOOKUP($A74,JOURNAL!$C$5:$I$1115,3,0))</f>
        <v/>
      </c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6.5" customHeight="1" x14ac:dyDescent="0.2">
      <c r="A75" s="200" t="str">
        <f t="shared" ref="A75:A83" ca="1" si="3">IF(A74="","",IF(ISNA(VLOOKUP($A$1&amp;" / "&amp;$A$57,INDIRECT(ADDRESS(A74+5,2,1,,"JOURNAL")&amp;":G700"),2,0)),"",VLOOKUP($A$1&amp;" / "&amp;$A$57,INDIRECT(ADDRESS(A74+5,2,1,,"JOURNAL")&amp;":G700"),2,0)))</f>
        <v/>
      </c>
      <c r="B75" s="201" t="str">
        <f ca="1">IF($A75="","",VLOOKUP($A75,JOURNAL!$C$5:$I$1115,5,0))</f>
        <v/>
      </c>
      <c r="C75" s="202" t="str">
        <f ca="1">IF($A75="","",VLOOKUP($A75,JOURNAL!$C$5:$I$1115,2,0))</f>
        <v/>
      </c>
      <c r="D75" s="201" t="str">
        <f ca="1">IF($A75="","",VLOOKUP($A75,JOURNAL!$C$5:$I$1115,4,0))</f>
        <v/>
      </c>
      <c r="E75" s="187" t="str">
        <f ca="1">IF($A75="","",VLOOKUP($A75,JOURNAL!$C$5:$I$1115,3,0))</f>
        <v/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6.5" customHeight="1" x14ac:dyDescent="0.2">
      <c r="A76" s="200" t="str">
        <f t="shared" ca="1" si="3"/>
        <v/>
      </c>
      <c r="B76" s="201" t="str">
        <f ca="1">IF($A76="","",VLOOKUP($A76,JOURNAL!$C$5:$I$1115,5,0))</f>
        <v/>
      </c>
      <c r="C76" s="202" t="str">
        <f ca="1">IF($A76="","",VLOOKUP($A76,JOURNAL!$C$5:$I$1115,2,0))</f>
        <v/>
      </c>
      <c r="D76" s="201" t="str">
        <f ca="1">IF($A76="","",VLOOKUP($A76,JOURNAL!$C$5:$I$1115,4,0))</f>
        <v/>
      </c>
      <c r="E76" s="187" t="str">
        <f ca="1">IF($A76="","",VLOOKUP($A76,JOURNAL!$C$5:$I$1115,3,0))</f>
        <v/>
      </c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6.5" customHeight="1" x14ac:dyDescent="0.2">
      <c r="A77" s="200" t="str">
        <f t="shared" ca="1" si="3"/>
        <v/>
      </c>
      <c r="B77" s="201" t="str">
        <f ca="1">IF($A77="","",VLOOKUP($A77,JOURNAL!$C$5:$I$1115,5,0))</f>
        <v/>
      </c>
      <c r="C77" s="202" t="str">
        <f ca="1">IF($A77="","",VLOOKUP($A77,JOURNAL!$C$5:$I$1115,2,0))</f>
        <v/>
      </c>
      <c r="D77" s="201" t="str">
        <f ca="1">IF($A77="","",VLOOKUP($A77,JOURNAL!$C$5:$I$1115,4,0))</f>
        <v/>
      </c>
      <c r="E77" s="187" t="str">
        <f ca="1">IF($A77="","",VLOOKUP($A77,JOURNAL!$C$5:$I$1115,3,0))</f>
        <v/>
      </c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6.5" customHeight="1" x14ac:dyDescent="0.2">
      <c r="A78" s="200" t="str">
        <f t="shared" ca="1" si="3"/>
        <v/>
      </c>
      <c r="B78" s="201" t="str">
        <f ca="1">IF($A78="","",VLOOKUP($A78,JOURNAL!$C$5:$I$1115,5,0))</f>
        <v/>
      </c>
      <c r="C78" s="202" t="str">
        <f ca="1">IF($A78="","",VLOOKUP($A78,JOURNAL!$C$5:$I$1115,2,0))</f>
        <v/>
      </c>
      <c r="D78" s="201" t="str">
        <f ca="1">IF($A78="","",VLOOKUP($A78,JOURNAL!$C$5:$I$1115,4,0))</f>
        <v/>
      </c>
      <c r="E78" s="187" t="str">
        <f ca="1">IF($A78="","",VLOOKUP($A78,JOURNAL!$C$5:$I$1115,3,0))</f>
        <v/>
      </c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6.5" customHeight="1" x14ac:dyDescent="0.2">
      <c r="A79" s="200" t="str">
        <f t="shared" ca="1" si="3"/>
        <v/>
      </c>
      <c r="B79" s="201" t="str">
        <f ca="1">IF($A79="","",VLOOKUP($A79,JOURNAL!$C$5:$I$1115,5,0))</f>
        <v/>
      </c>
      <c r="C79" s="202" t="str">
        <f ca="1">IF($A79="","",VLOOKUP($A79,JOURNAL!$C$5:$I$1115,2,0))</f>
        <v/>
      </c>
      <c r="D79" s="201" t="str">
        <f ca="1">IF($A79="","",VLOOKUP($A79,JOURNAL!$C$5:$I$1115,4,0))</f>
        <v/>
      </c>
      <c r="E79" s="187" t="str">
        <f ca="1">IF($A79="","",VLOOKUP($A79,JOURNAL!$C$5:$I$1115,3,0))</f>
        <v/>
      </c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6.5" customHeight="1" x14ac:dyDescent="0.2">
      <c r="A80" s="200" t="str">
        <f t="shared" ca="1" si="3"/>
        <v/>
      </c>
      <c r="B80" s="201" t="str">
        <f ca="1">IF($A80="","",VLOOKUP($A80,JOURNAL!$C$5:$I$1115,5,0))</f>
        <v/>
      </c>
      <c r="C80" s="202" t="str">
        <f ca="1">IF($A80="","",VLOOKUP($A80,JOURNAL!$C$5:$I$1115,2,0))</f>
        <v/>
      </c>
      <c r="D80" s="201" t="str">
        <f ca="1">IF($A80="","",VLOOKUP($A80,JOURNAL!$C$5:$I$1115,4,0))</f>
        <v/>
      </c>
      <c r="E80" s="187" t="str">
        <f ca="1">IF($A80="","",VLOOKUP($A80,JOURNAL!$C$5:$I$1115,3,0))</f>
        <v/>
      </c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6.5" customHeight="1" x14ac:dyDescent="0.2">
      <c r="A81" s="200" t="str">
        <f t="shared" ca="1" si="3"/>
        <v/>
      </c>
      <c r="B81" s="201" t="str">
        <f ca="1">IF($A81="","",VLOOKUP($A81,JOURNAL!$C$5:$I$1115,5,0))</f>
        <v/>
      </c>
      <c r="C81" s="202" t="str">
        <f ca="1">IF($A81="","",VLOOKUP($A81,JOURNAL!$C$5:$I$1115,2,0))</f>
        <v/>
      </c>
      <c r="D81" s="201" t="str">
        <f ca="1">IF($A81="","",VLOOKUP($A81,JOURNAL!$C$5:$I$1115,4,0))</f>
        <v/>
      </c>
      <c r="E81" s="187" t="str">
        <f ca="1">IF($A81="","",VLOOKUP($A81,JOURNAL!$C$5:$I$1115,3,0))</f>
        <v/>
      </c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6.5" customHeight="1" x14ac:dyDescent="0.2">
      <c r="A82" s="200" t="str">
        <f t="shared" ca="1" si="3"/>
        <v/>
      </c>
      <c r="B82" s="201" t="str">
        <f ca="1">IF($A82="","",VLOOKUP($A82,JOURNAL!$C$5:$I$1115,5,0))</f>
        <v/>
      </c>
      <c r="C82" s="202" t="str">
        <f ca="1">IF($A82="","",VLOOKUP($A82,JOURNAL!$C$5:$I$1115,2,0))</f>
        <v/>
      </c>
      <c r="D82" s="201" t="str">
        <f ca="1">IF($A82="","",VLOOKUP($A82,JOURNAL!$C$5:$I$1115,4,0))</f>
        <v/>
      </c>
      <c r="E82" s="187" t="str">
        <f ca="1">IF($A82="","",VLOOKUP($A82,JOURNAL!$C$5:$I$1115,3,0))</f>
        <v/>
      </c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6.5" customHeight="1" x14ac:dyDescent="0.2">
      <c r="A83" s="200" t="str">
        <f t="shared" ca="1" si="3"/>
        <v/>
      </c>
      <c r="B83" s="201" t="str">
        <f ca="1">IF($A83="","",VLOOKUP($A83,JOURNAL!$C$5:$I$1115,5,0))</f>
        <v/>
      </c>
      <c r="C83" s="202" t="str">
        <f ca="1">IF($A83="","",VLOOKUP($A83,JOURNAL!$C$5:$I$1115,2,0))</f>
        <v/>
      </c>
      <c r="D83" s="201" t="str">
        <f ca="1">IF($A83="","",VLOOKUP($A83,JOURNAL!$C$5:$I$1115,4,0))</f>
        <v/>
      </c>
      <c r="E83" s="187" t="str">
        <f ca="1">IF($A83="","",VLOOKUP($A83,JOURNAL!$C$5:$I$1115,3,0))</f>
        <v/>
      </c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6.5" customHeight="1" x14ac:dyDescent="0.2">
      <c r="A84" s="200" t="str">
        <f t="array" aca="1" ref="A84" ca="1">IF(A83="","",IF(ISNA(VLOOKUP($A$1&amp;" / "&amp;$A$57,INDIRECT(ADDRESS(A83+5,2,1,,"JOURNAL")&amp;":G500"),2,0)),"",VLOOKUP($A$1&amp;" / "&amp;$A$57,INDIRECT(ADDRESS(A83+5,2,1,,"JOURNAL")&amp;":G500"),2,0)))</f>
        <v/>
      </c>
      <c r="B84" s="201" t="str">
        <f ca="1">IF($A84="","",VLOOKUP($A84,JOURNAL!$C$5:$I$1115,5,0))</f>
        <v/>
      </c>
      <c r="C84" s="202" t="str">
        <f ca="1">IF($A84="","",VLOOKUP($A84,JOURNAL!$C$5:$I$1115,2,0))</f>
        <v/>
      </c>
      <c r="D84" s="201" t="str">
        <f ca="1">IF($A84="","",VLOOKUP($A84,JOURNAL!$C$5:$I$1115,4,0))</f>
        <v/>
      </c>
      <c r="E84" s="187" t="str">
        <f ca="1">IF($A84="","",VLOOKUP($A84,JOURNAL!$C$5:$I$1115,3,0))</f>
        <v/>
      </c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6.5" customHeight="1" x14ac:dyDescent="0.2">
      <c r="A85" s="178" t="s">
        <v>16</v>
      </c>
      <c r="B85" s="179"/>
      <c r="C85" s="180"/>
      <c r="D85" s="181"/>
      <c r="E85" s="182">
        <f ca="1">SUM(E59:E68)</f>
        <v>0</v>
      </c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6.5" customHeight="1" x14ac:dyDescent="0.2">
      <c r="A86" s="51"/>
      <c r="B86" s="4"/>
      <c r="C86" s="149"/>
      <c r="D86" s="4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51"/>
      <c r="B87" s="4"/>
      <c r="C87" s="149"/>
      <c r="D87" s="4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">
      <c r="A257" s="51"/>
      <c r="B257" s="4"/>
      <c r="C257" s="149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">
      <c r="A258" s="51"/>
      <c r="B258" s="4"/>
      <c r="C258" s="149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2">
      <c r="A259" s="51"/>
      <c r="B259" s="4"/>
      <c r="C259" s="149"/>
      <c r="D259" s="4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2">
      <c r="A260" s="51"/>
      <c r="B260" s="4"/>
      <c r="C260" s="149"/>
      <c r="D260" s="4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2">
      <c r="A261" s="51"/>
      <c r="B261" s="4"/>
      <c r="C261" s="149"/>
      <c r="D261" s="4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2">
      <c r="A262" s="51"/>
      <c r="B262" s="4"/>
      <c r="C262" s="149"/>
      <c r="D262" s="4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2">
      <c r="A263" s="51"/>
      <c r="B263" s="4"/>
      <c r="C263" s="149"/>
      <c r="D263" s="4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2">
      <c r="A264" s="51"/>
      <c r="B264" s="4"/>
      <c r="C264" s="149"/>
      <c r="D264" s="4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2">
      <c r="A265" s="51"/>
      <c r="B265" s="4"/>
      <c r="C265" s="149"/>
      <c r="D265" s="4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2">
      <c r="A266" s="51"/>
      <c r="B266" s="4"/>
      <c r="C266" s="149"/>
      <c r="D266" s="4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2">
      <c r="A267" s="51"/>
      <c r="B267" s="4"/>
      <c r="C267" s="149"/>
      <c r="D267" s="4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2">
      <c r="A268" s="51"/>
      <c r="B268" s="4"/>
      <c r="C268" s="149"/>
      <c r="D268" s="4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2">
      <c r="A269" s="51"/>
      <c r="B269" s="4"/>
      <c r="C269" s="149"/>
      <c r="D269" s="4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2">
      <c r="A270" s="51"/>
      <c r="B270" s="4"/>
      <c r="C270" s="149"/>
      <c r="D270" s="4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2">
      <c r="A271" s="51"/>
      <c r="B271" s="4"/>
      <c r="C271" s="149"/>
      <c r="D271" s="4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2">
      <c r="A272" s="51"/>
      <c r="B272" s="4"/>
      <c r="C272" s="149"/>
      <c r="D272" s="4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2">
      <c r="A273" s="51"/>
      <c r="B273" s="4"/>
      <c r="C273" s="149"/>
      <c r="D273" s="4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 x14ac:dyDescent="0.2">
      <c r="A274" s="51"/>
      <c r="B274" s="4"/>
      <c r="C274" s="149"/>
      <c r="D274" s="4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2">
      <c r="A275" s="51"/>
      <c r="B275" s="4"/>
      <c r="C275" s="149"/>
      <c r="D275" s="4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2">
      <c r="A276" s="51"/>
      <c r="B276" s="4"/>
      <c r="C276" s="149"/>
      <c r="D276" s="4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2">
      <c r="A277" s="51"/>
      <c r="B277" s="4"/>
      <c r="C277" s="149"/>
      <c r="D277" s="4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2">
      <c r="A278" s="51"/>
      <c r="B278" s="4"/>
      <c r="C278" s="149"/>
      <c r="D278" s="4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2">
      <c r="A279" s="51"/>
      <c r="B279" s="4"/>
      <c r="C279" s="149"/>
      <c r="D279" s="4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 x14ac:dyDescent="0.2">
      <c r="A280" s="51"/>
      <c r="B280" s="4"/>
      <c r="C280" s="149"/>
      <c r="D280" s="4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 x14ac:dyDescent="0.2">
      <c r="A281" s="51"/>
      <c r="B281" s="4"/>
      <c r="C281" s="149"/>
      <c r="D281" s="4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 x14ac:dyDescent="0.2">
      <c r="A282" s="51"/>
      <c r="B282" s="4"/>
      <c r="C282" s="149"/>
      <c r="D282" s="4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 x14ac:dyDescent="0.2">
      <c r="A283" s="51"/>
      <c r="B283" s="4"/>
      <c r="C283" s="149"/>
      <c r="D283" s="4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 x14ac:dyDescent="0.2">
      <c r="A284" s="51"/>
      <c r="B284" s="4"/>
      <c r="C284" s="149"/>
      <c r="D284" s="4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 x14ac:dyDescent="0.2">
      <c r="A285" s="51"/>
      <c r="B285" s="4"/>
      <c r="C285" s="149"/>
      <c r="D285" s="4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/>
    <row r="287" spans="1:26" ht="15.75" customHeight="1" x14ac:dyDescent="0.2"/>
    <row r="288" spans="1:26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9:E29"/>
  </mergeCells>
  <dataValidations count="1">
    <dataValidation type="list" allowBlank="1" showErrorMessage="1" sqref="A6:A19 A23:A26" xr:uid="{00000000-0002-0000-0300-000000000000}">
      <formula1>"Janvier,Fevrier,Mars,Avril,Mai,Juin,Juillet,Août,Septembre,Octobre,Novembre,Décembre"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31.1640625" customWidth="1"/>
    <col min="3" max="3" width="13.1640625" customWidth="1"/>
    <col min="4" max="4" width="12" customWidth="1"/>
    <col min="5" max="5" width="16.33203125" customWidth="1"/>
    <col min="6" max="8" width="9.1640625" hidden="1" customWidth="1"/>
    <col min="9" max="9" width="15.5" hidden="1" customWidth="1"/>
    <col min="10" max="10" width="16.1640625" customWidth="1"/>
    <col min="11" max="11" width="19.83203125" customWidth="1"/>
    <col min="12" max="26" width="9" customWidth="1"/>
  </cols>
  <sheetData>
    <row r="1" spans="1:26" ht="24.75" customHeight="1" x14ac:dyDescent="0.25">
      <c r="A1" s="360" t="s">
        <v>259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17" t="s">
        <v>7</v>
      </c>
      <c r="C5" s="158"/>
      <c r="D5" s="159"/>
      <c r="E5" s="218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215" t="s">
        <v>260</v>
      </c>
      <c r="C6" s="189"/>
      <c r="D6" s="190"/>
      <c r="E6" s="216">
        <v>500</v>
      </c>
      <c r="F6" s="48" t="s">
        <v>261</v>
      </c>
      <c r="G6" s="4"/>
      <c r="H6" s="4"/>
      <c r="I6" s="48" t="s">
        <v>262</v>
      </c>
      <c r="J6" s="4"/>
      <c r="K6" s="4" t="s">
        <v>263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215"/>
      <c r="C7" s="189"/>
      <c r="D7" s="190"/>
      <c r="E7" s="216"/>
      <c r="F7" s="4"/>
      <c r="G7" s="4"/>
      <c r="H7" s="4"/>
      <c r="I7" s="4"/>
      <c r="J7" s="4"/>
      <c r="K7" s="4"/>
      <c r="L7" s="4"/>
      <c r="M7" s="4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215"/>
      <c r="C8" s="189"/>
      <c r="D8" s="215"/>
      <c r="E8" s="2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215"/>
      <c r="C9" s="189"/>
      <c r="D9" s="215"/>
      <c r="E9" s="21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215"/>
      <c r="C10" s="189"/>
      <c r="D10" s="215"/>
      <c r="E10" s="2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215"/>
      <c r="C11" s="189"/>
      <c r="D11" s="215"/>
      <c r="E11" s="21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188"/>
      <c r="C12" s="189"/>
      <c r="D12" s="190"/>
      <c r="E12" s="2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61"/>
      <c r="B13" s="188"/>
      <c r="C13" s="189"/>
      <c r="D13" s="190"/>
      <c r="E13" s="2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61"/>
      <c r="B14" s="188"/>
      <c r="C14" s="189"/>
      <c r="D14" s="190"/>
      <c r="E14" s="2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78" t="s">
        <v>16</v>
      </c>
      <c r="B15" s="179"/>
      <c r="C15" s="180"/>
      <c r="D15" s="181"/>
      <c r="E15" s="182">
        <f>SUM(E6:E14)</f>
        <v>500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83" t="s">
        <v>206</v>
      </c>
      <c r="B16" s="184"/>
      <c r="C16" s="185"/>
      <c r="D16" s="184"/>
      <c r="E16" s="18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56" t="s">
        <v>218</v>
      </c>
      <c r="B17" s="208" t="s">
        <v>7</v>
      </c>
      <c r="C17" s="158"/>
      <c r="D17" s="159"/>
      <c r="E17" s="160" t="s">
        <v>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188"/>
      <c r="C18" s="189"/>
      <c r="D18" s="190"/>
      <c r="E18" s="18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188"/>
      <c r="C19" s="189"/>
      <c r="D19" s="190"/>
      <c r="E19" s="18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188"/>
      <c r="C20" s="189"/>
      <c r="D20" s="190"/>
      <c r="E20" s="18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188"/>
      <c r="C21" s="189"/>
      <c r="D21" s="190"/>
      <c r="E21" s="18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61"/>
      <c r="B22" s="188"/>
      <c r="C22" s="189"/>
      <c r="D22" s="190"/>
      <c r="E22" s="18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61"/>
      <c r="B23" s="188"/>
      <c r="C23" s="189"/>
      <c r="D23" s="190"/>
      <c r="E23" s="18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61"/>
      <c r="B24" s="188"/>
      <c r="C24" s="189"/>
      <c r="D24" s="190"/>
      <c r="E24" s="18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78" t="s">
        <v>16</v>
      </c>
      <c r="B25" s="179"/>
      <c r="C25" s="180"/>
      <c r="D25" s="181"/>
      <c r="E25" s="182">
        <f>SUM(E18:E24)</f>
        <v>0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6.5" customHeight="1" x14ac:dyDescent="0.2">
      <c r="A26" s="51"/>
      <c r="B26" s="4"/>
      <c r="C26" s="149"/>
      <c r="D26" s="4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 x14ac:dyDescent="0.2">
      <c r="A27" s="377" t="s">
        <v>204</v>
      </c>
      <c r="B27" s="375"/>
      <c r="C27" s="375"/>
      <c r="D27" s="375"/>
      <c r="E27" s="37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93" t="s">
        <v>205</v>
      </c>
      <c r="B28" s="194"/>
      <c r="C28" s="195"/>
      <c r="D28" s="194"/>
      <c r="E28" s="19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156" t="s">
        <v>3</v>
      </c>
      <c r="B29" s="197" t="s">
        <v>7</v>
      </c>
      <c r="C29" s="198" t="s">
        <v>4</v>
      </c>
      <c r="D29" s="199" t="s">
        <v>6</v>
      </c>
      <c r="E29" s="160" t="s">
        <v>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>
        <f>IF(ISNA(VLOOKUP($A$1&amp;" / "&amp;$A$28,JOURNAL!$B$5:$I$277,2,0)),"",VLOOKUP($A$1&amp;" / "&amp;$A$28,JOURNAL!$B$5:$I$277,2,0))</f>
        <v>70</v>
      </c>
      <c r="B30" s="201" t="str">
        <f>IF($A30="","",VLOOKUP($A30,JOURNAL!$C$5:$I$1115,5,0))</f>
        <v>note de frais deco</v>
      </c>
      <c r="C30" s="202">
        <f>IF($A30="","",VLOOKUP($A30,JOURNAL!$C$5:$I$1115,2,0))</f>
        <v>45978</v>
      </c>
      <c r="D30" s="201" t="str">
        <f>IF($A30="","",VLOOKUP($A30,JOURNAL!$C$5:$I$1115,4,0))</f>
        <v>Cécile Cabaret</v>
      </c>
      <c r="E30" s="187">
        <f>IF($A30="","",VLOOKUP($A30,JOURNAL!$C$5:$I$1115,3,0))</f>
        <v>114.8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>
        <f ca="1">IF(A30="","",IF(ISNA(VLOOKUP($A$1&amp;" / "&amp;$A$28,INDIRECT(ADDRESS(A30+5,2,1,,"JOURNAL")&amp;":G500"),2,0)),"",VLOOKUP($A$1&amp;" / "&amp;$A$28,INDIRECT(ADDRESS(A30+5,2,1,,"JOURNAL")&amp;":G500"),2,0)))</f>
        <v>188</v>
      </c>
      <c r="B31" s="201" t="str">
        <f ca="1">IF($A31="","",VLOOKUP($A31,JOURNAL!$C$5:$I$1115,5,0))</f>
        <v>Commande affiches</v>
      </c>
      <c r="C31" s="202">
        <f ca="1">IF($A31="","",VLOOKUP($A31,JOURNAL!$C$5:$I$1115,2,0))</f>
        <v>46084</v>
      </c>
      <c r="D31" s="201" t="str">
        <f ca="1">IF($A31="","",VLOOKUP($A31,JOURNAL!$C$5:$I$1115,4,0))</f>
        <v>Elia Nicolo</v>
      </c>
      <c r="E31" s="187">
        <f ca="1">IF($A31="","",VLOOKUP($A31,JOURNAL!$C$5:$I$1115,3,0))</f>
        <v>130.05000000000001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 t="str">
        <f ca="1">IF(A31="","",IF(ISNA(VLOOKUP($A$1&amp;" / "&amp;$A$28,INDIRECT(ADDRESS(A31+5,2,1,,"JOURNAL")&amp;":G500"),2,0)),"",VLOOKUP($A$1&amp;" / "&amp;$A$28,INDIRECT(ADDRESS(A31+5,2,1,,"JOURNAL")&amp;":G500"),2,0)))</f>
        <v/>
      </c>
      <c r="B32" s="201" t="str">
        <f ca="1">IF($A32="","",VLOOKUP($A32,JOURNAL!$C$5:$I$1115,5,0))</f>
        <v/>
      </c>
      <c r="C32" s="202" t="str">
        <f ca="1">IF($A32="","",VLOOKUP($A32,JOURNAL!$C$5:$I$1115,2,0))</f>
        <v/>
      </c>
      <c r="D32" s="201" t="str">
        <f ca="1">IF($A32="","",VLOOKUP($A32,JOURNAL!$C$5:$I$1115,4,0))</f>
        <v/>
      </c>
      <c r="E32" s="187" t="str">
        <f ca="1">IF($A32="","",VLOOKUP($A32,JOURNAL!$C$5:$I$1115,3,0))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ca="1">IF(A32="","",IF(ISNA(VLOOKUP($A$1&amp;" / "&amp;$A$28,INDIRECT(ADDRESS(A32+5,2,1,,"JOURNAL")&amp;":G500"),2,0)),"",VLOOKUP($A$1&amp;" / "&amp;$A$28,INDIRECT(ADDRESS(A32+5,2,1,,"JOURNAL")&amp;":G500"),2,0)))</f>
        <v/>
      </c>
      <c r="B33" s="201" t="str">
        <f ca="1">IF($A33="","",VLOOKUP($A33,JOURNAL!$C$5:$I$1115,5,0))</f>
        <v/>
      </c>
      <c r="C33" s="202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shared" ref="A34:A44" ca="1" si="0">IF(A33="","",IF(ISNA(VLOOKUP($A$1&amp;" / "&amp;$A$28,INDIRECT(ADDRESS(A33+5,2,1,,"JOURNAL")&amp;":G700"),2,0)),"",VLOOKUP($A$1&amp;" / "&amp;$A$28,INDIRECT(ADDRESS(A33+5,2,1,,"JOURNAL")&amp;":G700"),2,0)))</f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t="shared" ca="1" si="0"/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t="array" aca="1" ref="A45" ca="1">IF(A44="","",IF(ISNA(VLOOKUP($A$1&amp;" / "&amp;$A$28,INDIRECT(ADDRESS(A44+5,2,1,,"JOURNAL")&amp;":G500"),2,0)),"",VLOOKUP($A$1&amp;" / "&amp;$A$28,INDIRECT(ADDRESS(A44+5,2,1,,"JOURNAL")&amp;":G500"),2,0)))</f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178" t="s">
        <v>16</v>
      </c>
      <c r="B46" s="179"/>
      <c r="C46" s="180"/>
      <c r="D46" s="181"/>
      <c r="E46" s="182">
        <f ca="1">SUM(E30:E45)</f>
        <v>244.85000000000002</v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6.5" customHeight="1" x14ac:dyDescent="0.2">
      <c r="A47" s="204" t="s">
        <v>206</v>
      </c>
      <c r="B47" s="205"/>
      <c r="C47" s="206"/>
      <c r="D47" s="205"/>
      <c r="E47" s="20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156" t="s">
        <v>3</v>
      </c>
      <c r="B48" s="197" t="s">
        <v>7</v>
      </c>
      <c r="C48" s="198" t="s">
        <v>4</v>
      </c>
      <c r="D48" s="199" t="s">
        <v>6</v>
      </c>
      <c r="E48" s="160" t="s">
        <v>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 t="str">
        <f>IF(ISNA(VLOOKUP($A$1&amp;" / "&amp;$A$47,JOURNAL!$B$5:$I$277,2,0)),"",VLOOKUP($A$1&amp;" / "&amp;$A$47,JOURNAL!$B$5:$I$277,2,0))</f>
        <v/>
      </c>
      <c r="B49" s="201" t="str">
        <f>IF($A49="","",VLOOKUP($A49,JOURNAL!$C$5:$I$1115,5,0))</f>
        <v/>
      </c>
      <c r="C49" s="202" t="str">
        <f>IF($A49="","",VLOOKUP($A49,JOURNAL!$C$5:$I$1115,2,0))</f>
        <v/>
      </c>
      <c r="D49" s="201" t="str">
        <f>IF($A49="","",VLOOKUP($A49,JOURNAL!$C$5:$I$1115,4,0))</f>
        <v/>
      </c>
      <c r="E49" s="187" t="str">
        <f>IF($A49="","",VLOOKUP($A49,JOURNAL!$C$5:$I$1115,3,0))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 t="str">
        <f ca="1">IF(A49="","",IF(ISNA(VLOOKUP($A$1&amp;" / "&amp;$A$47,INDIRECT(ADDRESS(A49+5,2,1,,"JOURNAL")&amp;":G700"),2,0)),"",VLOOKUP($A$1&amp;" / "&amp;$A$47,INDIRECT(ADDRESS(A49+5,2,1,,"JOURNAL")&amp;":G700"),2,0)))</f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 t="str">
        <f ca="1">IF(A50="","",IF(ISNA(VLOOKUP($A$1&amp;" / "&amp;$A$47,INDIRECT(ADDRESS(A50+5,2,1,,"JOURNAL")&amp;":G700"),2,0)),"",VLOOKUP($A$1&amp;" / "&amp;$A$47,INDIRECT(ADDRESS(A50+5,2,1,,"JOURNAL")&amp;":G700"),2,0)))</f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 t="str">
        <f ca="1">IF(A51="","",IF(ISNA(VLOOKUP($A$1&amp;" / "&amp;$A$47,INDIRECT(ADDRESS(A51+5,2,1,,"JOURNAL")&amp;":G700"),2,0)),"",VLOOKUP($A$1&amp;" / "&amp;$A$47,INDIRECT(ADDRESS(A51+5,2,1,,"JOURNAL")&amp;":G700"),2,0)))</f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 t="str">
        <f ca="1">IF(A52="","",IF(ISNA(VLOOKUP($A$1&amp;" / "&amp;$A$47,INDIRECT(ADDRESS(A52+5,2,1,,"JOURNAL")&amp;":G700"),2,0)),"",VLOOKUP($A$1&amp;" / "&amp;$A$47,INDIRECT(ADDRESS(A52+5,2,1,,"JOURNAL")&amp;":G700"),2,0)))</f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ca="1">IF(A53="","",IF(ISNA(VLOOKUP($A$1&amp;" / "&amp;$A$47,INDIRECT(ADDRESS(A53+5,2,1,,"JOURNAL")&amp;":G700"),2,0)),"",VLOOKUP($A$1&amp;" / "&amp;$A$47,INDIRECT(ADDRESS(A53+5,2,1,,"JOURNAL")&amp;":G700"),2,0)))</f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 t="array" aca="1" ref="A55" ca="1">IF(A54="","",IF(ISNA(VLOOKUP($A$1&amp;" / "&amp;$A$47,INDIRECT(ADDRESS(A54+5,2,1,,"JOURNAL")&amp;":G500"),2,0)),"",VLOOKUP($A$1&amp;" / "&amp;$A$47,INDIRECT(ADDRESS(A54+5,2,1,,"JOURNAL")&amp;":G500"),2,0)))</f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178" t="s">
        <v>16</v>
      </c>
      <c r="B56" s="179"/>
      <c r="C56" s="180"/>
      <c r="D56" s="181"/>
      <c r="E56" s="182">
        <f ca="1">SUM(E49:E55)</f>
        <v>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6.5" customHeight="1" x14ac:dyDescent="0.2">
      <c r="A57" s="51"/>
      <c r="B57" s="4"/>
      <c r="C57" s="149"/>
      <c r="D57" s="4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51"/>
      <c r="B58" s="4"/>
      <c r="C58" s="149"/>
      <c r="D58" s="4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51"/>
      <c r="B59" s="4"/>
      <c r="C59" s="149"/>
      <c r="D59" s="4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51"/>
      <c r="B60" s="4"/>
      <c r="C60" s="149"/>
      <c r="D60" s="4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51"/>
      <c r="B61" s="4"/>
      <c r="C61" s="149"/>
      <c r="D61" s="4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51"/>
      <c r="B62" s="4"/>
      <c r="C62" s="149"/>
      <c r="D62" s="4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51"/>
      <c r="B63" s="4"/>
      <c r="C63" s="149"/>
      <c r="D63" s="4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51"/>
      <c r="B64" s="4"/>
      <c r="C64" s="149"/>
      <c r="D64" s="4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51"/>
      <c r="B65" s="4"/>
      <c r="C65" s="149"/>
      <c r="D65" s="4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51"/>
      <c r="B66" s="4"/>
      <c r="C66" s="149"/>
      <c r="D66" s="4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51"/>
      <c r="B67" s="4"/>
      <c r="C67" s="149"/>
      <c r="D67" s="4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51"/>
      <c r="B68" s="4"/>
      <c r="C68" s="149"/>
      <c r="D68" s="4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51"/>
      <c r="B69" s="4"/>
      <c r="C69" s="149"/>
      <c r="D69" s="4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51"/>
      <c r="B70" s="4"/>
      <c r="C70" s="149"/>
      <c r="D70" s="4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51"/>
      <c r="B71" s="4"/>
      <c r="C71" s="149"/>
      <c r="D71" s="4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51"/>
      <c r="B72" s="4"/>
      <c r="C72" s="149"/>
      <c r="D72" s="4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51"/>
      <c r="B73" s="4"/>
      <c r="C73" s="149"/>
      <c r="D73" s="4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51"/>
      <c r="B74" s="4"/>
      <c r="C74" s="149"/>
      <c r="D74" s="4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51"/>
      <c r="B75" s="4"/>
      <c r="C75" s="149"/>
      <c r="D75" s="4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51"/>
      <c r="B76" s="4"/>
      <c r="C76" s="149"/>
      <c r="D76" s="4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51"/>
      <c r="B77" s="4"/>
      <c r="C77" s="149"/>
      <c r="D77" s="4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51"/>
      <c r="B78" s="4"/>
      <c r="C78" s="149"/>
      <c r="D78" s="4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51"/>
      <c r="B79" s="4"/>
      <c r="C79" s="149"/>
      <c r="D79" s="4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51"/>
      <c r="B80" s="4"/>
      <c r="C80" s="149"/>
      <c r="D80" s="4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51"/>
      <c r="B81" s="4"/>
      <c r="C81" s="149"/>
      <c r="D81" s="4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51"/>
      <c r="B82" s="4"/>
      <c r="C82" s="149"/>
      <c r="D82" s="4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51"/>
      <c r="B83" s="4"/>
      <c r="C83" s="149"/>
      <c r="D83" s="4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51"/>
      <c r="B84" s="4"/>
      <c r="C84" s="149"/>
      <c r="D84" s="4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51"/>
      <c r="B85" s="4"/>
      <c r="C85" s="149"/>
      <c r="D85" s="4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51"/>
      <c r="B86" s="4"/>
      <c r="C86" s="149"/>
      <c r="D86" s="4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51"/>
      <c r="B87" s="4"/>
      <c r="C87" s="149"/>
      <c r="D87" s="4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7:E27"/>
  </mergeCells>
  <dataValidations count="1">
    <dataValidation type="list" allowBlank="1" showErrorMessage="1" sqref="A6:A14 A18:A24" xr:uid="{00000000-0002-0000-0400-000000000000}">
      <formula1>"Janvier,Fevrier,Mars,Avril,Mai,Juin,Juillet,Août,Octobre,Novembre,Décembre"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34" customWidth="1"/>
    <col min="3" max="3" width="11.1640625" customWidth="1"/>
    <col min="4" max="4" width="26.6640625" customWidth="1"/>
    <col min="5" max="5" width="18.33203125" customWidth="1"/>
    <col min="7" max="25" width="9" customWidth="1"/>
  </cols>
  <sheetData>
    <row r="1" spans="1:26" ht="22" x14ac:dyDescent="0.25">
      <c r="A1" s="360" t="s">
        <v>264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08" t="s">
        <v>7</v>
      </c>
      <c r="C5" s="198" t="s">
        <v>4</v>
      </c>
      <c r="D5" s="199" t="s">
        <v>6</v>
      </c>
      <c r="E5" s="219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220" t="s">
        <v>265</v>
      </c>
      <c r="C6" s="221"/>
      <c r="D6" s="220"/>
      <c r="E6" s="222">
        <v>1500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174" t="s">
        <v>266</v>
      </c>
      <c r="C7" s="223"/>
      <c r="D7" s="174"/>
      <c r="E7" s="224">
        <v>2500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174"/>
      <c r="C8" s="223"/>
      <c r="D8" s="174"/>
      <c r="E8" s="22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174"/>
      <c r="C9" s="223"/>
      <c r="D9" s="174"/>
      <c r="E9" s="22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174"/>
      <c r="C10" s="223"/>
      <c r="D10" s="174"/>
      <c r="E10" s="22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174"/>
      <c r="C11" s="223"/>
      <c r="D11" s="174"/>
      <c r="E11" s="22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174"/>
      <c r="C12" s="223"/>
      <c r="D12" s="174"/>
      <c r="E12" s="22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61"/>
      <c r="B13" s="174"/>
      <c r="C13" s="223"/>
      <c r="D13" s="174"/>
      <c r="E13" s="22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61"/>
      <c r="B14" s="174"/>
      <c r="C14" s="223"/>
      <c r="D14" s="174"/>
      <c r="E14" s="22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61"/>
      <c r="B15" s="174"/>
      <c r="C15" s="223"/>
      <c r="D15" s="174"/>
      <c r="E15" s="22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73"/>
      <c r="B16" s="220"/>
      <c r="C16" s="223"/>
      <c r="D16" s="225"/>
      <c r="E16" s="22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78" t="s">
        <v>16</v>
      </c>
      <c r="B17" s="179"/>
      <c r="C17" s="180"/>
      <c r="D17" s="181"/>
      <c r="E17" s="226">
        <f>SUM(E6:E16)</f>
        <v>4000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83" t="s">
        <v>206</v>
      </c>
      <c r="B18" s="184"/>
      <c r="C18" s="185"/>
      <c r="D18" s="184"/>
      <c r="E18" s="18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227" t="s">
        <v>218</v>
      </c>
      <c r="B19" s="228" t="s">
        <v>7</v>
      </c>
      <c r="C19" s="198" t="s">
        <v>4</v>
      </c>
      <c r="D19" s="199" t="s">
        <v>6</v>
      </c>
      <c r="E19" s="229" t="s">
        <v>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230"/>
      <c r="B20" s="201"/>
      <c r="C20" s="202"/>
      <c r="D20" s="201"/>
      <c r="E20" s="22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230"/>
      <c r="B21" s="201"/>
      <c r="C21" s="202"/>
      <c r="D21" s="201"/>
      <c r="E21" s="22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230"/>
      <c r="B22" s="231"/>
      <c r="C22" s="232"/>
      <c r="D22" s="231"/>
      <c r="E22" s="22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230"/>
      <c r="B23" s="231"/>
      <c r="C23" s="232"/>
      <c r="D23" s="231"/>
      <c r="E23" s="22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230"/>
      <c r="B24" s="231"/>
      <c r="C24" s="232"/>
      <c r="D24" s="231"/>
      <c r="E24" s="22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230"/>
      <c r="B25" s="231"/>
      <c r="C25" s="232"/>
      <c r="D25" s="231"/>
      <c r="E25" s="22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230"/>
      <c r="B26" s="231"/>
      <c r="C26" s="232"/>
      <c r="D26" s="231"/>
      <c r="E26" s="22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178" t="s">
        <v>16</v>
      </c>
      <c r="B27" s="179"/>
      <c r="C27" s="180"/>
      <c r="D27" s="181"/>
      <c r="E27" s="233">
        <f>SUM(E20:E26)</f>
        <v>0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4"/>
    </row>
    <row r="28" spans="1:26" ht="16.5" customHeight="1" x14ac:dyDescent="0.2">
      <c r="A28" s="51"/>
      <c r="B28" s="4"/>
      <c r="C28" s="149"/>
      <c r="D28" s="4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378" t="s">
        <v>204</v>
      </c>
      <c r="B29" s="379"/>
      <c r="C29" s="379"/>
      <c r="D29" s="379"/>
      <c r="E29" s="38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193" t="s">
        <v>205</v>
      </c>
      <c r="B30" s="194"/>
      <c r="C30" s="195"/>
      <c r="D30" s="194"/>
      <c r="E30" s="19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156" t="s">
        <v>3</v>
      </c>
      <c r="B31" s="197" t="s">
        <v>7</v>
      </c>
      <c r="C31" s="198" t="s">
        <v>4</v>
      </c>
      <c r="D31" s="199" t="s">
        <v>6</v>
      </c>
      <c r="E31" s="160" t="s">
        <v>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>
        <f>IF(ISNA(VLOOKUP($A$1&amp;" / "&amp;$A$30,JOURNAL!$B$5:$I$1115,2,0)),"",VLOOKUP($A$1&amp;" / "&amp;$A$30,JOURNAL!$B$5:$I$1115,2,0))</f>
        <v>4</v>
      </c>
      <c r="B32" s="201" t="str">
        <f>IF($A32="","",VLOOKUP($A32,JOURNAL!$C$5:$I$1115,5,0))</f>
        <v>Bière pour local</v>
      </c>
      <c r="C32" s="202">
        <f>IF($A32="","",VLOOKUP($A32,JOURNAL!$C$5:$I$1115,2,0))</f>
        <v>46279</v>
      </c>
      <c r="D32" s="201" t="str">
        <f>IF($A32="","",VLOOKUP($A32,JOURNAL!$C$5:$I$1115,4,0))</f>
        <v>Landi</v>
      </c>
      <c r="E32" s="187">
        <f>IF($A32="","",VLOOKUP($A32,JOURNAL!$C$5:$I$1115,3,0))</f>
        <v>10.8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>
        <f t="shared" ref="A33:A40" ca="1" si="0">IF(A32="","",IF(ISNA(VLOOKUP($A$1&amp;" / "&amp;$A$30,INDIRECT(ADDRESS(A32+5,2,1,,"JOURNAL")&amp;":G500"),2,0)),"",VLOOKUP($A$1&amp;" / "&amp;$A$30,INDIRECT(ADDRESS(A32+5,2,1,,"JOURNAL")&amp;":G500"),2,0)))</f>
        <v>20</v>
      </c>
      <c r="B33" s="201" t="str">
        <f ca="1">IF($A33="","",VLOOKUP($A33,JOURNAL!$C$5:$I$1115,5,0))</f>
        <v>AG : Achat bières</v>
      </c>
      <c r="C33" s="202">
        <f ca="1">IF($A33="","",VLOOKUP($A33,JOURNAL!$C$5:$I$1115,2,0))</f>
        <v>45911</v>
      </c>
      <c r="D33" s="201" t="str">
        <f ca="1">IF($A33="","",VLOOKUP($A33,JOURNAL!$C$5:$I$1115,4,0))</f>
        <v>Landi</v>
      </c>
      <c r="E33" s="187">
        <f ca="1">IF($A33="","",VLOOKUP($A33,JOURNAL!$C$5:$I$1115,3,0))</f>
        <v>23.4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shared" ca="1" si="0"/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t="shared" ca="1" si="0"/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ref="A41:A59" ca="1" si="1">IF(A40="","",IF(ISNA(VLOOKUP($A$1&amp;" / "&amp;$A$30,INDIRECT(ADDRESS(A40+5,2,1,,"JOURNAL")&amp;":G700"),2,0)),"",VLOOKUP($A$1&amp;" / "&amp;$A$30,INDIRECT(ADDRESS(A40+5,2,1,,"JOURNAL")&amp;":G700"),2,0)))</f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1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1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1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t="shared" ca="1" si="1"/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200" t="str">
        <f t="shared" ca="1" si="1"/>
        <v/>
      </c>
      <c r="B46" s="201" t="str">
        <f ca="1">IF($A46="","",VLOOKUP($A46,JOURNAL!$C$5:$I$1115,5,0))</f>
        <v/>
      </c>
      <c r="C46" s="202" t="str">
        <f ca="1">IF($A46="","",VLOOKUP($A46,JOURNAL!$C$5:$I$1115,2,0))</f>
        <v/>
      </c>
      <c r="D46" s="201" t="str">
        <f ca="1">IF($A46="","",VLOOKUP($A46,JOURNAL!$C$5:$I$1115,4,0))</f>
        <v/>
      </c>
      <c r="E46" s="187" t="str">
        <f ca="1">IF($A46="","",VLOOKUP($A46,JOURNAL!$C$5:$I$1115,3,0))</f>
        <v/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200" t="str">
        <f t="shared" ca="1" si="1"/>
        <v/>
      </c>
      <c r="B47" s="201" t="str">
        <f ca="1">IF($A47="","",VLOOKUP($A47,JOURNAL!$C$5:$I$1115,5,0))</f>
        <v/>
      </c>
      <c r="C47" s="202" t="str">
        <f ca="1">IF($A47="","",VLOOKUP($A47,JOURNAL!$C$5:$I$1115,2,0))</f>
        <v/>
      </c>
      <c r="D47" s="201" t="str">
        <f ca="1">IF($A47="","",VLOOKUP($A47,JOURNAL!$C$5:$I$1115,4,0))</f>
        <v/>
      </c>
      <c r="E47" s="187" t="str">
        <f ca="1">IF($A47="","",VLOOKUP($A47,JOURNAL!$C$5:$I$1115,3,0))</f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200" t="str">
        <f t="shared" ca="1" si="1"/>
        <v/>
      </c>
      <c r="B48" s="201" t="str">
        <f ca="1">IF($A48="","",VLOOKUP($A48,JOURNAL!$C$5:$I$1115,5,0))</f>
        <v/>
      </c>
      <c r="C48" s="202" t="str">
        <f ca="1">IF($A48="","",VLOOKUP($A48,JOURNAL!$C$5:$I$1115,2,0))</f>
        <v/>
      </c>
      <c r="D48" s="201" t="str">
        <f ca="1">IF($A48="","",VLOOKUP($A48,JOURNAL!$C$5:$I$1115,4,0))</f>
        <v/>
      </c>
      <c r="E48" s="187" t="str">
        <f ca="1">IF($A48="","",VLOOKUP($A48,JOURNAL!$C$5:$I$1115,3,0))</f>
        <v/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 t="str">
        <f t="shared" ca="1" si="1"/>
        <v/>
      </c>
      <c r="B49" s="201" t="str">
        <f ca="1">IF($A49="","",VLOOKUP($A49,JOURNAL!$C$5:$I$1115,5,0))</f>
        <v/>
      </c>
      <c r="C49" s="202" t="str">
        <f ca="1">IF($A49="","",VLOOKUP($A49,JOURNAL!$C$5:$I$1115,2,0))</f>
        <v/>
      </c>
      <c r="D49" s="201" t="str">
        <f ca="1">IF($A49="","",VLOOKUP($A49,JOURNAL!$C$5:$I$1115,4,0))</f>
        <v/>
      </c>
      <c r="E49" s="187" t="str">
        <f ca="1">IF($A49="","",VLOOKUP($A49,JOURNAL!$C$5:$I$1115,3,0))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 t="str">
        <f t="shared" ca="1" si="1"/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 t="str">
        <f t="shared" ca="1" si="1"/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 t="str">
        <f t="shared" ca="1" si="1"/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 t="str">
        <f t="shared" ca="1" si="1"/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t="shared" ca="1" si="1"/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 t="shared" ca="1" si="1"/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200" t="str">
        <f t="shared" ca="1" si="1"/>
        <v/>
      </c>
      <c r="B56" s="201" t="str">
        <f ca="1">IF($A56="","",VLOOKUP($A56,JOURNAL!$C$5:$I$1115,5,0))</f>
        <v/>
      </c>
      <c r="C56" s="202" t="str">
        <f ca="1">IF($A56="","",VLOOKUP($A56,JOURNAL!$C$5:$I$1115,2,0))</f>
        <v/>
      </c>
      <c r="D56" s="201" t="str">
        <f ca="1">IF($A56="","",VLOOKUP($A56,JOURNAL!$C$5:$I$1115,4,0))</f>
        <v/>
      </c>
      <c r="E56" s="187" t="str">
        <f ca="1">IF($A56="","",VLOOKUP($A56,JOURNAL!$C$5:$I$1115,3,0))</f>
        <v/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200" t="str">
        <f t="shared" ca="1" si="1"/>
        <v/>
      </c>
      <c r="B57" s="201" t="str">
        <f ca="1">IF($A57="","",VLOOKUP($A57,JOURNAL!$C$5:$I$1115,5,0))</f>
        <v/>
      </c>
      <c r="C57" s="202" t="str">
        <f ca="1">IF($A57="","",VLOOKUP($A57,JOURNAL!$C$5:$I$1115,2,0))</f>
        <v/>
      </c>
      <c r="D57" s="201" t="str">
        <f ca="1">IF($A57="","",VLOOKUP($A57,JOURNAL!$C$5:$I$1115,4,0))</f>
        <v/>
      </c>
      <c r="E57" s="187" t="str">
        <f ca="1">IF($A57="","",VLOOKUP($A57,JOURNAL!$C$5:$I$1115,3,0))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200" t="str">
        <f t="shared" ca="1" si="1"/>
        <v/>
      </c>
      <c r="B58" s="201" t="str">
        <f ca="1">IF($A58="","",VLOOKUP($A58,JOURNAL!$C$5:$I$1115,5,0))</f>
        <v/>
      </c>
      <c r="C58" s="202" t="str">
        <f ca="1">IF($A58="","",VLOOKUP($A58,JOURNAL!$C$5:$I$1115,2,0))</f>
        <v/>
      </c>
      <c r="D58" s="201" t="str">
        <f ca="1">IF($A58="","",VLOOKUP($A58,JOURNAL!$C$5:$I$1115,4,0))</f>
        <v/>
      </c>
      <c r="E58" s="187" t="str">
        <f ca="1">IF($A58="","",VLOOKUP($A58,JOURNAL!$C$5:$I$1115,3,0))</f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200" t="str">
        <f t="shared" ca="1" si="1"/>
        <v/>
      </c>
      <c r="B59" s="201" t="str">
        <f ca="1">IF($A59="","",VLOOKUP($A59,JOURNAL!$C$5:$I$1115,5,0))</f>
        <v/>
      </c>
      <c r="C59" s="202" t="str">
        <f ca="1">IF($A59="","",VLOOKUP($A59,JOURNAL!$C$5:$I$1115,2,0))</f>
        <v/>
      </c>
      <c r="D59" s="201" t="str">
        <f ca="1">IF($A59="","",VLOOKUP($A59,JOURNAL!$C$5:$I$1115,4,0))</f>
        <v/>
      </c>
      <c r="E59" s="187" t="str">
        <f ca="1">IF($A59="","",VLOOKUP($A59,JOURNAL!$C$5:$I$1115,3,0))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200" t="str">
        <f t="array" aca="1" ref="A60" ca="1">IF(A59="","",IF(ISNA(VLOOKUP($A$1&amp;" / "&amp;$A$30,INDIRECT(ADDRESS(A59+5,2,1,,"JOURNAL")&amp;":G500"),2,0)),"",VLOOKUP($A$1&amp;" / "&amp;$A$30,INDIRECT(ADDRESS(A59+5,2,1,,"JOURNAL")&amp;":G500"),2,0)))</f>
        <v/>
      </c>
      <c r="B60" s="201" t="str">
        <f ca="1">IF($A60="","",VLOOKUP($A60,JOURNAL!$C$5:$I$1115,5,0))</f>
        <v/>
      </c>
      <c r="C60" s="202" t="str">
        <f ca="1">IF($A60="","",VLOOKUP($A60,JOURNAL!$C$5:$I$1115,2,0))</f>
        <v/>
      </c>
      <c r="D60" s="201" t="str">
        <f ca="1">IF($A60="","",VLOOKUP($A60,JOURNAL!$C$5:$I$1115,4,0))</f>
        <v/>
      </c>
      <c r="E60" s="187" t="str">
        <f ca="1">IF($A60="","",VLOOKUP($A60,JOURNAL!$C$5:$I$1115,3,0))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178" t="s">
        <v>16</v>
      </c>
      <c r="B61" s="179"/>
      <c r="C61" s="180"/>
      <c r="D61" s="181"/>
      <c r="E61" s="182">
        <f ca="1">SUM(E32:E60)</f>
        <v>34.200000000000003</v>
      </c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4"/>
    </row>
    <row r="62" spans="1:26" ht="16.5" customHeight="1" x14ac:dyDescent="0.2">
      <c r="A62" s="204" t="s">
        <v>206</v>
      </c>
      <c r="B62" s="205"/>
      <c r="C62" s="206"/>
      <c r="D62" s="205"/>
      <c r="E62" s="20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156" t="s">
        <v>3</v>
      </c>
      <c r="B63" s="197" t="s">
        <v>7</v>
      </c>
      <c r="C63" s="198" t="s">
        <v>4</v>
      </c>
      <c r="D63" s="199" t="s">
        <v>6</v>
      </c>
      <c r="E63" s="160" t="s">
        <v>5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200" t="str">
        <f>IF(ISNA(VLOOKUP($A$1&amp;" / "&amp;$A$62,JOURNAL!$B$5:$I$1115,2,0)),"",VLOOKUP($A$1&amp;" / "&amp;$A$62,JOURNAL!$B$5:$I$1115,2,0))</f>
        <v/>
      </c>
      <c r="B64" s="201" t="str">
        <f>IF($A64="","",VLOOKUP($A64,JOURNAL!$C$5:$I$1115,5,0))</f>
        <v/>
      </c>
      <c r="C64" s="202" t="str">
        <f>IF($A64="","",VLOOKUP($A64,JOURNAL!$C$5:$I$1115,2,0))</f>
        <v/>
      </c>
      <c r="D64" s="201" t="str">
        <f>IF($A64="","",VLOOKUP($A64,JOURNAL!$C$5:$I$1115,4,0))</f>
        <v/>
      </c>
      <c r="E64" s="187" t="str">
        <f>IF($A64="","",VLOOKUP($A64,JOURNAL!$C$5:$I$1115,3,0))</f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200" t="str">
        <f t="shared" ref="A65:A90" ca="1" si="2">IF(A64="","",IF(ISNA(VLOOKUP($A$1&amp;" / "&amp;$A$62,INDIRECT(ADDRESS(A64+5,2,1,,"JOURNAL")&amp;":G700"),2,0)),"",VLOOKUP($A$1&amp;" / "&amp;$A$62,INDIRECT(ADDRESS(A64+5,2,1,,"JOURNAL")&amp;":G700"),2,0)))</f>
        <v/>
      </c>
      <c r="B65" s="201" t="str">
        <f ca="1">IF($A65="","",VLOOKUP($A65,JOURNAL!$C$5:$I$1115,5,0))</f>
        <v/>
      </c>
      <c r="C65" s="202" t="str">
        <f ca="1">IF($A65="","",VLOOKUP($A65,JOURNAL!$C$5:$I$1115,2,0))</f>
        <v/>
      </c>
      <c r="D65" s="201" t="str">
        <f ca="1">IF($A65="","",VLOOKUP($A65,JOURNAL!$C$5:$I$1115,4,0))</f>
        <v/>
      </c>
      <c r="E65" s="187" t="str">
        <f ca="1">IF($A65="","",VLOOKUP($A65,JOURNAL!$C$5:$I$1115,3,0))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200" t="str">
        <f t="shared" ca="1" si="2"/>
        <v/>
      </c>
      <c r="B66" s="201" t="str">
        <f ca="1">IF($A66="","",VLOOKUP($A66,JOURNAL!$C$5:$I$1115,5,0))</f>
        <v/>
      </c>
      <c r="C66" s="202" t="str">
        <f ca="1">IF($A66="","",VLOOKUP($A66,JOURNAL!$C$5:$I$1115,2,0))</f>
        <v/>
      </c>
      <c r="D66" s="201" t="str">
        <f ca="1">IF($A66="","",VLOOKUP($A66,JOURNAL!$C$5:$I$1115,4,0))</f>
        <v/>
      </c>
      <c r="E66" s="187" t="str">
        <f ca="1">IF($A66="","",VLOOKUP($A66,JOURNAL!$C$5:$I$1115,3,0))</f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200" t="str">
        <f t="shared" ca="1" si="2"/>
        <v/>
      </c>
      <c r="B67" s="201" t="str">
        <f ca="1">IF($A67="","",VLOOKUP($A67,JOURNAL!$C$5:$I$1115,5,0))</f>
        <v/>
      </c>
      <c r="C67" s="202" t="str">
        <f ca="1">IF($A67="","",VLOOKUP($A67,JOURNAL!$C$5:$I$1115,2,0))</f>
        <v/>
      </c>
      <c r="D67" s="201" t="str">
        <f ca="1">IF($A67="","",VLOOKUP($A67,JOURNAL!$C$5:$I$1115,4,0))</f>
        <v/>
      </c>
      <c r="E67" s="187" t="str">
        <f ca="1">IF($A67="","",VLOOKUP($A67,JOURNAL!$C$5:$I$1115,3,0))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200" t="str">
        <f t="shared" ca="1" si="2"/>
        <v/>
      </c>
      <c r="B68" s="201" t="str">
        <f ca="1">IF($A68="","",VLOOKUP($A68,JOURNAL!$C$5:$I$1115,5,0))</f>
        <v/>
      </c>
      <c r="C68" s="202" t="str">
        <f ca="1">IF($A68="","",VLOOKUP($A68,JOURNAL!$C$5:$I$1115,2,0))</f>
        <v/>
      </c>
      <c r="D68" s="201" t="str">
        <f ca="1">IF($A68="","",VLOOKUP($A68,JOURNAL!$C$5:$I$1115,4,0))</f>
        <v/>
      </c>
      <c r="E68" s="187" t="str">
        <f ca="1">IF($A68="","",VLOOKUP($A68,JOURNAL!$C$5:$I$1115,3,0))</f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200" t="str">
        <f t="shared" ca="1" si="2"/>
        <v/>
      </c>
      <c r="B69" s="201" t="str">
        <f ca="1">IF($A69="","",VLOOKUP($A69,JOURNAL!$C$5:$I$1115,5,0))</f>
        <v/>
      </c>
      <c r="C69" s="202" t="str">
        <f ca="1">IF($A69="","",VLOOKUP($A69,JOURNAL!$C$5:$I$1115,2,0))</f>
        <v/>
      </c>
      <c r="D69" s="201" t="str">
        <f ca="1">IF($A69="","",VLOOKUP($A69,JOURNAL!$C$5:$I$1115,4,0))</f>
        <v/>
      </c>
      <c r="E69" s="187" t="str">
        <f ca="1">IF($A69="","",VLOOKUP($A69,JOURNAL!$C$5:$I$1115,3,0))</f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200" t="str">
        <f t="shared" ca="1" si="2"/>
        <v/>
      </c>
      <c r="B70" s="201" t="str">
        <f ca="1">IF($A70="","",VLOOKUP($A70,JOURNAL!$C$5:$I$1115,5,0))</f>
        <v/>
      </c>
      <c r="C70" s="202" t="str">
        <f ca="1">IF($A70="","",VLOOKUP($A70,JOURNAL!$C$5:$I$1115,2,0))</f>
        <v/>
      </c>
      <c r="D70" s="201" t="str">
        <f ca="1">IF($A70="","",VLOOKUP($A70,JOURNAL!$C$5:$I$1115,4,0))</f>
        <v/>
      </c>
      <c r="E70" s="187" t="str">
        <f ca="1">IF($A70="","",VLOOKUP($A70,JOURNAL!$C$5:$I$1115,3,0))</f>
        <v/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200" t="str">
        <f t="shared" ca="1" si="2"/>
        <v/>
      </c>
      <c r="B71" s="201" t="str">
        <f ca="1">IF($A71="","",VLOOKUP($A71,JOURNAL!$C$5:$I$1115,5,0))</f>
        <v/>
      </c>
      <c r="C71" s="202" t="str">
        <f ca="1">IF($A71="","",VLOOKUP($A71,JOURNAL!$C$5:$I$1115,2,0))</f>
        <v/>
      </c>
      <c r="D71" s="201" t="str">
        <f ca="1">IF($A71="","",VLOOKUP($A71,JOURNAL!$C$5:$I$1115,4,0))</f>
        <v/>
      </c>
      <c r="E71" s="187" t="str">
        <f ca="1">IF($A71="","",VLOOKUP($A71,JOURNAL!$C$5:$I$1115,3,0))</f>
        <v/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200" t="str">
        <f t="shared" ca="1" si="2"/>
        <v/>
      </c>
      <c r="B72" s="201" t="str">
        <f ca="1">IF($A72="","",VLOOKUP($A72,JOURNAL!$C$5:$I$1115,5,0))</f>
        <v/>
      </c>
      <c r="C72" s="202" t="str">
        <f ca="1">IF($A72="","",VLOOKUP($A72,JOURNAL!$C$5:$I$1115,2,0))</f>
        <v/>
      </c>
      <c r="D72" s="201" t="str">
        <f ca="1">IF($A72="","",VLOOKUP($A72,JOURNAL!$C$5:$I$1115,4,0))</f>
        <v/>
      </c>
      <c r="E72" s="187" t="str">
        <f ca="1">IF($A72="","",VLOOKUP($A72,JOURNAL!$C$5:$I$1115,3,0))</f>
        <v/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200" t="str">
        <f t="shared" ca="1" si="2"/>
        <v/>
      </c>
      <c r="B73" s="201" t="str">
        <f ca="1">IF($A73="","",VLOOKUP($A73,JOURNAL!$C$5:$I$1115,5,0))</f>
        <v/>
      </c>
      <c r="C73" s="202" t="str">
        <f ca="1">IF($A73="","",VLOOKUP($A73,JOURNAL!$C$5:$I$1115,2,0))</f>
        <v/>
      </c>
      <c r="D73" s="201" t="str">
        <f ca="1">IF($A73="","",VLOOKUP($A73,JOURNAL!$C$5:$I$1115,4,0))</f>
        <v/>
      </c>
      <c r="E73" s="187" t="str">
        <f ca="1">IF($A73="","",VLOOKUP($A73,JOURNAL!$C$5:$I$1115,3,0))</f>
        <v/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200" t="str">
        <f t="shared" ca="1" si="2"/>
        <v/>
      </c>
      <c r="B74" s="201" t="str">
        <f ca="1">IF($A74="","",VLOOKUP($A74,JOURNAL!$C$5:$I$1115,5,0))</f>
        <v/>
      </c>
      <c r="C74" s="202" t="str">
        <f ca="1">IF($A74="","",VLOOKUP($A74,JOURNAL!$C$5:$I$1115,2,0))</f>
        <v/>
      </c>
      <c r="D74" s="201" t="str">
        <f ca="1">IF($A74="","",VLOOKUP($A74,JOURNAL!$C$5:$I$1115,4,0))</f>
        <v/>
      </c>
      <c r="E74" s="187" t="str">
        <f ca="1">IF($A74="","",VLOOKUP($A74,JOURNAL!$C$5:$I$1115,3,0))</f>
        <v/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200" t="str">
        <f t="shared" ca="1" si="2"/>
        <v/>
      </c>
      <c r="B75" s="201" t="str">
        <f ca="1">IF($A75="","",VLOOKUP($A75,JOURNAL!$C$5:$I$1115,5,0))</f>
        <v/>
      </c>
      <c r="C75" s="202" t="str">
        <f ca="1">IF($A75="","",VLOOKUP($A75,JOURNAL!$C$5:$I$1115,2,0))</f>
        <v/>
      </c>
      <c r="D75" s="201" t="str">
        <f ca="1">IF($A75="","",VLOOKUP($A75,JOURNAL!$C$5:$I$1115,4,0))</f>
        <v/>
      </c>
      <c r="E75" s="187" t="str">
        <f ca="1">IF($A75="","",VLOOKUP($A75,JOURNAL!$C$5:$I$1115,3,0))</f>
        <v/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200" t="str">
        <f t="shared" ca="1" si="2"/>
        <v/>
      </c>
      <c r="B76" s="201" t="str">
        <f ca="1">IF($A76="","",VLOOKUP($A76,JOURNAL!$C$5:$I$1115,5,0))</f>
        <v/>
      </c>
      <c r="C76" s="202" t="str">
        <f ca="1">IF($A76="","",VLOOKUP($A76,JOURNAL!$C$5:$I$1115,2,0))</f>
        <v/>
      </c>
      <c r="D76" s="201" t="str">
        <f ca="1">IF($A76="","",VLOOKUP($A76,JOURNAL!$C$5:$I$1115,4,0))</f>
        <v/>
      </c>
      <c r="E76" s="187" t="str">
        <f ca="1">IF($A76="","",VLOOKUP($A76,JOURNAL!$C$5:$I$1115,3,0))</f>
        <v/>
      </c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4"/>
    </row>
    <row r="77" spans="1:26" ht="16.5" customHeight="1" x14ac:dyDescent="0.2">
      <c r="A77" s="200" t="str">
        <f t="shared" ca="1" si="2"/>
        <v/>
      </c>
      <c r="B77" s="201" t="str">
        <f ca="1">IF($A77="","",VLOOKUP($A77,JOURNAL!$C$5:$I$1115,5,0))</f>
        <v/>
      </c>
      <c r="C77" s="202" t="str">
        <f ca="1">IF($A77="","",VLOOKUP($A77,JOURNAL!$C$5:$I$1115,2,0))</f>
        <v/>
      </c>
      <c r="D77" s="201" t="str">
        <f ca="1">IF($A77="","",VLOOKUP($A77,JOURNAL!$C$5:$I$1115,4,0))</f>
        <v/>
      </c>
      <c r="E77" s="187" t="str">
        <f ca="1">IF($A77="","",VLOOKUP($A77,JOURNAL!$C$5:$I$1115,3,0))</f>
        <v/>
      </c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4"/>
    </row>
    <row r="78" spans="1:26" ht="16.5" customHeight="1" x14ac:dyDescent="0.2">
      <c r="A78" s="200" t="str">
        <f t="shared" ca="1" si="2"/>
        <v/>
      </c>
      <c r="B78" s="201" t="str">
        <f ca="1">IF($A78="","",VLOOKUP($A78,JOURNAL!$C$5:$I$1115,5,0))</f>
        <v/>
      </c>
      <c r="C78" s="202" t="str">
        <f ca="1">IF($A78="","",VLOOKUP($A78,JOURNAL!$C$5:$I$1115,2,0))</f>
        <v/>
      </c>
      <c r="D78" s="201" t="str">
        <f ca="1">IF($A78="","",VLOOKUP($A78,JOURNAL!$C$5:$I$1115,4,0))</f>
        <v/>
      </c>
      <c r="E78" s="187" t="str">
        <f ca="1">IF($A78="","",VLOOKUP($A78,JOURNAL!$C$5:$I$1115,3,0))</f>
        <v/>
      </c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4"/>
    </row>
    <row r="79" spans="1:26" ht="16.5" customHeight="1" x14ac:dyDescent="0.2">
      <c r="A79" s="200" t="str">
        <f t="shared" ca="1" si="2"/>
        <v/>
      </c>
      <c r="B79" s="201" t="str">
        <f ca="1">IF($A79="","",VLOOKUP($A79,JOURNAL!$C$5:$I$1115,5,0))</f>
        <v/>
      </c>
      <c r="C79" s="202" t="str">
        <f ca="1">IF($A79="","",VLOOKUP($A79,JOURNAL!$C$5:$I$1115,2,0))</f>
        <v/>
      </c>
      <c r="D79" s="201" t="str">
        <f ca="1">IF($A79="","",VLOOKUP($A79,JOURNAL!$C$5:$I$1115,4,0))</f>
        <v/>
      </c>
      <c r="E79" s="187" t="str">
        <f ca="1">IF($A79="","",VLOOKUP($A79,JOURNAL!$C$5:$I$1115,3,0))</f>
        <v/>
      </c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4"/>
    </row>
    <row r="80" spans="1:26" ht="16.5" customHeight="1" x14ac:dyDescent="0.2">
      <c r="A80" s="200" t="str">
        <f t="shared" ca="1" si="2"/>
        <v/>
      </c>
      <c r="B80" s="201" t="str">
        <f ca="1">IF($A80="","",VLOOKUP($A80,JOURNAL!$C$5:$I$1115,5,0))</f>
        <v/>
      </c>
      <c r="C80" s="202" t="str">
        <f ca="1">IF($A80="","",VLOOKUP($A80,JOURNAL!$C$5:$I$1115,2,0))</f>
        <v/>
      </c>
      <c r="D80" s="201" t="str">
        <f ca="1">IF($A80="","",VLOOKUP($A80,JOURNAL!$C$5:$I$1115,4,0))</f>
        <v/>
      </c>
      <c r="E80" s="187" t="str">
        <f ca="1">IF($A80="","",VLOOKUP($A80,JOURNAL!$C$5:$I$1115,3,0))</f>
        <v/>
      </c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4"/>
    </row>
    <row r="81" spans="1:26" ht="16.5" customHeight="1" x14ac:dyDescent="0.2">
      <c r="A81" s="200" t="str">
        <f t="shared" ca="1" si="2"/>
        <v/>
      </c>
      <c r="B81" s="201" t="str">
        <f ca="1">IF($A81="","",VLOOKUP($A81,JOURNAL!$C$5:$I$1115,5,0))</f>
        <v/>
      </c>
      <c r="C81" s="202" t="str">
        <f ca="1">IF($A81="","",VLOOKUP($A81,JOURNAL!$C$5:$I$1115,2,0))</f>
        <v/>
      </c>
      <c r="D81" s="201" t="str">
        <f ca="1">IF($A81="","",VLOOKUP($A81,JOURNAL!$C$5:$I$1115,4,0))</f>
        <v/>
      </c>
      <c r="E81" s="187" t="str">
        <f ca="1">IF($A81="","",VLOOKUP($A81,JOURNAL!$C$5:$I$1115,3,0))</f>
        <v/>
      </c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4"/>
    </row>
    <row r="82" spans="1:26" ht="16.5" customHeight="1" x14ac:dyDescent="0.2">
      <c r="A82" s="200" t="str">
        <f t="shared" ca="1" si="2"/>
        <v/>
      </c>
      <c r="B82" s="201" t="str">
        <f ca="1">IF($A82="","",VLOOKUP($A82,JOURNAL!$C$5:$I$1115,5,0))</f>
        <v/>
      </c>
      <c r="C82" s="202" t="str">
        <f ca="1">IF($A82="","",VLOOKUP($A82,JOURNAL!$C$5:$I$1115,2,0))</f>
        <v/>
      </c>
      <c r="D82" s="201" t="str">
        <f ca="1">IF($A82="","",VLOOKUP($A82,JOURNAL!$C$5:$I$1115,4,0))</f>
        <v/>
      </c>
      <c r="E82" s="187" t="str">
        <f ca="1">IF($A82="","",VLOOKUP($A82,JOURNAL!$C$5:$I$1115,3,0))</f>
        <v/>
      </c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4"/>
    </row>
    <row r="83" spans="1:26" ht="16.5" customHeight="1" x14ac:dyDescent="0.2">
      <c r="A83" s="200" t="str">
        <f t="shared" ca="1" si="2"/>
        <v/>
      </c>
      <c r="B83" s="201" t="str">
        <f ca="1">IF($A83="","",VLOOKUP($A83,JOURNAL!$C$5:$I$1115,5,0))</f>
        <v/>
      </c>
      <c r="C83" s="202" t="str">
        <f ca="1">IF($A83="","",VLOOKUP($A83,JOURNAL!$C$5:$I$1115,2,0))</f>
        <v/>
      </c>
      <c r="D83" s="201" t="str">
        <f ca="1">IF($A83="","",VLOOKUP($A83,JOURNAL!$C$5:$I$1115,4,0))</f>
        <v/>
      </c>
      <c r="E83" s="187" t="str">
        <f ca="1">IF($A83="","",VLOOKUP($A83,JOURNAL!$C$5:$I$1115,3,0))</f>
        <v/>
      </c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4"/>
    </row>
    <row r="84" spans="1:26" ht="16.5" customHeight="1" x14ac:dyDescent="0.2">
      <c r="A84" s="200" t="str">
        <f t="shared" ca="1" si="2"/>
        <v/>
      </c>
      <c r="B84" s="201" t="str">
        <f ca="1">IF($A84="","",VLOOKUP($A84,JOURNAL!$C$5:$I$1115,5,0))</f>
        <v/>
      </c>
      <c r="C84" s="202" t="str">
        <f ca="1">IF($A84="","",VLOOKUP($A84,JOURNAL!$C$5:$I$1115,2,0))</f>
        <v/>
      </c>
      <c r="D84" s="201" t="str">
        <f ca="1">IF($A84="","",VLOOKUP($A84,JOURNAL!$C$5:$I$1115,4,0))</f>
        <v/>
      </c>
      <c r="E84" s="187" t="str">
        <f ca="1">IF($A84="","",VLOOKUP($A84,JOURNAL!$C$5:$I$1115,3,0))</f>
        <v/>
      </c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4"/>
    </row>
    <row r="85" spans="1:26" ht="16.5" customHeight="1" x14ac:dyDescent="0.2">
      <c r="A85" s="200" t="str">
        <f t="shared" ca="1" si="2"/>
        <v/>
      </c>
      <c r="B85" s="201" t="str">
        <f ca="1">IF($A85="","",VLOOKUP($A85,JOURNAL!$C$5:$I$1115,5,0))</f>
        <v/>
      </c>
      <c r="C85" s="202" t="str">
        <f ca="1">IF($A85="","",VLOOKUP($A85,JOURNAL!$C$5:$I$1115,2,0))</f>
        <v/>
      </c>
      <c r="D85" s="201" t="str">
        <f ca="1">IF($A85="","",VLOOKUP($A85,JOURNAL!$C$5:$I$1115,4,0))</f>
        <v/>
      </c>
      <c r="E85" s="187" t="str">
        <f ca="1">IF($A85="","",VLOOKUP($A85,JOURNAL!$C$5:$I$1115,3,0))</f>
        <v/>
      </c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4"/>
    </row>
    <row r="86" spans="1:26" ht="16.5" customHeight="1" x14ac:dyDescent="0.2">
      <c r="A86" s="200" t="str">
        <f t="shared" ca="1" si="2"/>
        <v/>
      </c>
      <c r="B86" s="201" t="str">
        <f ca="1">IF($A86="","",VLOOKUP($A86,JOURNAL!$C$5:$I$1115,5,0))</f>
        <v/>
      </c>
      <c r="C86" s="202" t="str">
        <f ca="1">IF($A86="","",VLOOKUP($A86,JOURNAL!$C$5:$I$1115,2,0))</f>
        <v/>
      </c>
      <c r="D86" s="201" t="str">
        <f ca="1">IF($A86="","",VLOOKUP($A86,JOURNAL!$C$5:$I$1115,4,0))</f>
        <v/>
      </c>
      <c r="E86" s="187" t="str">
        <f ca="1">IF($A86="","",VLOOKUP($A86,JOURNAL!$C$5:$I$1115,3,0))</f>
        <v/>
      </c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4"/>
    </row>
    <row r="87" spans="1:26" ht="16.5" customHeight="1" x14ac:dyDescent="0.2">
      <c r="A87" s="200" t="str">
        <f t="shared" ca="1" si="2"/>
        <v/>
      </c>
      <c r="B87" s="201" t="str">
        <f ca="1">IF($A87="","",VLOOKUP($A87,JOURNAL!$C$5:$I$1115,5,0))</f>
        <v/>
      </c>
      <c r="C87" s="202" t="str">
        <f ca="1">IF($A87="","",VLOOKUP($A87,JOURNAL!$C$5:$I$1115,2,0))</f>
        <v/>
      </c>
      <c r="D87" s="201" t="str">
        <f ca="1">IF($A87="","",VLOOKUP($A87,JOURNAL!$C$5:$I$1115,4,0))</f>
        <v/>
      </c>
      <c r="E87" s="187" t="str">
        <f ca="1">IF($A87="","",VLOOKUP($A87,JOURNAL!$C$5:$I$1115,3,0))</f>
        <v/>
      </c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4"/>
    </row>
    <row r="88" spans="1:26" ht="16.5" customHeight="1" x14ac:dyDescent="0.2">
      <c r="A88" s="200" t="str">
        <f t="shared" ca="1" si="2"/>
        <v/>
      </c>
      <c r="B88" s="201" t="str">
        <f ca="1">IF($A88="","",VLOOKUP($A88,JOURNAL!$C$5:$I$1115,5,0))</f>
        <v/>
      </c>
      <c r="C88" s="202" t="str">
        <f ca="1">IF($A88="","",VLOOKUP($A88,JOURNAL!$C$5:$I$1115,2,0))</f>
        <v/>
      </c>
      <c r="D88" s="201" t="str">
        <f ca="1">IF($A88="","",VLOOKUP($A88,JOURNAL!$C$5:$I$1115,4,0))</f>
        <v/>
      </c>
      <c r="E88" s="187" t="str">
        <f ca="1">IF($A88="","",VLOOKUP($A88,JOURNAL!$C$5:$I$1115,3,0))</f>
        <v/>
      </c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4"/>
    </row>
    <row r="89" spans="1:26" ht="16.5" customHeight="1" x14ac:dyDescent="0.2">
      <c r="A89" s="200" t="str">
        <f t="shared" ca="1" si="2"/>
        <v/>
      </c>
      <c r="B89" s="201" t="str">
        <f ca="1">IF($A89="","",VLOOKUP($A89,JOURNAL!$C$5:$I$1115,5,0))</f>
        <v/>
      </c>
      <c r="C89" s="202" t="str">
        <f ca="1">IF($A89="","",VLOOKUP($A89,JOURNAL!$C$5:$I$1115,2,0))</f>
        <v/>
      </c>
      <c r="D89" s="201" t="str">
        <f ca="1">IF($A89="","",VLOOKUP($A89,JOURNAL!$C$5:$I$1115,4,0))</f>
        <v/>
      </c>
      <c r="E89" s="187" t="str">
        <f ca="1">IF($A89="","",VLOOKUP($A89,JOURNAL!$C$5:$I$1115,3,0))</f>
        <v/>
      </c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4"/>
    </row>
    <row r="90" spans="1:26" ht="16.5" customHeight="1" x14ac:dyDescent="0.2">
      <c r="A90" s="200" t="str">
        <f t="shared" ca="1" si="2"/>
        <v/>
      </c>
      <c r="B90" s="201" t="str">
        <f ca="1">IF($A90="","",VLOOKUP($A90,JOURNAL!$C$5:$I$1115,5,0))</f>
        <v/>
      </c>
      <c r="C90" s="202" t="str">
        <f ca="1">IF($A90="","",VLOOKUP($A90,JOURNAL!$C$5:$I$1115,2,0))</f>
        <v/>
      </c>
      <c r="D90" s="201" t="str">
        <f ca="1">IF($A90="","",VLOOKUP($A90,JOURNAL!$C$5:$I$1115,4,0))</f>
        <v/>
      </c>
      <c r="E90" s="187" t="str">
        <f ca="1">IF($A90="","",VLOOKUP($A90,JOURNAL!$C$5:$I$1115,3,0))</f>
        <v/>
      </c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4"/>
    </row>
    <row r="91" spans="1:26" ht="16.5" customHeight="1" x14ac:dyDescent="0.2">
      <c r="A91" s="200" t="str">
        <f t="array" aca="1" ref="A91" ca="1">IF(A90="","",IF(ISNA(VLOOKUP($A$1&amp;" / "&amp;$A$62,INDIRECT(ADDRESS(A90+5,2,1,,"JOURNAL")&amp;":G500"),2,0)),"",VLOOKUP($A$1&amp;" / "&amp;$A$62,INDIRECT(ADDRESS(A90+5,2,1,,"JOURNAL")&amp;":G500"),2,0)))</f>
        <v/>
      </c>
      <c r="B91" s="201" t="str">
        <f ca="1">IF($A91="","",VLOOKUP($A91,JOURNAL!$C$5:$I$1115,5,0))</f>
        <v/>
      </c>
      <c r="C91" s="202" t="str">
        <f ca="1">IF($A91="","",VLOOKUP($A91,JOURNAL!$C$5:$I$1115,2,0))</f>
        <v/>
      </c>
      <c r="D91" s="201" t="str">
        <f ca="1">IF($A91="","",VLOOKUP($A91,JOURNAL!$C$5:$I$1115,4,0))</f>
        <v/>
      </c>
      <c r="E91" s="187" t="str">
        <f ca="1">IF($A91="","",VLOOKUP($A91,JOURNAL!$C$5:$I$1115,3,0))</f>
        <v/>
      </c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4"/>
    </row>
    <row r="92" spans="1:26" ht="16.5" customHeight="1" x14ac:dyDescent="0.2">
      <c r="A92" s="178" t="s">
        <v>16</v>
      </c>
      <c r="B92" s="179"/>
      <c r="C92" s="180"/>
      <c r="D92" s="181"/>
      <c r="E92" s="182">
        <f ca="1">SUM(E64:E75)</f>
        <v>0</v>
      </c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">
      <c r="A257" s="51"/>
      <c r="B257" s="4"/>
      <c r="C257" s="149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">
      <c r="A258" s="51"/>
      <c r="B258" s="4"/>
      <c r="C258" s="149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2">
      <c r="A259" s="51"/>
      <c r="B259" s="4"/>
      <c r="C259" s="149"/>
      <c r="D259" s="4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2">
      <c r="A260" s="51"/>
      <c r="B260" s="4"/>
      <c r="C260" s="149"/>
      <c r="D260" s="4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2">
      <c r="A261" s="51"/>
      <c r="B261" s="4"/>
      <c r="C261" s="149"/>
      <c r="D261" s="4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2">
      <c r="A262" s="51"/>
      <c r="B262" s="4"/>
      <c r="C262" s="149"/>
      <c r="D262" s="4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2">
      <c r="A263" s="51"/>
      <c r="B263" s="4"/>
      <c r="C263" s="149"/>
      <c r="D263" s="4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2">
      <c r="A264" s="51"/>
      <c r="B264" s="4"/>
      <c r="C264" s="149"/>
      <c r="D264" s="4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2">
      <c r="A265" s="51"/>
      <c r="B265" s="4"/>
      <c r="C265" s="149"/>
      <c r="D265" s="4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2">
      <c r="A266" s="51"/>
      <c r="B266" s="4"/>
      <c r="C266" s="149"/>
      <c r="D266" s="4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2">
      <c r="A267" s="51"/>
      <c r="B267" s="4"/>
      <c r="C267" s="149"/>
      <c r="D267" s="4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2">
      <c r="A268" s="51"/>
      <c r="B268" s="4"/>
      <c r="C268" s="149"/>
      <c r="D268" s="4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2">
      <c r="A269" s="51"/>
      <c r="B269" s="4"/>
      <c r="C269" s="149"/>
      <c r="D269" s="4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2">
      <c r="A270" s="51"/>
      <c r="B270" s="4"/>
      <c r="C270" s="149"/>
      <c r="D270" s="4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2">
      <c r="A271" s="51"/>
      <c r="B271" s="4"/>
      <c r="C271" s="149"/>
      <c r="D271" s="4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2">
      <c r="A272" s="51"/>
      <c r="B272" s="4"/>
      <c r="C272" s="149"/>
      <c r="D272" s="4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2">
      <c r="A273" s="51"/>
      <c r="B273" s="4"/>
      <c r="C273" s="149"/>
      <c r="D273" s="4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 x14ac:dyDescent="0.2">
      <c r="A274" s="51"/>
      <c r="B274" s="4"/>
      <c r="C274" s="149"/>
      <c r="D274" s="4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2">
      <c r="A275" s="51"/>
      <c r="B275" s="4"/>
      <c r="C275" s="149"/>
      <c r="D275" s="4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2">
      <c r="A276" s="51"/>
      <c r="B276" s="4"/>
      <c r="C276" s="149"/>
      <c r="D276" s="4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2">
      <c r="A277" s="51"/>
      <c r="B277" s="4"/>
      <c r="C277" s="149"/>
      <c r="D277" s="4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2">
      <c r="A278" s="51"/>
      <c r="B278" s="4"/>
      <c r="C278" s="149"/>
      <c r="D278" s="4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2">
      <c r="A279" s="51"/>
      <c r="B279" s="4"/>
      <c r="C279" s="149"/>
      <c r="D279" s="4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 x14ac:dyDescent="0.2">
      <c r="A280" s="51"/>
      <c r="B280" s="4"/>
      <c r="C280" s="149"/>
      <c r="D280" s="4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 x14ac:dyDescent="0.2">
      <c r="A281" s="51"/>
      <c r="B281" s="4"/>
      <c r="C281" s="149"/>
      <c r="D281" s="4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 x14ac:dyDescent="0.2">
      <c r="A282" s="51"/>
      <c r="B282" s="4"/>
      <c r="C282" s="149"/>
      <c r="D282" s="4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 x14ac:dyDescent="0.2">
      <c r="A283" s="51"/>
      <c r="B283" s="4"/>
      <c r="C283" s="149"/>
      <c r="D283" s="4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 x14ac:dyDescent="0.2">
      <c r="A284" s="51"/>
      <c r="B284" s="4"/>
      <c r="C284" s="149"/>
      <c r="D284" s="4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 x14ac:dyDescent="0.2">
      <c r="A285" s="51"/>
      <c r="B285" s="4"/>
      <c r="C285" s="149"/>
      <c r="D285" s="4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 x14ac:dyDescent="0.2">
      <c r="A286" s="51"/>
      <c r="B286" s="4"/>
      <c r="C286" s="149"/>
      <c r="D286" s="4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 x14ac:dyDescent="0.2">
      <c r="A287" s="51"/>
      <c r="B287" s="4"/>
      <c r="C287" s="149"/>
      <c r="D287" s="4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 x14ac:dyDescent="0.2">
      <c r="A288" s="51"/>
      <c r="B288" s="4"/>
      <c r="C288" s="149"/>
      <c r="D288" s="4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 x14ac:dyDescent="0.2">
      <c r="A289" s="51"/>
      <c r="B289" s="4"/>
      <c r="C289" s="149"/>
      <c r="D289" s="4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 x14ac:dyDescent="0.2">
      <c r="A290" s="51"/>
      <c r="B290" s="4"/>
      <c r="C290" s="149"/>
      <c r="D290" s="4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 x14ac:dyDescent="0.2">
      <c r="A291" s="51"/>
      <c r="B291" s="4"/>
      <c r="C291" s="149"/>
      <c r="D291" s="4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 x14ac:dyDescent="0.2">
      <c r="A292" s="51"/>
      <c r="B292" s="4"/>
      <c r="C292" s="149"/>
      <c r="D292" s="4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/>
    <row r="294" spans="1:26" ht="15.75" customHeight="1" x14ac:dyDescent="0.2"/>
    <row r="295" spans="1:26" ht="15.75" customHeight="1" x14ac:dyDescent="0.2"/>
    <row r="296" spans="1:26" ht="15.75" customHeight="1" x14ac:dyDescent="0.2"/>
    <row r="297" spans="1:26" ht="15.75" customHeight="1" x14ac:dyDescent="0.2"/>
    <row r="298" spans="1:26" ht="15.75" customHeight="1" x14ac:dyDescent="0.2"/>
    <row r="299" spans="1:26" ht="15.75" customHeight="1" x14ac:dyDescent="0.2"/>
    <row r="300" spans="1:26" ht="15.75" customHeight="1" x14ac:dyDescent="0.2"/>
    <row r="301" spans="1:26" ht="15.75" customHeight="1" x14ac:dyDescent="0.2"/>
    <row r="302" spans="1:26" ht="15.75" customHeight="1" x14ac:dyDescent="0.2"/>
    <row r="303" spans="1:26" ht="15.75" customHeight="1" x14ac:dyDescent="0.2"/>
    <row r="304" spans="1:26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9:E29"/>
  </mergeCells>
  <dataValidations count="1">
    <dataValidation type="list" allowBlank="1" showErrorMessage="1" sqref="A6:A16 A20:A26" xr:uid="{00000000-0002-0000-05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31.1640625" customWidth="1"/>
    <col min="3" max="3" width="13.1640625" customWidth="1"/>
    <col min="4" max="4" width="15.6640625" customWidth="1"/>
    <col min="5" max="5" width="14" customWidth="1"/>
    <col min="6" max="8" width="9.1640625" hidden="1" customWidth="1"/>
    <col min="9" max="9" width="15.5" hidden="1" customWidth="1"/>
    <col min="10" max="10" width="25.6640625" customWidth="1"/>
    <col min="11" max="26" width="9" customWidth="1"/>
  </cols>
  <sheetData>
    <row r="1" spans="1:26" ht="22" x14ac:dyDescent="0.25">
      <c r="A1" s="360" t="s">
        <v>267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17" t="s">
        <v>7</v>
      </c>
      <c r="C5" s="158"/>
      <c r="D5" s="159"/>
      <c r="E5" s="218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215" t="s">
        <v>58</v>
      </c>
      <c r="C6" s="189"/>
      <c r="D6" s="190"/>
      <c r="E6" s="216">
        <v>300</v>
      </c>
      <c r="F6" s="48" t="s">
        <v>261</v>
      </c>
      <c r="G6" s="4"/>
      <c r="H6" s="4"/>
      <c r="I6" s="48" t="s">
        <v>262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215"/>
      <c r="C7" s="189"/>
      <c r="D7" s="190"/>
      <c r="E7" s="216"/>
      <c r="F7" s="4"/>
      <c r="G7" s="4"/>
      <c r="H7" s="4"/>
      <c r="I7" s="4"/>
      <c r="J7" s="48"/>
      <c r="K7" s="48"/>
      <c r="L7" s="4"/>
      <c r="M7" s="4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215"/>
      <c r="C8" s="189"/>
      <c r="D8" s="215"/>
      <c r="E8" s="2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215"/>
      <c r="C9" s="189"/>
      <c r="D9" s="215"/>
      <c r="E9" s="21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215"/>
      <c r="C10" s="189"/>
      <c r="D10" s="215"/>
      <c r="E10" s="2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215"/>
      <c r="C11" s="189"/>
      <c r="D11" s="215"/>
      <c r="E11" s="21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188"/>
      <c r="C12" s="189"/>
      <c r="D12" s="190"/>
      <c r="E12" s="2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61"/>
      <c r="B13" s="188"/>
      <c r="C13" s="189"/>
      <c r="D13" s="190"/>
      <c r="E13" s="2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61"/>
      <c r="B14" s="188"/>
      <c r="C14" s="189"/>
      <c r="D14" s="190"/>
      <c r="E14" s="2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78" t="s">
        <v>16</v>
      </c>
      <c r="B15" s="179"/>
      <c r="C15" s="180"/>
      <c r="D15" s="181"/>
      <c r="E15" s="182">
        <f>SUM(E6:E14)</f>
        <v>300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83" t="s">
        <v>206</v>
      </c>
      <c r="B16" s="184"/>
      <c r="C16" s="185"/>
      <c r="D16" s="184"/>
      <c r="E16" s="18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56" t="s">
        <v>218</v>
      </c>
      <c r="B17" s="208" t="s">
        <v>7</v>
      </c>
      <c r="C17" s="158"/>
      <c r="D17" s="159"/>
      <c r="E17" s="160" t="s">
        <v>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188"/>
      <c r="C18" s="189"/>
      <c r="D18" s="190"/>
      <c r="E18" s="18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188"/>
      <c r="C19" s="189"/>
      <c r="D19" s="190"/>
      <c r="E19" s="18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188"/>
      <c r="C20" s="189"/>
      <c r="D20" s="190"/>
      <c r="E20" s="18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188"/>
      <c r="C21" s="189"/>
      <c r="D21" s="190"/>
      <c r="E21" s="18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61"/>
      <c r="B22" s="188"/>
      <c r="C22" s="189"/>
      <c r="D22" s="190"/>
      <c r="E22" s="18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61"/>
      <c r="B23" s="188"/>
      <c r="C23" s="189"/>
      <c r="D23" s="190"/>
      <c r="E23" s="18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61"/>
      <c r="B24" s="188"/>
      <c r="C24" s="189"/>
      <c r="D24" s="190"/>
      <c r="E24" s="18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78" t="s">
        <v>16</v>
      </c>
      <c r="B25" s="179"/>
      <c r="C25" s="180"/>
      <c r="D25" s="181"/>
      <c r="E25" s="182">
        <f>SUM(E18:E24)</f>
        <v>0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6.5" customHeight="1" x14ac:dyDescent="0.2">
      <c r="A26" s="51"/>
      <c r="B26" s="4"/>
      <c r="C26" s="149"/>
      <c r="D26" s="4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377" t="s">
        <v>204</v>
      </c>
      <c r="B27" s="375"/>
      <c r="C27" s="375"/>
      <c r="D27" s="375"/>
      <c r="E27" s="37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93" t="s">
        <v>205</v>
      </c>
      <c r="B28" s="194"/>
      <c r="C28" s="195"/>
      <c r="D28" s="194"/>
      <c r="E28" s="19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156" t="s">
        <v>3</v>
      </c>
      <c r="B29" s="197" t="s">
        <v>7</v>
      </c>
      <c r="C29" s="198" t="s">
        <v>4</v>
      </c>
      <c r="D29" s="199" t="s">
        <v>6</v>
      </c>
      <c r="E29" s="160" t="s">
        <v>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 t="str">
        <f>IF(ISNA(VLOOKUP($A$1&amp;" / "&amp;$A$28,JOURNAL!$B$5:$I$1115,2,0)),"",VLOOKUP($A$1&amp;" / "&amp;$A$28,JOURNAL!$B$5:$I$1115,2,0))</f>
        <v/>
      </c>
      <c r="B30" s="201" t="str">
        <f>IF($A30="","",VLOOKUP($A30,JOURNAL!$C$5:$I$1115,5,0))</f>
        <v/>
      </c>
      <c r="C30" s="202" t="str">
        <f>IF($A30="","",VLOOKUP($A30,JOURNAL!$C$5:$I$1115,2,0))</f>
        <v/>
      </c>
      <c r="D30" s="201" t="str">
        <f>IF($A30="","",VLOOKUP($A30,JOURNAL!$C$5:$I$1115,4,0))</f>
        <v/>
      </c>
      <c r="E30" s="187" t="str">
        <f>IF($A30="","",VLOOKUP($A30,JOURNAL!$C$5:$I$1115,3,0))</f>
        <v/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 t="str">
        <f t="shared" ref="A31:A45" ca="1" si="0">IF(A30="","",IF(ISNA(VLOOKUP($A$1&amp;" / "&amp;$A$28,INDIRECT(ADDRESS(A30+5,2,1,,"JOURNAL")&amp;":G700"),2,0)),"",VLOOKUP($A$1&amp;" / "&amp;$A$28,INDIRECT(ADDRESS(A30+5,2,1,,"JOURNAL")&amp;":G700"),2,0)))</f>
        <v/>
      </c>
      <c r="B31" s="201" t="str">
        <f ca="1">IF($A31="","",VLOOKUP($A31,JOURNAL!$C$5:$I$1115,5,0))</f>
        <v/>
      </c>
      <c r="C31" s="202" t="str">
        <f ca="1">IF($A31="","",VLOOKUP($A31,JOURNAL!$C$5:$I$1115,2,0))</f>
        <v/>
      </c>
      <c r="D31" s="201" t="str">
        <f ca="1">IF($A31="","",VLOOKUP($A31,JOURNAL!$C$5:$I$1115,4,0))</f>
        <v/>
      </c>
      <c r="E31" s="187" t="str">
        <f ca="1">IF($A31="","",VLOOKUP($A31,JOURNAL!$C$5:$I$1115,3,0))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 t="str">
        <f t="shared" ca="1" si="0"/>
        <v/>
      </c>
      <c r="B32" s="201" t="str">
        <f ca="1">IF($A32="","",VLOOKUP($A32,JOURNAL!$C$5:$I$1115,5,0))</f>
        <v/>
      </c>
      <c r="C32" s="202" t="str">
        <f ca="1">IF($A32="","",VLOOKUP($A32,JOURNAL!$C$5:$I$1115,2,0))</f>
        <v/>
      </c>
      <c r="D32" s="201" t="str">
        <f ca="1">IF($A32="","",VLOOKUP($A32,JOURNAL!$C$5:$I$1115,4,0))</f>
        <v/>
      </c>
      <c r="E32" s="187" t="str">
        <f ca="1">IF($A32="","",VLOOKUP($A32,JOURNAL!$C$5:$I$1115,3,0))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t="shared" ca="1" si="0"/>
        <v/>
      </c>
      <c r="B33" s="201" t="str">
        <f ca="1">IF($A33="","",VLOOKUP($A33,JOURNAL!$C$5:$I$1115,5,0))</f>
        <v/>
      </c>
      <c r="C33" s="202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shared" ca="1" si="0"/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t="shared" ca="1" si="0"/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t="shared" ca="1" si="0"/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178" t="s">
        <v>16</v>
      </c>
      <c r="B46" s="179"/>
      <c r="C46" s="180"/>
      <c r="D46" s="181"/>
      <c r="E46" s="182">
        <f ca="1">SUM(E30:E45)</f>
        <v>0</v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6.5" customHeight="1" x14ac:dyDescent="0.2">
      <c r="A47" s="204" t="s">
        <v>206</v>
      </c>
      <c r="B47" s="205"/>
      <c r="C47" s="206"/>
      <c r="D47" s="205"/>
      <c r="E47" s="20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156" t="s">
        <v>3</v>
      </c>
      <c r="B48" s="197" t="s">
        <v>7</v>
      </c>
      <c r="C48" s="198" t="s">
        <v>4</v>
      </c>
      <c r="D48" s="199" t="s">
        <v>6</v>
      </c>
      <c r="E48" s="160" t="s">
        <v>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 t="str">
        <f>IF(ISNA(VLOOKUP($A$1&amp;" / "&amp;$A$47,JOURNAL!$B$5:$I$1115,2,0)),"",VLOOKUP($A$1&amp;" / "&amp;$A$47,JOURNAL!$B$5:$I$277,2,0))</f>
        <v/>
      </c>
      <c r="B49" s="201" t="str">
        <f>IF($A49="","",VLOOKUP($A49,JOURNAL!$C$5:$I$1115,5,0))</f>
        <v/>
      </c>
      <c r="C49" s="202" t="str">
        <f>IF($A49="","",VLOOKUP($A49,JOURNAL!$C$5:$I$1115,2,0))</f>
        <v/>
      </c>
      <c r="D49" s="201" t="str">
        <f>IF($A49="","",VLOOKUP($A49,JOURNAL!$C$5:$I$1115,4,0))</f>
        <v/>
      </c>
      <c r="E49" s="187" t="str">
        <f>IF($A49="","",VLOOKUP($A49,JOURNAL!$C$5:$I$1115,3,0))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 t="str">
        <f ca="1">IF(A49="","",IF(ISNA(VLOOKUP($A$1&amp;" / "&amp;$A$47,INDIRECT(ADDRESS(A49+5,2,1,,"JOURNAL")&amp;":G700"),2,0)),"",VLOOKUP($A$1&amp;" / "&amp;$A$47,INDIRECT(ADDRESS(A49+5,2,1,,"JOURNAL")&amp;":G700"),2,0)))</f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 t="str">
        <f ca="1">IF(A50="","",IF(ISNA(VLOOKUP($A$1&amp;" / "&amp;$A$47,INDIRECT(ADDRESS(A50+5,2,1,,"JOURNAL")&amp;":G700"),2,0)),"",VLOOKUP($A$1&amp;" / "&amp;$A$47,INDIRECT(ADDRESS(A50+5,2,1,,"JOURNAL")&amp;":G700"),2,0)))</f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 t="str">
        <f ca="1">IF(A51="","",IF(ISNA(VLOOKUP($A$1&amp;" / "&amp;$A$47,INDIRECT(ADDRESS(A51+5,2,1,,"JOURNAL")&amp;":G700"),2,0)),"",VLOOKUP($A$1&amp;" / "&amp;$A$47,INDIRECT(ADDRESS(A51+5,2,1,,"JOURNAL")&amp;":G700"),2,0)))</f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 t="str">
        <f ca="1">IF(A52="","",IF(ISNA(VLOOKUP($A$1&amp;" / "&amp;$A$47,INDIRECT(ADDRESS(A52+5,2,1,,"JOURNAL")&amp;":G700"),2,0)),"",VLOOKUP($A$1&amp;" / "&amp;$A$47,INDIRECT(ADDRESS(A52+5,2,1,,"JOURNAL")&amp;":G700"),2,0)))</f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ca="1">IF(A53="","",IF(ISNA(VLOOKUP($A$1&amp;" / "&amp;$A$47,INDIRECT(ADDRESS(A53+5,2,1,,"JOURNAL")&amp;":G700"),2,0)),"",VLOOKUP($A$1&amp;" / "&amp;$A$47,INDIRECT(ADDRESS(A53+5,2,1,,"JOURNAL")&amp;":G700"),2,0)))</f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 t="array" aca="1" ref="A55" ca="1">IF(A54="","",IF(ISNA(VLOOKUP($A$1&amp;" / "&amp;$A$47,INDIRECT(ADDRESS(A54+5,2,1,,"JOURNAL")&amp;":G500"),2,0)),"",VLOOKUP($A$1&amp;" / "&amp;$A$47,INDIRECT(ADDRESS(A54+5,2,1,,"JOURNAL")&amp;":G500"),2,0)))</f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178" t="s">
        <v>16</v>
      </c>
      <c r="B56" s="179"/>
      <c r="C56" s="180"/>
      <c r="D56" s="181"/>
      <c r="E56" s="182">
        <f ca="1">SUM(E49:E55)</f>
        <v>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6.5" customHeight="1" x14ac:dyDescent="0.2">
      <c r="A57" s="51"/>
      <c r="B57" s="4"/>
      <c r="C57" s="149"/>
      <c r="D57" s="4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51"/>
      <c r="B58" s="4"/>
      <c r="C58" s="149"/>
      <c r="D58" s="4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51"/>
      <c r="B59" s="4"/>
      <c r="C59" s="149"/>
      <c r="D59" s="4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51"/>
      <c r="B60" s="4"/>
      <c r="C60" s="149"/>
      <c r="D60" s="4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51"/>
      <c r="B61" s="4"/>
      <c r="C61" s="149"/>
      <c r="D61" s="4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51"/>
      <c r="B62" s="4"/>
      <c r="C62" s="149"/>
      <c r="D62" s="4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51"/>
      <c r="B63" s="4"/>
      <c r="C63" s="149"/>
      <c r="D63" s="4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51"/>
      <c r="B64" s="4"/>
      <c r="C64" s="149"/>
      <c r="D64" s="4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51"/>
      <c r="B65" s="4"/>
      <c r="C65" s="149"/>
      <c r="D65" s="4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51"/>
      <c r="B66" s="4"/>
      <c r="C66" s="149"/>
      <c r="D66" s="4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51"/>
      <c r="B67" s="4"/>
      <c r="C67" s="149"/>
      <c r="D67" s="4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51"/>
      <c r="B68" s="4"/>
      <c r="C68" s="149"/>
      <c r="D68" s="4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51"/>
      <c r="B69" s="4"/>
      <c r="C69" s="149"/>
      <c r="D69" s="4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51"/>
      <c r="B70" s="4"/>
      <c r="C70" s="149"/>
      <c r="D70" s="4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51"/>
      <c r="B71" s="4"/>
      <c r="C71" s="149"/>
      <c r="D71" s="4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51"/>
      <c r="B72" s="4"/>
      <c r="C72" s="149"/>
      <c r="D72" s="4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51"/>
      <c r="B73" s="4"/>
      <c r="C73" s="149"/>
      <c r="D73" s="4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51"/>
      <c r="B74" s="4"/>
      <c r="C74" s="149"/>
      <c r="D74" s="4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51"/>
      <c r="B75" s="4"/>
      <c r="C75" s="149"/>
      <c r="D75" s="4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51"/>
      <c r="B76" s="4"/>
      <c r="C76" s="149"/>
      <c r="D76" s="4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51"/>
      <c r="B77" s="4"/>
      <c r="C77" s="149"/>
      <c r="D77" s="4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51"/>
      <c r="B78" s="4"/>
      <c r="C78" s="149"/>
      <c r="D78" s="4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51"/>
      <c r="B79" s="4"/>
      <c r="C79" s="149"/>
      <c r="D79" s="4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51"/>
      <c r="B80" s="4"/>
      <c r="C80" s="149"/>
      <c r="D80" s="4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51"/>
      <c r="B81" s="4"/>
      <c r="C81" s="149"/>
      <c r="D81" s="4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51"/>
      <c r="B82" s="4"/>
      <c r="C82" s="149"/>
      <c r="D82" s="4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51"/>
      <c r="B83" s="4"/>
      <c r="C83" s="149"/>
      <c r="D83" s="4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51"/>
      <c r="B84" s="4"/>
      <c r="C84" s="149"/>
      <c r="D84" s="4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51"/>
      <c r="B85" s="4"/>
      <c r="C85" s="149"/>
      <c r="D85" s="4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51"/>
      <c r="B86" s="4"/>
      <c r="C86" s="149"/>
      <c r="D86" s="4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51"/>
      <c r="B87" s="4"/>
      <c r="C87" s="149"/>
      <c r="D87" s="4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7:E27"/>
  </mergeCells>
  <dataValidations count="1">
    <dataValidation type="list" allowBlank="1" showErrorMessage="1" sqref="A6:A14 A18:A24" xr:uid="{00000000-0002-0000-0600-000000000000}">
      <formula1>"Janvier,Fevrier,Mars,Avril,Mai,Juin,Juillet,Août,Octobre,Novembre,Décembre"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B7" sqref="B7"/>
    </sheetView>
  </sheetViews>
  <sheetFormatPr baseColWidth="10" defaultColWidth="14.5" defaultRowHeight="15" customHeight="1" x14ac:dyDescent="0.2"/>
  <cols>
    <col min="1" max="1" width="21.5" customWidth="1"/>
    <col min="2" max="2" width="35.5" customWidth="1"/>
    <col min="3" max="3" width="15.5" customWidth="1"/>
    <col min="4" max="4" width="14" customWidth="1"/>
    <col min="5" max="5" width="20.5" customWidth="1"/>
    <col min="6" max="6" width="43.5" customWidth="1"/>
    <col min="7" max="7" width="13.5" customWidth="1"/>
    <col min="8" max="8" width="12" customWidth="1"/>
    <col min="9" max="25" width="9" customWidth="1"/>
  </cols>
  <sheetData>
    <row r="1" spans="1:26" ht="22" x14ac:dyDescent="0.25">
      <c r="A1" s="360" t="s">
        <v>268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4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1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08" t="s">
        <v>7</v>
      </c>
      <c r="C5" s="217"/>
      <c r="D5" s="159"/>
      <c r="E5" s="160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234" t="s">
        <v>191</v>
      </c>
      <c r="C6" s="235"/>
      <c r="D6" s="236">
        <v>0.06</v>
      </c>
      <c r="E6" s="237">
        <f>D6*(E23)</f>
        <v>1122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188" t="s">
        <v>269</v>
      </c>
      <c r="C7" s="215"/>
      <c r="D7" s="238">
        <v>1.7999999999999999E-2</v>
      </c>
      <c r="E7" s="187">
        <f>E23*1.8/100</f>
        <v>336.6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188" t="s">
        <v>270</v>
      </c>
      <c r="C8" s="215"/>
      <c r="D8" s="239">
        <v>0.39</v>
      </c>
      <c r="E8" s="187">
        <f>D8*C19</f>
        <v>312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188"/>
      <c r="C9" s="215"/>
      <c r="D9" s="190"/>
      <c r="E9" s="18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188"/>
      <c r="C10" s="215"/>
      <c r="D10" s="190"/>
      <c r="E10" s="18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188"/>
      <c r="C11" s="215"/>
      <c r="D11" s="190"/>
      <c r="E11" s="21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78" t="s">
        <v>16</v>
      </c>
      <c r="B12" s="179"/>
      <c r="C12" s="179"/>
      <c r="D12" s="181"/>
      <c r="E12" s="182">
        <f>SUM(E6:E11)</f>
        <v>1770.6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83" t="s">
        <v>206</v>
      </c>
      <c r="B13" s="184"/>
      <c r="C13" s="184"/>
      <c r="D13" s="184"/>
      <c r="E13" s="186"/>
      <c r="F13" s="4"/>
      <c r="G13" s="381"/>
      <c r="H13" s="36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56" t="s">
        <v>218</v>
      </c>
      <c r="B14" s="208" t="s">
        <v>7</v>
      </c>
      <c r="C14" s="217"/>
      <c r="D14" s="159"/>
      <c r="E14" s="160" t="s">
        <v>5</v>
      </c>
      <c r="F14" s="240" t="s">
        <v>271</v>
      </c>
      <c r="G14" s="4" t="s">
        <v>272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61"/>
      <c r="B15" s="241" t="s">
        <v>273</v>
      </c>
      <c r="C15" s="242">
        <v>350</v>
      </c>
      <c r="D15" s="243">
        <v>20</v>
      </c>
      <c r="E15" s="244">
        <f>C15*D15</f>
        <v>7000</v>
      </c>
      <c r="F15" s="1">
        <v>348</v>
      </c>
      <c r="G15" s="1">
        <v>161</v>
      </c>
      <c r="H15" s="4"/>
      <c r="I15" s="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61"/>
      <c r="B16" s="245" t="s">
        <v>274</v>
      </c>
      <c r="C16" s="242">
        <v>300</v>
      </c>
      <c r="D16" s="243">
        <v>25</v>
      </c>
      <c r="E16" s="244">
        <f>C16*D16</f>
        <v>7500</v>
      </c>
      <c r="F16" s="1">
        <v>327</v>
      </c>
      <c r="G16" s="1">
        <v>30</v>
      </c>
      <c r="H16" s="4"/>
      <c r="I16" s="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61"/>
      <c r="B17" s="245" t="s">
        <v>275</v>
      </c>
      <c r="C17" s="242">
        <v>150</v>
      </c>
      <c r="D17" s="243">
        <v>30</v>
      </c>
      <c r="E17" s="246">
        <f>C17*D17</f>
        <v>4500</v>
      </c>
      <c r="F17" s="1">
        <v>159</v>
      </c>
      <c r="G17" s="4"/>
      <c r="H17" s="4"/>
      <c r="I17" s="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245" t="s">
        <v>276</v>
      </c>
      <c r="C18" s="247">
        <v>200</v>
      </c>
      <c r="D18" s="248">
        <v>-5</v>
      </c>
      <c r="E18" s="246">
        <f>C18*D18</f>
        <v>-1000</v>
      </c>
      <c r="F18" s="48">
        <v>191</v>
      </c>
      <c r="H18" s="4"/>
      <c r="I18" s="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249" t="s">
        <v>277</v>
      </c>
      <c r="C19" s="250">
        <f>SUM(C15:C17)</f>
        <v>800</v>
      </c>
      <c r="D19" s="243"/>
      <c r="E19" s="246"/>
      <c r="F19" s="1">
        <v>144</v>
      </c>
      <c r="G19" s="4" t="s">
        <v>278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245" t="s">
        <v>279</v>
      </c>
      <c r="C20" s="251"/>
      <c r="D20" s="243"/>
      <c r="E20" s="246">
        <v>500</v>
      </c>
      <c r="F20" s="252">
        <f>SUM(F15:F17)</f>
        <v>834</v>
      </c>
      <c r="G20" s="4" t="s">
        <v>280</v>
      </c>
      <c r="H20" s="4"/>
      <c r="I20" s="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73"/>
      <c r="B21" s="241" t="s">
        <v>281</v>
      </c>
      <c r="C21" s="253"/>
      <c r="D21" s="254"/>
      <c r="E21" s="246">
        <v>200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73"/>
      <c r="B22" s="241"/>
      <c r="C22" s="253"/>
      <c r="D22" s="254"/>
      <c r="E22" s="25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78" t="s">
        <v>16</v>
      </c>
      <c r="B23" s="179"/>
      <c r="C23" s="179"/>
      <c r="D23" s="181"/>
      <c r="E23" s="182">
        <f>SUM(E15:E22)</f>
        <v>18700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4"/>
    </row>
    <row r="24" spans="1:26" ht="16.5" customHeight="1" x14ac:dyDescent="0.2">
      <c r="A24" s="51"/>
      <c r="B24" s="4"/>
      <c r="C24" s="4"/>
      <c r="D24" s="4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377" t="s">
        <v>204</v>
      </c>
      <c r="B25" s="375"/>
      <c r="C25" s="375"/>
      <c r="D25" s="375"/>
      <c r="E25" s="37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193" t="s">
        <v>205</v>
      </c>
      <c r="B26" s="194"/>
      <c r="C26" s="194"/>
      <c r="D26" s="194"/>
      <c r="E26" s="19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156" t="s">
        <v>3</v>
      </c>
      <c r="B27" s="197" t="s">
        <v>7</v>
      </c>
      <c r="C27" s="197" t="s">
        <v>4</v>
      </c>
      <c r="D27" s="199" t="s">
        <v>6</v>
      </c>
      <c r="E27" s="160" t="s">
        <v>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200">
        <f>IF(ISNA(VLOOKUP($A$1&amp;" / "&amp;$A$26,JOURNAL!$B$5:$I$1115,2,0)),"",VLOOKUP($A$1&amp;" / "&amp;$A$26,JOURNAL!$B$5:$I$1115,2,0))</f>
        <v>163</v>
      </c>
      <c r="B28" s="201">
        <f>IF($A28="","",VLOOKUP($A28,JOURNAL!$C$5:$I$1115,5,0))</f>
        <v>0</v>
      </c>
      <c r="C28" s="256">
        <f>IF($A28="","",VLOOKUP($A28,JOURNAL!$C$5:$I$1115,2,0))</f>
        <v>46031</v>
      </c>
      <c r="D28" s="201" t="str">
        <f>IF($A28="","",VLOOKUP($A28,JOURNAL!$C$5:$I$1115,4,0))</f>
        <v>SUISA</v>
      </c>
      <c r="E28" s="187">
        <f>IF($A28="","",VLOOKUP($A28,JOURNAL!$C$5:$I$1115,3,0))</f>
        <v>1117.3499999999999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200" t="str">
        <f ca="1">IF(A28="","",IF(ISNA(VLOOKUP($A$1&amp;" / "&amp;$A$26,INDIRECT(ADDRESS(A28+5,2,1,,"JOURNAL")&amp;":G700"),2,0)),"",VLOOKUP($A$1&amp;" / "&amp;$A$26,INDIRECT(ADDRESS(A28+5,2,1,,"JOURNAL")&amp;":G700"),2,0)))</f>
        <v/>
      </c>
      <c r="B29" s="201" t="str">
        <f ca="1">IF($A29="","",VLOOKUP($A29,JOURNAL!$C$5:$I$1115,5,0))</f>
        <v/>
      </c>
      <c r="C29" s="256" t="str">
        <f ca="1">IF($A29="","",VLOOKUP($A29,JOURNAL!$C$5:$I$1115,2,0))</f>
        <v/>
      </c>
      <c r="D29" s="201" t="str">
        <f ca="1">IF($A29="","",VLOOKUP($A29,JOURNAL!$C$5:$I$1115,4,0))</f>
        <v/>
      </c>
      <c r="E29" s="187" t="str">
        <f ca="1">IF($A29="","",VLOOKUP($A29,JOURNAL!$C$5:$I$1115,3,0))</f>
        <v/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 t="str">
        <f ca="1">IF(A29="","",IF(ISNA(VLOOKUP($A$1&amp;" / "&amp;$A$26,INDIRECT(ADDRESS(A29+5,2,1,,"JOURNAL")&amp;":G700"),2,0)),"",VLOOKUP($A$1&amp;" / "&amp;$A$26,INDIRECT(ADDRESS(A29+5,2,1,,"JOURNAL")&amp;":G700"),2,0)))</f>
        <v/>
      </c>
      <c r="B30" s="201" t="str">
        <f ca="1">IF($A30="","",VLOOKUP($A30,JOURNAL!$C$5:$I$1115,5,0))</f>
        <v/>
      </c>
      <c r="C30" s="256" t="str">
        <f ca="1">IF($A30="","",VLOOKUP($A30,JOURNAL!$C$5:$I$1115,2,0))</f>
        <v/>
      </c>
      <c r="D30" s="201" t="str">
        <f ca="1">IF($A30="","",VLOOKUP($A30,JOURNAL!$C$5:$I$1115,4,0))</f>
        <v/>
      </c>
      <c r="E30" s="187" t="str">
        <f ca="1">IF($A30="","",VLOOKUP($A30,JOURNAL!$C$5:$I$1115,3,0))</f>
        <v/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 t="str">
        <f ca="1">IF(A30="","",IF(ISNA(VLOOKUP($A$1&amp;" / "&amp;$A$26,INDIRECT(ADDRESS(A30+5,2,1,,"JOURNAL")&amp;":G700"),2,0)),"",VLOOKUP($A$1&amp;" / "&amp;$A$26,INDIRECT(ADDRESS(A30+5,2,1,,"JOURNAL")&amp;":G700"),2,0)))</f>
        <v/>
      </c>
      <c r="B31" s="201" t="str">
        <f ca="1">IF($A31="","",VLOOKUP($A31,JOURNAL!$C$5:$I$1115,5,0))</f>
        <v/>
      </c>
      <c r="C31" s="256" t="str">
        <f ca="1">IF($A31="","",VLOOKUP($A31,JOURNAL!$C$5:$I$1115,2,0))</f>
        <v/>
      </c>
      <c r="D31" s="201" t="str">
        <f ca="1">IF($A31="","",VLOOKUP($A31,JOURNAL!$C$5:$I$1115,4,0))</f>
        <v/>
      </c>
      <c r="E31" s="187" t="str">
        <f ca="1">IF($A31="","",VLOOKUP($A31,JOURNAL!$C$5:$I$1115,3,0))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 t="str">
        <f ca="1">IF(A31="","",IF(ISNA(VLOOKUP($A$1&amp;" / "&amp;$A$26,INDIRECT(ADDRESS(A31+5,2,1,,"JOURNAL")&amp;":G700"),2,0)),"",VLOOKUP($A$1&amp;" / "&amp;$A$26,INDIRECT(ADDRESS(A31+5,2,1,,"JOURNAL")&amp;":G700"),2,0)))</f>
        <v/>
      </c>
      <c r="B32" s="201" t="str">
        <f ca="1">IF($A32="","",VLOOKUP($A32,JOURNAL!$C$5:$I$1115,5,0))</f>
        <v/>
      </c>
      <c r="C32" s="256" t="str">
        <f ca="1">IF($A32="","",VLOOKUP($A32,JOURNAL!$C$5:$I$1115,2,0))</f>
        <v/>
      </c>
      <c r="D32" s="201" t="str">
        <f ca="1">IF($A32="","",VLOOKUP($A32,JOURNAL!$C$5:$I$1115,4,0))</f>
        <v/>
      </c>
      <c r="E32" s="187" t="str">
        <f ca="1">IF($A32="","",VLOOKUP($A32,JOURNAL!$C$5:$I$1115,3,0))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ca="1">IF(A32="","",IF(ISNA(VLOOKUP($A$1&amp;" / "&amp;$A$26,INDIRECT(ADDRESS(A32+5,2,1,,"JOURNAL")&amp;":G700"),2,0)),"",VLOOKUP($A$1&amp;" / "&amp;$A$26,INDIRECT(ADDRESS(A32+5,2,1,,"JOURNAL")&amp;":G700"),2,0)))</f>
        <v/>
      </c>
      <c r="B33" s="201" t="str">
        <f ca="1">IF($A33="","",VLOOKUP($A33,JOURNAL!$C$5:$I$1115,5,0))</f>
        <v/>
      </c>
      <c r="C33" s="256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array" aca="1" ref="A34" ca="1">IF(A33="","",IF(ISNA(VLOOKUP($A$1&amp;" / "&amp;$A$26,INDIRECT(ADDRESS(A33+5,2,1,,"JOURNAL")&amp;":G500"),2,0)),"",VLOOKUP($A$1&amp;" / "&amp;$A$26,INDIRECT(ADDRESS(A33+5,2,1,,"JOURNAL")&amp;":G500"),2,0)))</f>
        <v/>
      </c>
      <c r="B34" s="201" t="str">
        <f ca="1">IF($A34="","",VLOOKUP($A34,JOURNAL!$C$5:$I$1115,5,0))</f>
        <v/>
      </c>
      <c r="C34" s="256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178" t="s">
        <v>16</v>
      </c>
      <c r="B35" s="179"/>
      <c r="C35" s="179"/>
      <c r="D35" s="181"/>
      <c r="E35" s="182">
        <f ca="1">SUM(E28:E34)</f>
        <v>1117.3499999999999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4"/>
    </row>
    <row r="36" spans="1:26" ht="16.5" customHeight="1" x14ac:dyDescent="0.2">
      <c r="A36" s="204" t="s">
        <v>206</v>
      </c>
      <c r="B36" s="205"/>
      <c r="C36" s="205"/>
      <c r="D36" s="205"/>
      <c r="E36" s="20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156" t="s">
        <v>3</v>
      </c>
      <c r="B37" s="197" t="s">
        <v>7</v>
      </c>
      <c r="C37" s="197" t="s">
        <v>4</v>
      </c>
      <c r="D37" s="199" t="s">
        <v>6</v>
      </c>
      <c r="E37" s="160" t="s">
        <v>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>
        <f>IF(ISNA(VLOOKUP($A$1&amp;" / "&amp;$A$36,JOURNAL!$B$5:$I$1115,2,0)),"",VLOOKUP($A$1&amp;" / "&amp;$A$36,JOURNAL!$B$5:$I$1115,2,0))</f>
        <v>203</v>
      </c>
      <c r="B38" s="201" t="str">
        <f>IF($A38="","",VLOOKUP($A38,JOURNAL!$C$5:$I$1115,5,0))</f>
        <v>Vente billets</v>
      </c>
      <c r="C38" s="256">
        <f>IF($A38="","",VLOOKUP($A38,JOURNAL!$C$5:$I$1115,2,0))</f>
        <v>46090</v>
      </c>
      <c r="D38" s="201" t="str">
        <f>IF($A38="","",VLOOKUP($A38,JOURNAL!$C$5:$I$1115,4,0))</f>
        <v>BLV</v>
      </c>
      <c r="E38" s="187">
        <f>IF($A38="","",VLOOKUP($A38,JOURNAL!$C$5:$I$1115,3,0))</f>
        <v>702.75</v>
      </c>
      <c r="F38" s="4"/>
      <c r="G38" s="51"/>
      <c r="H38" s="5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array" aca="1" ref="A39" ca="1">IF(A38="","",IF(ISNA(VLOOKUP($A$1&amp;" / "&amp;$A$36,INDIRECT(ADDRESS(A38+5,2,1,,"JOURNAL")&amp;":G700"),2,0)),"",VLOOKUP($A$1&amp;" / "&amp;$A$36,INDIRECT(ADDRESS(A38+5,2,1,,"JOURNAL")&amp;":G700"),2,0)))</f>
        <v/>
      </c>
      <c r="B39" s="201" t="str">
        <f ca="1">IF($A39="","",VLOOKUP($A39,JOURNAL!$C$5:$I$1115,5,0))</f>
        <v/>
      </c>
      <c r="C39" s="256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51"/>
      <c r="H39" s="5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ref="A40:A66" ca="1" si="0">IF(A39="","",IF(ISNA(VLOOKUP($A$1&amp;" / "&amp;$A$36,INDIRECT(ADDRESS(A39+5,2,1,,"JOURNAL")&amp;":G500"),2,0)),"",VLOOKUP($A$1&amp;" / "&amp;$A$36,INDIRECT(ADDRESS(A39+5,2,1,,"JOURNAL")&amp;":G500"),2,0)))</f>
        <v/>
      </c>
      <c r="B40" s="201" t="str">
        <f ca="1">IF($A40="","",VLOOKUP($A40,JOURNAL!$C$5:$I$1115,5,0))</f>
        <v/>
      </c>
      <c r="C40" s="256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51"/>
      <c r="H40" s="5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56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51"/>
      <c r="H41" s="5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56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51"/>
      <c r="H42" s="5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56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51"/>
      <c r="H43" s="5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56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51"/>
      <c r="H44" s="5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t="shared" ca="1" si="0"/>
        <v/>
      </c>
      <c r="B45" s="201" t="str">
        <f ca="1">IF($A45="","",VLOOKUP($A45,JOURNAL!$C$5:$I$1115,5,0))</f>
        <v/>
      </c>
      <c r="C45" s="256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51"/>
      <c r="H45" s="5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200" t="str">
        <f t="shared" ca="1" si="0"/>
        <v/>
      </c>
      <c r="B46" s="201" t="str">
        <f ca="1">IF($A46="","",VLOOKUP($A46,JOURNAL!$C$5:$I$1115,5,0))</f>
        <v/>
      </c>
      <c r="C46" s="256" t="str">
        <f ca="1">IF($A46="","",VLOOKUP($A46,JOURNAL!$C$5:$I$1115,2,0))</f>
        <v/>
      </c>
      <c r="D46" s="201" t="str">
        <f ca="1">IF($A46="","",VLOOKUP($A46,JOURNAL!$C$5:$I$1115,4,0))</f>
        <v/>
      </c>
      <c r="E46" s="187" t="str">
        <f ca="1">IF($A46="","",VLOOKUP($A46,JOURNAL!$C$5:$I$1115,3,0))</f>
        <v/>
      </c>
      <c r="F46" s="4"/>
      <c r="G46" s="51"/>
      <c r="H46" s="5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200" t="str">
        <f t="shared" ca="1" si="0"/>
        <v/>
      </c>
      <c r="B47" s="201" t="str">
        <f ca="1">IF($A47="","",VLOOKUP($A47,JOURNAL!$C$5:$I$1115,5,0))</f>
        <v/>
      </c>
      <c r="C47" s="256" t="str">
        <f ca="1">IF($A47="","",VLOOKUP($A47,JOURNAL!$C$5:$I$1115,2,0))</f>
        <v/>
      </c>
      <c r="D47" s="201" t="str">
        <f ca="1">IF($A47="","",VLOOKUP($A47,JOURNAL!$C$5:$I$1115,4,0))</f>
        <v/>
      </c>
      <c r="E47" s="187" t="str">
        <f ca="1">IF($A47="","",VLOOKUP($A47,JOURNAL!$C$5:$I$1115,3,0))</f>
        <v/>
      </c>
      <c r="F47" s="4"/>
      <c r="G47" s="51"/>
      <c r="H47" s="5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200" t="str">
        <f t="shared" ca="1" si="0"/>
        <v/>
      </c>
      <c r="B48" s="201" t="str">
        <f ca="1">IF($A48="","",VLOOKUP($A48,JOURNAL!$C$5:$I$1115,5,0))</f>
        <v/>
      </c>
      <c r="C48" s="256" t="str">
        <f ca="1">IF($A48="","",VLOOKUP($A48,JOURNAL!$C$5:$I$1115,2,0))</f>
        <v/>
      </c>
      <c r="D48" s="201" t="str">
        <f ca="1">IF($A48="","",VLOOKUP($A48,JOURNAL!$C$5:$I$1115,4,0))</f>
        <v/>
      </c>
      <c r="E48" s="187" t="str">
        <f ca="1">IF($A48="","",VLOOKUP($A48,JOURNAL!$C$5:$I$1115,3,0))</f>
        <v/>
      </c>
      <c r="F48" s="4"/>
      <c r="G48" s="51"/>
      <c r="H48" s="5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 t="str">
        <f t="shared" ca="1" si="0"/>
        <v/>
      </c>
      <c r="B49" s="201" t="str">
        <f ca="1">IF($A49="","",VLOOKUP($A49,JOURNAL!$C$5:$I$1115,5,0))</f>
        <v/>
      </c>
      <c r="C49" s="256" t="str">
        <f ca="1">IF($A49="","",VLOOKUP($A49,JOURNAL!$C$5:$I$1115,2,0))</f>
        <v/>
      </c>
      <c r="D49" s="201" t="str">
        <f ca="1">IF($A49="","",VLOOKUP($A49,JOURNAL!$C$5:$I$1115,4,0))</f>
        <v/>
      </c>
      <c r="E49" s="187" t="str">
        <f ca="1">IF($A49="","",VLOOKUP($A49,JOURNAL!$C$5:$I$1115,3,0))</f>
        <v/>
      </c>
      <c r="F49" s="4"/>
      <c r="G49" s="51"/>
      <c r="H49" s="5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 t="str">
        <f t="shared" ca="1" si="0"/>
        <v/>
      </c>
      <c r="B50" s="201" t="str">
        <f ca="1">IF($A50="","",VLOOKUP($A50,JOURNAL!$C$5:$I$1115,5,0))</f>
        <v/>
      </c>
      <c r="C50" s="256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51"/>
      <c r="H50" s="5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 t="str">
        <f t="shared" ca="1" si="0"/>
        <v/>
      </c>
      <c r="B51" s="201" t="str">
        <f ca="1">IF($A51="","",VLOOKUP($A51,JOURNAL!$C$5:$I$1115,5,0))</f>
        <v/>
      </c>
      <c r="C51" s="256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51"/>
      <c r="H51" s="5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 t="str">
        <f t="shared" ca="1" si="0"/>
        <v/>
      </c>
      <c r="B52" s="201" t="str">
        <f ca="1">IF($A52="","",VLOOKUP($A52,JOURNAL!$C$5:$I$1115,5,0))</f>
        <v/>
      </c>
      <c r="C52" s="256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51"/>
      <c r="H52" s="5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 t="str">
        <f t="shared" ca="1" si="0"/>
        <v/>
      </c>
      <c r="B53" s="201" t="str">
        <f ca="1">IF($A53="","",VLOOKUP($A53,JOURNAL!$C$5:$I$1115,5,0))</f>
        <v/>
      </c>
      <c r="C53" s="256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51">
        <f ca="1">SUM(E47,E53,E45,E39,E42)</f>
        <v>0</v>
      </c>
      <c r="H53" s="5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t="shared" ca="1" si="0"/>
        <v/>
      </c>
      <c r="B54" s="201" t="str">
        <f ca="1">IF($A54="","",VLOOKUP($A54,JOURNAL!$C$5:$I$1115,5,0))</f>
        <v/>
      </c>
      <c r="C54" s="256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51"/>
      <c r="H54" s="5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 t="shared" ca="1" si="0"/>
        <v/>
      </c>
      <c r="B55" s="201" t="str">
        <f ca="1">IF($A55="","",VLOOKUP($A55,JOURNAL!$C$5:$I$1115,5,0))</f>
        <v/>
      </c>
      <c r="C55" s="256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51"/>
      <c r="H55" s="5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200" t="str">
        <f t="shared" ca="1" si="0"/>
        <v/>
      </c>
      <c r="B56" s="201" t="str">
        <f ca="1">IF($A56="","",VLOOKUP($A56,JOURNAL!$C$5:$I$1115,5,0))</f>
        <v/>
      </c>
      <c r="C56" s="256" t="str">
        <f ca="1">IF($A56="","",VLOOKUP($A56,JOURNAL!$C$5:$I$1115,2,0))</f>
        <v/>
      </c>
      <c r="D56" s="201" t="str">
        <f ca="1">IF($A56="","",VLOOKUP($A56,JOURNAL!$C$5:$I$1115,4,0))</f>
        <v/>
      </c>
      <c r="E56" s="187" t="str">
        <f ca="1">IF($A56="","",VLOOKUP($A56,JOURNAL!$C$5:$I$1115,3,0))</f>
        <v/>
      </c>
      <c r="F56" s="4"/>
      <c r="G56" s="51"/>
      <c r="H56" s="5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200" t="str">
        <f t="shared" ca="1" si="0"/>
        <v/>
      </c>
      <c r="B57" s="201" t="str">
        <f ca="1">IF($A57="","",VLOOKUP($A57,JOURNAL!$C$5:$I$1115,5,0))</f>
        <v/>
      </c>
      <c r="C57" s="256" t="str">
        <f ca="1">IF($A57="","",VLOOKUP($A57,JOURNAL!$C$5:$I$1115,2,0))</f>
        <v/>
      </c>
      <c r="D57" s="201" t="str">
        <f ca="1">IF($A57="","",VLOOKUP($A57,JOURNAL!$C$5:$I$1115,4,0))</f>
        <v/>
      </c>
      <c r="E57" s="187" t="str">
        <f ca="1">IF($A57="","",VLOOKUP($A57,JOURNAL!$C$5:$I$1115,3,0))</f>
        <v/>
      </c>
      <c r="F57" s="4"/>
      <c r="G57" s="51"/>
      <c r="H57" s="5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200" t="str">
        <f t="shared" ca="1" si="0"/>
        <v/>
      </c>
      <c r="B58" s="201" t="str">
        <f ca="1">IF($A58="","",VLOOKUP($A58,JOURNAL!$C$5:$I$1115,5,0))</f>
        <v/>
      </c>
      <c r="C58" s="256" t="str">
        <f ca="1">IF($A58="","",VLOOKUP($A58,JOURNAL!$C$5:$I$1115,2,0))</f>
        <v/>
      </c>
      <c r="D58" s="201" t="str">
        <f ca="1">IF($A58="","",VLOOKUP($A58,JOURNAL!$C$5:$I$1115,4,0))</f>
        <v/>
      </c>
      <c r="E58" s="187" t="str">
        <f ca="1">IF($A58="","",VLOOKUP($A58,JOURNAL!$C$5:$I$1115,3,0))</f>
        <v/>
      </c>
      <c r="F58" s="4"/>
      <c r="G58" s="51"/>
      <c r="H58" s="5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200" t="str">
        <f t="shared" ca="1" si="0"/>
        <v/>
      </c>
      <c r="B59" s="201" t="str">
        <f ca="1">IF($A59="","",VLOOKUP($A59,JOURNAL!$C$5:$I$1115,5,0))</f>
        <v/>
      </c>
      <c r="C59" s="256" t="str">
        <f ca="1">IF($A59="","",VLOOKUP($A59,JOURNAL!$C$5:$I$1115,2,0))</f>
        <v/>
      </c>
      <c r="D59" s="201" t="str">
        <f ca="1">IF($A59="","",VLOOKUP($A59,JOURNAL!$C$5:$I$1115,4,0))</f>
        <v/>
      </c>
      <c r="E59" s="187" t="str">
        <f ca="1">IF($A59="","",VLOOKUP($A59,JOURNAL!$C$5:$I$1115,3,0))</f>
        <v/>
      </c>
      <c r="F59" s="4"/>
      <c r="G59" s="51"/>
      <c r="H59" s="5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200" t="str">
        <f t="shared" ca="1" si="0"/>
        <v/>
      </c>
      <c r="B60" s="201" t="str">
        <f ca="1">IF($A60="","",VLOOKUP($A60,JOURNAL!$C$5:$I$1115,5,0))</f>
        <v/>
      </c>
      <c r="C60" s="256" t="str">
        <f ca="1">IF($A60="","",VLOOKUP($A60,JOURNAL!$C$5:$I$1115,2,0))</f>
        <v/>
      </c>
      <c r="D60" s="201" t="str">
        <f ca="1">IF($A60="","",VLOOKUP($A60,JOURNAL!$C$5:$I$1115,4,0))</f>
        <v/>
      </c>
      <c r="E60" s="187" t="str">
        <f ca="1">IF($A60="","",VLOOKUP($A60,JOURNAL!$C$5:$I$1115,3,0))</f>
        <v/>
      </c>
      <c r="F60" s="4"/>
      <c r="G60" s="51"/>
      <c r="H60" s="5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200" t="str">
        <f t="shared" ca="1" si="0"/>
        <v/>
      </c>
      <c r="B61" s="201" t="str">
        <f ca="1">IF($A61="","",VLOOKUP($A61,JOURNAL!$C$5:$I$1115,5,0))</f>
        <v/>
      </c>
      <c r="C61" s="256" t="str">
        <f ca="1">IF($A61="","",VLOOKUP($A61,JOURNAL!$C$5:$I$1115,2,0))</f>
        <v/>
      </c>
      <c r="D61" s="201" t="str">
        <f ca="1">IF($A61="","",VLOOKUP($A61,JOURNAL!$C$5:$I$1115,4,0))</f>
        <v/>
      </c>
      <c r="E61" s="187" t="str">
        <f ca="1">IF($A61="","",VLOOKUP($A61,JOURNAL!$C$5:$I$1115,3,0))</f>
        <v/>
      </c>
      <c r="F61" s="4"/>
      <c r="G61" s="51"/>
      <c r="H61" s="5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200" t="str">
        <f t="shared" ca="1" si="0"/>
        <v/>
      </c>
      <c r="B62" s="201" t="str">
        <f ca="1">IF($A62="","",VLOOKUP($A62,JOURNAL!$C$5:$I$1115,5,0))</f>
        <v/>
      </c>
      <c r="C62" s="256" t="str">
        <f ca="1">IF($A62="","",VLOOKUP($A62,JOURNAL!$C$5:$I$1115,2,0))</f>
        <v/>
      </c>
      <c r="D62" s="201" t="str">
        <f ca="1">IF($A62="","",VLOOKUP($A62,JOURNAL!$C$5:$I$1115,4,0))</f>
        <v/>
      </c>
      <c r="E62" s="187" t="str">
        <f ca="1">IF($A62="","",VLOOKUP($A62,JOURNAL!$C$5:$I$1115,3,0))</f>
        <v/>
      </c>
      <c r="F62" s="4"/>
      <c r="G62" s="51"/>
      <c r="H62" s="5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200" t="str">
        <f t="shared" ca="1" si="0"/>
        <v/>
      </c>
      <c r="B63" s="201" t="str">
        <f ca="1">IF($A63="","",VLOOKUP($A63,JOURNAL!$C$5:$I$1115,5,0))</f>
        <v/>
      </c>
      <c r="C63" s="256" t="str">
        <f ca="1">IF($A63="","",VLOOKUP($A63,JOURNAL!$C$5:$I$1115,2,0))</f>
        <v/>
      </c>
      <c r="D63" s="201" t="str">
        <f ca="1">IF($A63="","",VLOOKUP($A63,JOURNAL!$C$5:$I$1115,4,0))</f>
        <v/>
      </c>
      <c r="E63" s="187" t="str">
        <f ca="1">IF($A63="","",VLOOKUP($A63,JOURNAL!$C$5:$I$1115,3,0))</f>
        <v/>
      </c>
      <c r="F63" s="4"/>
      <c r="G63" s="51"/>
      <c r="H63" s="5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200" t="str">
        <f t="shared" ca="1" si="0"/>
        <v/>
      </c>
      <c r="B64" s="201" t="str">
        <f ca="1">IF($A64="","",VLOOKUP($A64,JOURNAL!$C$5:$I$1115,5,0))</f>
        <v/>
      </c>
      <c r="C64" s="256" t="str">
        <f ca="1">IF($A64="","",VLOOKUP($A64,JOURNAL!$C$5:$I$1115,2,0))</f>
        <v/>
      </c>
      <c r="D64" s="201" t="str">
        <f ca="1">IF($A64="","",VLOOKUP($A64,JOURNAL!$C$5:$I$1115,4,0))</f>
        <v/>
      </c>
      <c r="E64" s="187" t="str">
        <f ca="1">IF($A64="","",VLOOKUP($A64,JOURNAL!$C$5:$I$1115,3,0))</f>
        <v/>
      </c>
      <c r="F64" s="4"/>
      <c r="G64" s="51"/>
      <c r="H64" s="5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200" t="str">
        <f t="shared" ca="1" si="0"/>
        <v/>
      </c>
      <c r="B65" s="201" t="str">
        <f ca="1">IF($A65="","",VLOOKUP($A65,JOURNAL!$C$5:$I$1115,5,0))</f>
        <v/>
      </c>
      <c r="C65" s="256" t="str">
        <f ca="1">IF($A65="","",VLOOKUP($A65,JOURNAL!$C$5:$I$1115,2,0))</f>
        <v/>
      </c>
      <c r="D65" s="201" t="str">
        <f ca="1">IF($A65="","",VLOOKUP($A65,JOURNAL!$C$5:$I$1115,4,0))</f>
        <v/>
      </c>
      <c r="E65" s="187" t="str">
        <f ca="1">IF($A65="","",VLOOKUP($A65,JOURNAL!$C$5:$I$1115,3,0))</f>
        <v/>
      </c>
      <c r="F65" s="4"/>
      <c r="G65" s="51"/>
      <c r="H65" s="5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200" t="str">
        <f t="shared" ca="1" si="0"/>
        <v/>
      </c>
      <c r="B66" s="201" t="str">
        <f ca="1">IF($A66="","",VLOOKUP($A66,JOURNAL!$C$5:$I$1115,5,0))</f>
        <v/>
      </c>
      <c r="C66" s="256" t="str">
        <f ca="1">IF($A66="","",VLOOKUP($A66,JOURNAL!$C$5:$I$1115,2,0))</f>
        <v/>
      </c>
      <c r="D66" s="201" t="str">
        <f ca="1">IF($A66="","",VLOOKUP($A66,JOURNAL!$C$5:$I$1115,4,0))</f>
        <v/>
      </c>
      <c r="E66" s="187" t="str">
        <f ca="1">IF($A66="","",VLOOKUP($A66,JOURNAL!$C$5:$I$1115,3,0))</f>
        <v/>
      </c>
      <c r="F66" s="4"/>
      <c r="G66" s="51"/>
      <c r="H66" s="5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200" t="str">
        <f t="shared" ref="A67:A98" ca="1" si="1">IF(A66="","",IF(ISNA(VLOOKUP($A$1&amp;" / "&amp;$A$36,INDIRECT(ADDRESS(A66+5,2,1,,"JOURNAL")&amp;":G700"),2,0)),"",VLOOKUP($A$1&amp;" / "&amp;$A$36,INDIRECT(ADDRESS(A66+5,2,1,,"JOURNAL")&amp;":G700"),2,0)))</f>
        <v/>
      </c>
      <c r="B67" s="201" t="str">
        <f ca="1">IF($A67="","",VLOOKUP($A67,JOURNAL!$C$5:$I$1115,5,0))</f>
        <v/>
      </c>
      <c r="C67" s="256" t="str">
        <f ca="1">IF($A67="","",VLOOKUP($A67,JOURNAL!$C$5:$I$1115,2,0))</f>
        <v/>
      </c>
      <c r="D67" s="201" t="str">
        <f ca="1">IF($A67="","",VLOOKUP($A67,JOURNAL!$C$5:$I$1115,4,0))</f>
        <v/>
      </c>
      <c r="E67" s="187" t="str">
        <f ca="1">IF($A67="","",VLOOKUP($A67,JOURNAL!$C$5:$I$1115,3,0))</f>
        <v/>
      </c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4"/>
    </row>
    <row r="68" spans="1:26" ht="16.5" customHeight="1" x14ac:dyDescent="0.2">
      <c r="A68" s="200" t="str">
        <f t="shared" ca="1" si="1"/>
        <v/>
      </c>
      <c r="B68" s="201" t="str">
        <f ca="1">IF($A68="","",VLOOKUP($A68,JOURNAL!$C$5:$I$1115,5,0))</f>
        <v/>
      </c>
      <c r="C68" s="256" t="str">
        <f ca="1">IF($A68="","",VLOOKUP($A68,JOURNAL!$C$5:$I$1115,2,0))</f>
        <v/>
      </c>
      <c r="D68" s="201" t="str">
        <f ca="1">IF($A68="","",VLOOKUP($A68,JOURNAL!$C$5:$I$1115,4,0))</f>
        <v/>
      </c>
      <c r="E68" s="187" t="str">
        <f ca="1">IF($A68="","",VLOOKUP($A68,JOURNAL!$C$5:$I$1115,3,0))</f>
        <v/>
      </c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4"/>
    </row>
    <row r="69" spans="1:26" ht="16.5" customHeight="1" x14ac:dyDescent="0.2">
      <c r="A69" s="200" t="str">
        <f t="shared" ca="1" si="1"/>
        <v/>
      </c>
      <c r="B69" s="201" t="str">
        <f ca="1">IF($A69="","",VLOOKUP($A69,JOURNAL!$C$5:$I$1115,5,0))</f>
        <v/>
      </c>
      <c r="C69" s="256" t="str">
        <f ca="1">IF($A69="","",VLOOKUP($A69,JOURNAL!$C$5:$I$1115,2,0))</f>
        <v/>
      </c>
      <c r="D69" s="201" t="str">
        <f ca="1">IF($A69="","",VLOOKUP($A69,JOURNAL!$C$5:$I$1115,4,0))</f>
        <v/>
      </c>
      <c r="E69" s="187" t="str">
        <f ca="1">IF($A69="","",VLOOKUP($A69,JOURNAL!$C$5:$I$1115,3,0))</f>
        <v/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4"/>
    </row>
    <row r="70" spans="1:26" ht="16.5" customHeight="1" x14ac:dyDescent="0.2">
      <c r="A70" s="200" t="str">
        <f t="shared" ca="1" si="1"/>
        <v/>
      </c>
      <c r="B70" s="201" t="str">
        <f ca="1">IF($A70="","",VLOOKUP($A70,JOURNAL!$C$5:$I$1115,5,0))</f>
        <v/>
      </c>
      <c r="C70" s="256" t="str">
        <f ca="1">IF($A70="","",VLOOKUP($A70,JOURNAL!$C$5:$I$1115,2,0))</f>
        <v/>
      </c>
      <c r="D70" s="201" t="str">
        <f ca="1">IF($A70="","",VLOOKUP($A70,JOURNAL!$C$5:$I$1115,4,0))</f>
        <v/>
      </c>
      <c r="E70" s="187" t="str">
        <f ca="1">IF($A70="","",VLOOKUP($A70,JOURNAL!$C$5:$I$1115,3,0))</f>
        <v/>
      </c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4"/>
    </row>
    <row r="71" spans="1:26" ht="16.5" customHeight="1" x14ac:dyDescent="0.2">
      <c r="A71" s="200" t="str">
        <f t="shared" ca="1" si="1"/>
        <v/>
      </c>
      <c r="B71" s="201" t="str">
        <f ca="1">IF($A71="","",VLOOKUP($A71,JOURNAL!$C$5:$I$1115,5,0))</f>
        <v/>
      </c>
      <c r="C71" s="256" t="str">
        <f ca="1">IF($A71="","",VLOOKUP($A71,JOURNAL!$C$5:$I$1115,2,0))</f>
        <v/>
      </c>
      <c r="D71" s="201" t="str">
        <f ca="1">IF($A71="","",VLOOKUP($A71,JOURNAL!$C$5:$I$1115,4,0))</f>
        <v/>
      </c>
      <c r="E71" s="187" t="str">
        <f ca="1">IF($A71="","",VLOOKUP($A71,JOURNAL!$C$5:$I$1115,3,0))</f>
        <v/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4"/>
    </row>
    <row r="72" spans="1:26" ht="16.5" customHeight="1" x14ac:dyDescent="0.2">
      <c r="A72" s="200" t="str">
        <f t="shared" ca="1" si="1"/>
        <v/>
      </c>
      <c r="B72" s="201" t="str">
        <f ca="1">IF($A72="","",VLOOKUP($A72,JOURNAL!$C$5:$I$1115,5,0))</f>
        <v/>
      </c>
      <c r="C72" s="256" t="str">
        <f ca="1">IF($A72="","",VLOOKUP($A72,JOURNAL!$C$5:$I$1115,2,0))</f>
        <v/>
      </c>
      <c r="D72" s="201" t="str">
        <f ca="1">IF($A72="","",VLOOKUP($A72,JOURNAL!$C$5:$I$1115,4,0))</f>
        <v/>
      </c>
      <c r="E72" s="187" t="str">
        <f ca="1">IF($A72="","",VLOOKUP($A72,JOURNAL!$C$5:$I$1115,3,0))</f>
        <v/>
      </c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4"/>
    </row>
    <row r="73" spans="1:26" ht="16.5" customHeight="1" x14ac:dyDescent="0.2">
      <c r="A73" s="200" t="str">
        <f t="shared" ca="1" si="1"/>
        <v/>
      </c>
      <c r="B73" s="201" t="str">
        <f ca="1">IF($A73="","",VLOOKUP($A73,JOURNAL!$C$5:$I$1115,5,0))</f>
        <v/>
      </c>
      <c r="C73" s="256" t="str">
        <f ca="1">IF($A73="","",VLOOKUP($A73,JOURNAL!$C$5:$I$1115,2,0))</f>
        <v/>
      </c>
      <c r="D73" s="201" t="str">
        <f ca="1">IF($A73="","",VLOOKUP($A73,JOURNAL!$C$5:$I$1115,4,0))</f>
        <v/>
      </c>
      <c r="E73" s="187" t="str">
        <f ca="1">IF($A73="","",VLOOKUP($A73,JOURNAL!$C$5:$I$1115,3,0))</f>
        <v/>
      </c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4"/>
    </row>
    <row r="74" spans="1:26" ht="16.5" customHeight="1" x14ac:dyDescent="0.2">
      <c r="A74" s="200" t="str">
        <f t="shared" ca="1" si="1"/>
        <v/>
      </c>
      <c r="B74" s="201" t="str">
        <f ca="1">IF($A74="","",VLOOKUP($A74,JOURNAL!$C$5:$I$1115,5,0))</f>
        <v/>
      </c>
      <c r="C74" s="256" t="str">
        <f ca="1">IF($A74="","",VLOOKUP($A74,JOURNAL!$C$5:$I$1115,2,0))</f>
        <v/>
      </c>
      <c r="D74" s="201" t="str">
        <f ca="1">IF($A74="","",VLOOKUP($A74,JOURNAL!$C$5:$I$1115,4,0))</f>
        <v/>
      </c>
      <c r="E74" s="187" t="str">
        <f ca="1">IF($A74="","",VLOOKUP($A74,JOURNAL!$C$5:$I$1115,3,0))</f>
        <v/>
      </c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4"/>
    </row>
    <row r="75" spans="1:26" ht="16.5" customHeight="1" x14ac:dyDescent="0.2">
      <c r="A75" s="200" t="str">
        <f t="shared" ca="1" si="1"/>
        <v/>
      </c>
      <c r="B75" s="201" t="str">
        <f ca="1">IF($A75="","",VLOOKUP($A75,JOURNAL!$C$5:$I$1115,5,0))</f>
        <v/>
      </c>
      <c r="C75" s="256" t="str">
        <f ca="1">IF($A75="","",VLOOKUP($A75,JOURNAL!$C$5:$I$1115,2,0))</f>
        <v/>
      </c>
      <c r="D75" s="201" t="str">
        <f ca="1">IF($A75="","",VLOOKUP($A75,JOURNAL!$C$5:$I$1115,4,0))</f>
        <v/>
      </c>
      <c r="E75" s="187" t="str">
        <f ca="1">IF($A75="","",VLOOKUP($A75,JOURNAL!$C$5:$I$1115,3,0))</f>
        <v/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4"/>
    </row>
    <row r="76" spans="1:26" ht="16.5" customHeight="1" x14ac:dyDescent="0.2">
      <c r="A76" s="200" t="str">
        <f t="shared" ca="1" si="1"/>
        <v/>
      </c>
      <c r="B76" s="201" t="str">
        <f ca="1">IF($A76="","",VLOOKUP($A76,JOURNAL!$C$5:$I$1115,5,0))</f>
        <v/>
      </c>
      <c r="C76" s="256" t="str">
        <f ca="1">IF($A76="","",VLOOKUP($A76,JOURNAL!$C$5:$I$1115,2,0))</f>
        <v/>
      </c>
      <c r="D76" s="201" t="str">
        <f ca="1">IF($A76="","",VLOOKUP($A76,JOURNAL!$C$5:$I$1115,4,0))</f>
        <v/>
      </c>
      <c r="E76" s="187" t="str">
        <f ca="1">IF($A76="","",VLOOKUP($A76,JOURNAL!$C$5:$I$1115,3,0))</f>
        <v/>
      </c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4"/>
    </row>
    <row r="77" spans="1:26" ht="16.5" customHeight="1" x14ac:dyDescent="0.2">
      <c r="A77" s="200" t="str">
        <f t="shared" ca="1" si="1"/>
        <v/>
      </c>
      <c r="B77" s="201" t="str">
        <f ca="1">IF($A77="","",VLOOKUP($A77,JOURNAL!$C$5:$I$1115,5,0))</f>
        <v/>
      </c>
      <c r="C77" s="256" t="str">
        <f ca="1">IF($A77="","",VLOOKUP($A77,JOURNAL!$C$5:$I$1115,2,0))</f>
        <v/>
      </c>
      <c r="D77" s="201" t="str">
        <f ca="1">IF($A77="","",VLOOKUP($A77,JOURNAL!$C$5:$I$1115,4,0))</f>
        <v/>
      </c>
      <c r="E77" s="187" t="str">
        <f ca="1">IF($A77="","",VLOOKUP($A77,JOURNAL!$C$5:$I$1115,3,0))</f>
        <v/>
      </c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4"/>
    </row>
    <row r="78" spans="1:26" ht="16.5" customHeight="1" x14ac:dyDescent="0.2">
      <c r="A78" s="200" t="str">
        <f t="shared" ca="1" si="1"/>
        <v/>
      </c>
      <c r="B78" s="201" t="str">
        <f ca="1">IF($A78="","",VLOOKUP($A78,JOURNAL!$C$5:$I$1115,5,0))</f>
        <v/>
      </c>
      <c r="C78" s="256" t="str">
        <f ca="1">IF($A78="","",VLOOKUP($A78,JOURNAL!$C$5:$I$1115,2,0))</f>
        <v/>
      </c>
      <c r="D78" s="201" t="str">
        <f ca="1">IF($A78="","",VLOOKUP($A78,JOURNAL!$C$5:$I$1115,4,0))</f>
        <v/>
      </c>
      <c r="E78" s="187" t="str">
        <f ca="1">IF($A78="","",VLOOKUP($A78,JOURNAL!$C$5:$I$1115,3,0))</f>
        <v/>
      </c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4"/>
    </row>
    <row r="79" spans="1:26" ht="16.5" customHeight="1" x14ac:dyDescent="0.2">
      <c r="A79" s="200" t="str">
        <f t="shared" ca="1" si="1"/>
        <v/>
      </c>
      <c r="B79" s="201" t="str">
        <f ca="1">IF($A79="","",VLOOKUP($A79,JOURNAL!$C$5:$I$1115,5,0))</f>
        <v/>
      </c>
      <c r="C79" s="256" t="str">
        <f ca="1">IF($A79="","",VLOOKUP($A79,JOURNAL!$C$5:$I$1115,2,0))</f>
        <v/>
      </c>
      <c r="D79" s="201" t="str">
        <f ca="1">IF($A79="","",VLOOKUP($A79,JOURNAL!$C$5:$I$1115,4,0))</f>
        <v/>
      </c>
      <c r="E79" s="187" t="str">
        <f ca="1">IF($A79="","",VLOOKUP($A79,JOURNAL!$C$5:$I$1115,3,0))</f>
        <v/>
      </c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4"/>
    </row>
    <row r="80" spans="1:26" ht="16.5" customHeight="1" x14ac:dyDescent="0.2">
      <c r="A80" s="200" t="str">
        <f t="shared" ca="1" si="1"/>
        <v/>
      </c>
      <c r="B80" s="201" t="str">
        <f ca="1">IF($A80="","",VLOOKUP($A80,JOURNAL!$C$5:$I$1115,5,0))</f>
        <v/>
      </c>
      <c r="C80" s="256" t="str">
        <f ca="1">IF($A80="","",VLOOKUP($A80,JOURNAL!$C$5:$I$1115,2,0))</f>
        <v/>
      </c>
      <c r="D80" s="201" t="str">
        <f ca="1">IF($A80="","",VLOOKUP($A80,JOURNAL!$C$5:$I$1115,4,0))</f>
        <v/>
      </c>
      <c r="E80" s="187" t="str">
        <f ca="1">IF($A80="","",VLOOKUP($A80,JOURNAL!$C$5:$I$1115,3,0))</f>
        <v/>
      </c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4"/>
    </row>
    <row r="81" spans="1:26" ht="16.5" customHeight="1" x14ac:dyDescent="0.2">
      <c r="A81" s="200" t="str">
        <f t="shared" ca="1" si="1"/>
        <v/>
      </c>
      <c r="B81" s="201" t="str">
        <f ca="1">IF($A81="","",VLOOKUP($A81,JOURNAL!$C$5:$I$1115,5,0))</f>
        <v/>
      </c>
      <c r="C81" s="256" t="str">
        <f ca="1">IF($A81="","",VLOOKUP($A81,JOURNAL!$C$5:$I$1115,2,0))</f>
        <v/>
      </c>
      <c r="D81" s="201" t="str">
        <f ca="1">IF($A81="","",VLOOKUP($A81,JOURNAL!$C$5:$I$1115,4,0))</f>
        <v/>
      </c>
      <c r="E81" s="187" t="str">
        <f ca="1">IF($A81="","",VLOOKUP($A81,JOURNAL!$C$5:$I$1115,3,0))</f>
        <v/>
      </c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4"/>
    </row>
    <row r="82" spans="1:26" ht="16.5" customHeight="1" x14ac:dyDescent="0.2">
      <c r="A82" s="200" t="str">
        <f t="shared" ca="1" si="1"/>
        <v/>
      </c>
      <c r="B82" s="201" t="str">
        <f ca="1">IF($A82="","",VLOOKUP($A82,JOURNAL!$C$5:$I$1115,5,0))</f>
        <v/>
      </c>
      <c r="C82" s="256" t="str">
        <f ca="1">IF($A82="","",VLOOKUP($A82,JOURNAL!$C$5:$I$1115,2,0))</f>
        <v/>
      </c>
      <c r="D82" s="201" t="str">
        <f ca="1">IF($A82="","",VLOOKUP($A82,JOURNAL!$C$5:$I$1115,4,0))</f>
        <v/>
      </c>
      <c r="E82" s="187" t="str">
        <f ca="1">IF($A82="","",VLOOKUP($A82,JOURNAL!$C$5:$I$1115,3,0))</f>
        <v/>
      </c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4"/>
    </row>
    <row r="83" spans="1:26" ht="16.5" customHeight="1" x14ac:dyDescent="0.2">
      <c r="A83" s="200" t="str">
        <f t="shared" ca="1" si="1"/>
        <v/>
      </c>
      <c r="B83" s="201" t="str">
        <f ca="1">IF($A83="","",VLOOKUP($A83,JOURNAL!$C$5:$I$1115,5,0))</f>
        <v/>
      </c>
      <c r="C83" s="256" t="str">
        <f ca="1">IF($A83="","",VLOOKUP($A83,JOURNAL!$C$5:$I$1115,2,0))</f>
        <v/>
      </c>
      <c r="D83" s="201" t="str">
        <f ca="1">IF($A83="","",VLOOKUP($A83,JOURNAL!$C$5:$I$1115,4,0))</f>
        <v/>
      </c>
      <c r="E83" s="187" t="str">
        <f ca="1">IF($A83="","",VLOOKUP($A83,JOURNAL!$C$5:$I$1115,3,0))</f>
        <v/>
      </c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4"/>
    </row>
    <row r="84" spans="1:26" ht="16.5" customHeight="1" x14ac:dyDescent="0.2">
      <c r="A84" s="200" t="str">
        <f t="shared" ca="1" si="1"/>
        <v/>
      </c>
      <c r="B84" s="201" t="str">
        <f ca="1">IF($A84="","",VLOOKUP($A84,JOURNAL!$C$5:$I$1115,5,0))</f>
        <v/>
      </c>
      <c r="C84" s="256" t="str">
        <f ca="1">IF($A84="","",VLOOKUP($A84,JOURNAL!$C$5:$I$1115,2,0))</f>
        <v/>
      </c>
      <c r="D84" s="201" t="str">
        <f ca="1">IF($A84="","",VLOOKUP($A84,JOURNAL!$C$5:$I$1115,4,0))</f>
        <v/>
      </c>
      <c r="E84" s="187" t="str">
        <f ca="1">IF($A84="","",VLOOKUP($A84,JOURNAL!$C$5:$I$1115,3,0))</f>
        <v/>
      </c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4"/>
    </row>
    <row r="85" spans="1:26" ht="16.5" customHeight="1" x14ac:dyDescent="0.2">
      <c r="A85" s="200" t="str">
        <f t="shared" ca="1" si="1"/>
        <v/>
      </c>
      <c r="B85" s="201" t="str">
        <f ca="1">IF($A85="","",VLOOKUP($A85,JOURNAL!$C$5:$I$1115,5,0))</f>
        <v/>
      </c>
      <c r="C85" s="256" t="str">
        <f ca="1">IF($A85="","",VLOOKUP($A85,JOURNAL!$C$5:$I$1115,2,0))</f>
        <v/>
      </c>
      <c r="D85" s="201" t="str">
        <f ca="1">IF($A85="","",VLOOKUP($A85,JOURNAL!$C$5:$I$1115,4,0))</f>
        <v/>
      </c>
      <c r="E85" s="187" t="str">
        <f ca="1">IF($A85="","",VLOOKUP($A85,JOURNAL!$C$5:$I$1115,3,0))</f>
        <v/>
      </c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4"/>
    </row>
    <row r="86" spans="1:26" ht="16.5" customHeight="1" x14ac:dyDescent="0.2">
      <c r="A86" s="200" t="str">
        <f t="shared" ca="1" si="1"/>
        <v/>
      </c>
      <c r="B86" s="201" t="str">
        <f ca="1">IF($A86="","",VLOOKUP($A86,JOURNAL!$C$5:$I$1115,5,0))</f>
        <v/>
      </c>
      <c r="C86" s="256" t="str">
        <f ca="1">IF($A86="","",VLOOKUP($A86,JOURNAL!$C$5:$I$1115,2,0))</f>
        <v/>
      </c>
      <c r="D86" s="201" t="str">
        <f ca="1">IF($A86="","",VLOOKUP($A86,JOURNAL!$C$5:$I$1115,4,0))</f>
        <v/>
      </c>
      <c r="E86" s="187" t="str">
        <f ca="1">IF($A86="","",VLOOKUP($A86,JOURNAL!$C$5:$I$1115,3,0))</f>
        <v/>
      </c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4"/>
    </row>
    <row r="87" spans="1:26" ht="16.5" customHeight="1" x14ac:dyDescent="0.2">
      <c r="A87" s="200" t="str">
        <f t="shared" ca="1" si="1"/>
        <v/>
      </c>
      <c r="B87" s="201" t="str">
        <f ca="1">IF($A87="","",VLOOKUP($A87,JOURNAL!$C$5:$I$1115,5,0))</f>
        <v/>
      </c>
      <c r="C87" s="256" t="str">
        <f ca="1">IF($A87="","",VLOOKUP($A87,JOURNAL!$C$5:$I$1115,2,0))</f>
        <v/>
      </c>
      <c r="D87" s="201" t="str">
        <f ca="1">IF($A87="","",VLOOKUP($A87,JOURNAL!$C$5:$I$1115,4,0))</f>
        <v/>
      </c>
      <c r="E87" s="187" t="str">
        <f ca="1">IF($A87="","",VLOOKUP($A87,JOURNAL!$C$5:$I$1115,3,0))</f>
        <v/>
      </c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4"/>
    </row>
    <row r="88" spans="1:26" ht="16.5" customHeight="1" x14ac:dyDescent="0.2">
      <c r="A88" s="200" t="str">
        <f t="shared" ca="1" si="1"/>
        <v/>
      </c>
      <c r="B88" s="201" t="str">
        <f ca="1">IF($A88="","",VLOOKUP($A88,JOURNAL!$C$5:$I$1115,5,0))</f>
        <v/>
      </c>
      <c r="C88" s="256" t="str">
        <f ca="1">IF($A88="","",VLOOKUP($A88,JOURNAL!$C$5:$I$1115,2,0))</f>
        <v/>
      </c>
      <c r="D88" s="201" t="str">
        <f ca="1">IF($A88="","",VLOOKUP($A88,JOURNAL!$C$5:$I$1115,4,0))</f>
        <v/>
      </c>
      <c r="E88" s="187" t="str">
        <f ca="1">IF($A88="","",VLOOKUP($A88,JOURNAL!$C$5:$I$1115,3,0))</f>
        <v/>
      </c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4"/>
    </row>
    <row r="89" spans="1:26" ht="16.5" customHeight="1" x14ac:dyDescent="0.2">
      <c r="A89" s="200" t="str">
        <f t="shared" ca="1" si="1"/>
        <v/>
      </c>
      <c r="B89" s="201" t="str">
        <f ca="1">IF($A89="","",VLOOKUP($A89,JOURNAL!$C$5:$I$1115,5,0))</f>
        <v/>
      </c>
      <c r="C89" s="256" t="str">
        <f ca="1">IF($A89="","",VLOOKUP($A89,JOURNAL!$C$5:$I$1115,2,0))</f>
        <v/>
      </c>
      <c r="D89" s="201" t="str">
        <f ca="1">IF($A89="","",VLOOKUP($A89,JOURNAL!$C$5:$I$1115,4,0))</f>
        <v/>
      </c>
      <c r="E89" s="187" t="str">
        <f ca="1">IF($A89="","",VLOOKUP($A89,JOURNAL!$C$5:$I$1115,3,0))</f>
        <v/>
      </c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4"/>
    </row>
    <row r="90" spans="1:26" ht="16.5" customHeight="1" x14ac:dyDescent="0.2">
      <c r="A90" s="200" t="str">
        <f t="shared" ca="1" si="1"/>
        <v/>
      </c>
      <c r="B90" s="201" t="str">
        <f ca="1">IF($A90="","",VLOOKUP($A90,JOURNAL!$C$5:$I$1115,5,0))</f>
        <v/>
      </c>
      <c r="C90" s="256" t="str">
        <f ca="1">IF($A90="","",VLOOKUP($A90,JOURNAL!$C$5:$I$1115,2,0))</f>
        <v/>
      </c>
      <c r="D90" s="201" t="str">
        <f ca="1">IF($A90="","",VLOOKUP($A90,JOURNAL!$C$5:$I$1115,4,0))</f>
        <v/>
      </c>
      <c r="E90" s="187" t="str">
        <f ca="1">IF($A90="","",VLOOKUP($A90,JOURNAL!$C$5:$I$1115,3,0))</f>
        <v/>
      </c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4"/>
    </row>
    <row r="91" spans="1:26" ht="16.5" customHeight="1" x14ac:dyDescent="0.2">
      <c r="A91" s="200" t="str">
        <f t="shared" ca="1" si="1"/>
        <v/>
      </c>
      <c r="B91" s="201" t="str">
        <f ca="1">IF($A91="","",VLOOKUP($A91,JOURNAL!$C$5:$I$1115,5,0))</f>
        <v/>
      </c>
      <c r="C91" s="256" t="str">
        <f ca="1">IF($A91="","",VLOOKUP($A91,JOURNAL!$C$5:$I$1115,2,0))</f>
        <v/>
      </c>
      <c r="D91" s="201" t="str">
        <f ca="1">IF($A91="","",VLOOKUP($A91,JOURNAL!$C$5:$I$1115,4,0))</f>
        <v/>
      </c>
      <c r="E91" s="187" t="str">
        <f ca="1">IF($A91="","",VLOOKUP($A91,JOURNAL!$C$5:$I$1115,3,0))</f>
        <v/>
      </c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4"/>
    </row>
    <row r="92" spans="1:26" ht="16.5" customHeight="1" x14ac:dyDescent="0.2">
      <c r="A92" s="200" t="str">
        <f t="shared" ca="1" si="1"/>
        <v/>
      </c>
      <c r="B92" s="201" t="str">
        <f ca="1">IF($A92="","",VLOOKUP($A92,JOURNAL!$C$5:$I$1115,5,0))</f>
        <v/>
      </c>
      <c r="C92" s="256" t="str">
        <f ca="1">IF($A92="","",VLOOKUP($A92,JOURNAL!$C$5:$I$1115,2,0))</f>
        <v/>
      </c>
      <c r="D92" s="201" t="str">
        <f ca="1">IF($A92="","",VLOOKUP($A92,JOURNAL!$C$5:$I$1115,4,0))</f>
        <v/>
      </c>
      <c r="E92" s="187" t="str">
        <f ca="1">IF($A92="","",VLOOKUP($A92,JOURNAL!$C$5:$I$1115,3,0))</f>
        <v/>
      </c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4"/>
    </row>
    <row r="93" spans="1:26" ht="16.5" customHeight="1" x14ac:dyDescent="0.2">
      <c r="A93" s="200" t="str">
        <f t="shared" ca="1" si="1"/>
        <v/>
      </c>
      <c r="B93" s="201" t="str">
        <f ca="1">IF($A93="","",VLOOKUP($A93,JOURNAL!$C$5:$I$1115,5,0))</f>
        <v/>
      </c>
      <c r="C93" s="256" t="str">
        <f ca="1">IF($A93="","",VLOOKUP($A93,JOURNAL!$C$5:$I$1115,2,0))</f>
        <v/>
      </c>
      <c r="D93" s="201" t="str">
        <f ca="1">IF($A93="","",VLOOKUP($A93,JOURNAL!$C$5:$I$1115,4,0))</f>
        <v/>
      </c>
      <c r="E93" s="187" t="str">
        <f ca="1">IF($A93="","",VLOOKUP($A93,JOURNAL!$C$5:$I$1115,3,0))</f>
        <v/>
      </c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4"/>
    </row>
    <row r="94" spans="1:26" ht="16.5" customHeight="1" x14ac:dyDescent="0.2">
      <c r="A94" s="200" t="str">
        <f t="shared" ca="1" si="1"/>
        <v/>
      </c>
      <c r="B94" s="201" t="str">
        <f ca="1">IF($A94="","",VLOOKUP($A94,JOURNAL!$C$5:$I$1115,5,0))</f>
        <v/>
      </c>
      <c r="C94" s="256" t="str">
        <f ca="1">IF($A94="","",VLOOKUP($A94,JOURNAL!$C$5:$I$1115,2,0))</f>
        <v/>
      </c>
      <c r="D94" s="201" t="str">
        <f ca="1">IF($A94="","",VLOOKUP($A94,JOURNAL!$C$5:$I$1115,4,0))</f>
        <v/>
      </c>
      <c r="E94" s="187" t="str">
        <f ca="1">IF($A94="","",VLOOKUP($A94,JOURNAL!$C$5:$I$1115,3,0))</f>
        <v/>
      </c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4"/>
    </row>
    <row r="95" spans="1:26" ht="16.5" customHeight="1" x14ac:dyDescent="0.2">
      <c r="A95" s="200" t="str">
        <f t="shared" ca="1" si="1"/>
        <v/>
      </c>
      <c r="B95" s="201" t="str">
        <f ca="1">IF($A95="","",VLOOKUP($A95,JOURNAL!$C$5:$I$1115,5,0))</f>
        <v/>
      </c>
      <c r="C95" s="256" t="str">
        <f ca="1">IF($A95="","",VLOOKUP($A95,JOURNAL!$C$5:$I$1115,2,0))</f>
        <v/>
      </c>
      <c r="D95" s="201" t="str">
        <f ca="1">IF($A95="","",VLOOKUP($A95,JOURNAL!$C$5:$I$1115,4,0))</f>
        <v/>
      </c>
      <c r="E95" s="187" t="str">
        <f ca="1">IF($A95="","",VLOOKUP($A95,JOURNAL!$C$5:$I$1115,3,0))</f>
        <v/>
      </c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4"/>
    </row>
    <row r="96" spans="1:26" ht="16.5" customHeight="1" x14ac:dyDescent="0.2">
      <c r="A96" s="200" t="str">
        <f t="shared" ca="1" si="1"/>
        <v/>
      </c>
      <c r="B96" s="201" t="str">
        <f ca="1">IF($A96="","",VLOOKUP($A96,JOURNAL!$C$5:$I$1115,5,0))</f>
        <v/>
      </c>
      <c r="C96" s="256" t="str">
        <f ca="1">IF($A96="","",VLOOKUP($A96,JOURNAL!$C$5:$I$1115,2,0))</f>
        <v/>
      </c>
      <c r="D96" s="201" t="str">
        <f ca="1">IF($A96="","",VLOOKUP($A96,JOURNAL!$C$5:$I$1115,4,0))</f>
        <v/>
      </c>
      <c r="E96" s="187" t="str">
        <f ca="1">IF($A96="","",VLOOKUP($A96,JOURNAL!$C$5:$I$1115,3,0))</f>
        <v/>
      </c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4"/>
    </row>
    <row r="97" spans="1:26" ht="16.5" customHeight="1" x14ac:dyDescent="0.2">
      <c r="A97" s="200" t="str">
        <f t="shared" ca="1" si="1"/>
        <v/>
      </c>
      <c r="B97" s="201" t="str">
        <f ca="1">IF($A97="","",VLOOKUP($A97,JOURNAL!$C$5:$I$1115,5,0))</f>
        <v/>
      </c>
      <c r="C97" s="256" t="str">
        <f ca="1">IF($A97="","",VLOOKUP($A97,JOURNAL!$C$5:$I$1115,2,0))</f>
        <v/>
      </c>
      <c r="D97" s="201" t="str">
        <f ca="1">IF($A97="","",VLOOKUP($A97,JOURNAL!$C$5:$I$1115,4,0))</f>
        <v/>
      </c>
      <c r="E97" s="187" t="str">
        <f ca="1">IF($A97="","",VLOOKUP($A97,JOURNAL!$C$5:$I$1115,3,0))</f>
        <v/>
      </c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4"/>
    </row>
    <row r="98" spans="1:26" ht="16.5" customHeight="1" x14ac:dyDescent="0.2">
      <c r="A98" s="200" t="str">
        <f t="shared" ca="1" si="1"/>
        <v/>
      </c>
      <c r="B98" s="201" t="str">
        <f ca="1">IF($A98="","",VLOOKUP($A98,JOURNAL!$C$5:$I$1115,5,0))</f>
        <v/>
      </c>
      <c r="C98" s="256" t="str">
        <f ca="1">IF($A98="","",VLOOKUP($A98,JOURNAL!$C$5:$I$1115,2,0))</f>
        <v/>
      </c>
      <c r="D98" s="201" t="str">
        <f ca="1">IF($A98="","",VLOOKUP($A98,JOURNAL!$C$5:$I$1115,4,0))</f>
        <v/>
      </c>
      <c r="E98" s="187" t="str">
        <f ca="1">IF($A98="","",VLOOKUP($A98,JOURNAL!$C$5:$I$1115,3,0))</f>
        <v/>
      </c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4"/>
    </row>
    <row r="99" spans="1:26" ht="16.5" customHeight="1" x14ac:dyDescent="0.2">
      <c r="A99" s="178" t="s">
        <v>16</v>
      </c>
      <c r="B99" s="179"/>
      <c r="C99" s="179"/>
      <c r="D99" s="181"/>
      <c r="E99" s="182">
        <f ca="1">SUM(E38:E98)</f>
        <v>702.75</v>
      </c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4"/>
    </row>
    <row r="100" spans="1:26" ht="16.5" customHeight="1" x14ac:dyDescent="0.2">
      <c r="A100" s="51"/>
      <c r="B100" s="4"/>
      <c r="C100" s="4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4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4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4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4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4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4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4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4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4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4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4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4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4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4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4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4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4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4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4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4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4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4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4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4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4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4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4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4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4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4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4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4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4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4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4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4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4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4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4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4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4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4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4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4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4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4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4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4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4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4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4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4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4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4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4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4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4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4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4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4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4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4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4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4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4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4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4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4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4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4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4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4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4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4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4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4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4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4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4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4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4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4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4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4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4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4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4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4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4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4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4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4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4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4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4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4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4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4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4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4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4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4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4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4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4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4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4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4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4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4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4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4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4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4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4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4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4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4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4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4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4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4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4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4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4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4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4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4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4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4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4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4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4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4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4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4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4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4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4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4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4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4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4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4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4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4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4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4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4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4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4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4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4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4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4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4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">
      <c r="A257" s="51"/>
      <c r="B257" s="4"/>
      <c r="C257" s="4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">
      <c r="A258" s="51"/>
      <c r="B258" s="4"/>
      <c r="C258" s="4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2">
      <c r="A259" s="51"/>
      <c r="B259" s="4"/>
      <c r="C259" s="4"/>
      <c r="D259" s="4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2">
      <c r="A260" s="51"/>
      <c r="B260" s="4"/>
      <c r="C260" s="4"/>
      <c r="D260" s="4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2">
      <c r="A261" s="51"/>
      <c r="B261" s="4"/>
      <c r="C261" s="4"/>
      <c r="D261" s="4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2">
      <c r="A262" s="51"/>
      <c r="B262" s="4"/>
      <c r="C262" s="4"/>
      <c r="D262" s="4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2">
      <c r="A263" s="51"/>
      <c r="B263" s="4"/>
      <c r="C263" s="4"/>
      <c r="D263" s="4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2">
      <c r="A264" s="51"/>
      <c r="B264" s="4"/>
      <c r="C264" s="4"/>
      <c r="D264" s="4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2">
      <c r="A265" s="51"/>
      <c r="B265" s="4"/>
      <c r="C265" s="4"/>
      <c r="D265" s="4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2">
      <c r="A266" s="51"/>
      <c r="B266" s="4"/>
      <c r="C266" s="4"/>
      <c r="D266" s="4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2">
      <c r="A267" s="51"/>
      <c r="B267" s="4"/>
      <c r="C267" s="4"/>
      <c r="D267" s="4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2">
      <c r="A268" s="51"/>
      <c r="B268" s="4"/>
      <c r="C268" s="4"/>
      <c r="D268" s="4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2">
      <c r="A269" s="51"/>
      <c r="B269" s="4"/>
      <c r="C269" s="4"/>
      <c r="D269" s="4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2">
      <c r="A270" s="51"/>
      <c r="B270" s="4"/>
      <c r="C270" s="4"/>
      <c r="D270" s="4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2">
      <c r="A271" s="51"/>
      <c r="B271" s="4"/>
      <c r="C271" s="4"/>
      <c r="D271" s="4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2">
      <c r="A272" s="51"/>
      <c r="B272" s="4"/>
      <c r="C272" s="4"/>
      <c r="D272" s="4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2">
      <c r="A273" s="51"/>
      <c r="B273" s="4"/>
      <c r="C273" s="4"/>
      <c r="D273" s="4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 x14ac:dyDescent="0.2">
      <c r="A274" s="51"/>
      <c r="B274" s="4"/>
      <c r="C274" s="4"/>
      <c r="D274" s="4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2">
      <c r="A275" s="51"/>
      <c r="B275" s="4"/>
      <c r="C275" s="4"/>
      <c r="D275" s="4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2">
      <c r="A276" s="51"/>
      <c r="B276" s="4"/>
      <c r="C276" s="4"/>
      <c r="D276" s="4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2">
      <c r="A277" s="51"/>
      <c r="B277" s="4"/>
      <c r="C277" s="4"/>
      <c r="D277" s="4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2">
      <c r="A278" s="51"/>
      <c r="B278" s="4"/>
      <c r="C278" s="4"/>
      <c r="D278" s="4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2">
      <c r="A279" s="51"/>
      <c r="B279" s="4"/>
      <c r="C279" s="4"/>
      <c r="D279" s="4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 x14ac:dyDescent="0.2">
      <c r="A280" s="51"/>
      <c r="B280" s="4"/>
      <c r="C280" s="4"/>
      <c r="D280" s="4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 x14ac:dyDescent="0.2">
      <c r="A281" s="51"/>
      <c r="B281" s="4"/>
      <c r="C281" s="4"/>
      <c r="D281" s="4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 x14ac:dyDescent="0.2">
      <c r="A282" s="51"/>
      <c r="B282" s="4"/>
      <c r="C282" s="4"/>
      <c r="D282" s="4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 x14ac:dyDescent="0.2">
      <c r="A283" s="51"/>
      <c r="B283" s="4"/>
      <c r="C283" s="4"/>
      <c r="D283" s="4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 x14ac:dyDescent="0.2">
      <c r="A284" s="51"/>
      <c r="B284" s="4"/>
      <c r="C284" s="4"/>
      <c r="D284" s="4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 x14ac:dyDescent="0.2">
      <c r="A285" s="51"/>
      <c r="B285" s="4"/>
      <c r="C285" s="4"/>
      <c r="D285" s="4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 x14ac:dyDescent="0.2">
      <c r="A286" s="51"/>
      <c r="B286" s="4"/>
      <c r="C286" s="4"/>
      <c r="D286" s="4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 x14ac:dyDescent="0.2">
      <c r="A287" s="51"/>
      <c r="B287" s="4"/>
      <c r="C287" s="4"/>
      <c r="D287" s="4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 x14ac:dyDescent="0.2">
      <c r="A288" s="51"/>
      <c r="B288" s="4"/>
      <c r="C288" s="4"/>
      <c r="D288" s="4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 x14ac:dyDescent="0.2">
      <c r="A289" s="51"/>
      <c r="B289" s="4"/>
      <c r="C289" s="4"/>
      <c r="D289" s="4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 x14ac:dyDescent="0.2">
      <c r="A290" s="51"/>
      <c r="B290" s="4"/>
      <c r="C290" s="4"/>
      <c r="D290" s="4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 x14ac:dyDescent="0.2">
      <c r="A291" s="51"/>
      <c r="B291" s="4"/>
      <c r="C291" s="4"/>
      <c r="D291" s="4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 x14ac:dyDescent="0.2">
      <c r="A292" s="51"/>
      <c r="B292" s="4"/>
      <c r="C292" s="4"/>
      <c r="D292" s="4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 x14ac:dyDescent="0.2">
      <c r="A293" s="51"/>
      <c r="B293" s="4"/>
      <c r="C293" s="4"/>
      <c r="D293" s="4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 x14ac:dyDescent="0.2">
      <c r="A294" s="51"/>
      <c r="B294" s="4"/>
      <c r="C294" s="4"/>
      <c r="D294" s="4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 x14ac:dyDescent="0.2">
      <c r="A295" s="51"/>
      <c r="B295" s="4"/>
      <c r="C295" s="4"/>
      <c r="D295" s="4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 x14ac:dyDescent="0.2">
      <c r="A296" s="51"/>
      <c r="B296" s="4"/>
      <c r="C296" s="4"/>
      <c r="D296" s="4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 x14ac:dyDescent="0.2">
      <c r="A297" s="51"/>
      <c r="B297" s="4"/>
      <c r="C297" s="4"/>
      <c r="D297" s="4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 x14ac:dyDescent="0.2">
      <c r="A298" s="51"/>
      <c r="B298" s="4"/>
      <c r="C298" s="4"/>
      <c r="D298" s="4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 x14ac:dyDescent="0.2">
      <c r="A299" s="51"/>
      <c r="B299" s="4"/>
      <c r="C299" s="4"/>
      <c r="D299" s="4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/>
    <row r="301" spans="1:26" ht="15.75" customHeight="1" x14ac:dyDescent="0.2"/>
    <row r="302" spans="1:26" ht="15.75" customHeight="1" x14ac:dyDescent="0.2"/>
    <row r="303" spans="1:26" ht="15.75" customHeight="1" x14ac:dyDescent="0.2"/>
    <row r="304" spans="1:26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E1"/>
    <mergeCell ref="A3:E3"/>
    <mergeCell ref="G13:H13"/>
    <mergeCell ref="A25:E25"/>
  </mergeCells>
  <dataValidations count="1">
    <dataValidation type="list" allowBlank="1" showErrorMessage="1" sqref="A6:A11 A15:A22" xr:uid="{00000000-0002-0000-07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83203125" customWidth="1"/>
    <col min="2" max="2" width="45" customWidth="1"/>
    <col min="3" max="3" width="11.6640625" customWidth="1"/>
    <col min="4" max="4" width="37.1640625" customWidth="1"/>
    <col min="5" max="5" width="18.6640625" customWidth="1"/>
    <col min="6" max="6" width="19" customWidth="1"/>
    <col min="7" max="7" width="15.5" customWidth="1"/>
    <col min="8" max="8" width="9" customWidth="1"/>
    <col min="9" max="9" width="27.5" customWidth="1"/>
    <col min="10" max="10" width="9" customWidth="1"/>
    <col min="11" max="11" width="12.6640625" customWidth="1"/>
    <col min="12" max="12" width="9.33203125" customWidth="1"/>
    <col min="13" max="13" width="11.5" customWidth="1"/>
    <col min="14" max="14" width="9" customWidth="1"/>
    <col min="15" max="15" width="10.83203125" customWidth="1"/>
    <col min="16" max="16" width="9" customWidth="1"/>
    <col min="17" max="17" width="11.5" customWidth="1"/>
    <col min="18" max="25" width="9" customWidth="1"/>
  </cols>
  <sheetData>
    <row r="1" spans="1:26" ht="22" x14ac:dyDescent="0.25">
      <c r="A1" s="360" t="s">
        <v>282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149"/>
      <c r="K3" s="4"/>
      <c r="L3" s="257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08" t="s">
        <v>7</v>
      </c>
      <c r="C5" s="198" t="s">
        <v>4</v>
      </c>
      <c r="D5" s="199" t="s">
        <v>6</v>
      </c>
      <c r="E5" s="160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74" t="s">
        <v>251</v>
      </c>
      <c r="B6" s="220" t="s">
        <v>119</v>
      </c>
      <c r="C6" s="202"/>
      <c r="D6" s="201"/>
      <c r="E6" s="246">
        <v>54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74" t="s">
        <v>251</v>
      </c>
      <c r="B7" s="220" t="s">
        <v>283</v>
      </c>
      <c r="C7" s="202"/>
      <c r="D7" s="201"/>
      <c r="E7" s="246">
        <v>1075</v>
      </c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74"/>
      <c r="B8" s="220" t="s">
        <v>284</v>
      </c>
      <c r="C8" s="202"/>
      <c r="D8" s="201"/>
      <c r="E8" s="246">
        <v>1700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74"/>
      <c r="B9" s="220" t="s">
        <v>285</v>
      </c>
      <c r="C9" s="202"/>
      <c r="D9" s="201"/>
      <c r="E9" s="246">
        <v>1000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74"/>
      <c r="B10" s="220" t="s">
        <v>286</v>
      </c>
      <c r="C10" s="202"/>
      <c r="D10" s="201"/>
      <c r="E10" s="246">
        <v>600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74"/>
      <c r="B11" s="220" t="s">
        <v>287</v>
      </c>
      <c r="C11" s="202"/>
      <c r="D11" s="201"/>
      <c r="E11" s="246">
        <v>500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74"/>
      <c r="B12" s="220" t="s">
        <v>288</v>
      </c>
      <c r="C12" s="202"/>
      <c r="D12" s="201"/>
      <c r="E12" s="246">
        <v>100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74"/>
      <c r="B13" s="220" t="s">
        <v>289</v>
      </c>
      <c r="C13" s="202"/>
      <c r="D13" s="201"/>
      <c r="E13" s="246">
        <v>800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74"/>
      <c r="B14" s="201" t="s">
        <v>290</v>
      </c>
      <c r="C14" s="202"/>
      <c r="D14" s="201"/>
      <c r="E14" s="255">
        <v>800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74"/>
      <c r="B15" s="201" t="s">
        <v>291</v>
      </c>
      <c r="C15" s="202"/>
      <c r="D15" s="201"/>
      <c r="E15" s="246">
        <v>300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74"/>
      <c r="B16" s="201" t="s">
        <v>292</v>
      </c>
      <c r="C16" s="202"/>
      <c r="D16" s="201"/>
      <c r="E16" s="246">
        <v>750</v>
      </c>
      <c r="F16" s="4"/>
      <c r="G16" s="4"/>
      <c r="H16" s="4"/>
      <c r="I16" s="4"/>
      <c r="J16" s="4"/>
      <c r="K16" s="382"/>
      <c r="L16" s="361"/>
      <c r="M16" s="361"/>
      <c r="N16" s="361"/>
      <c r="O16" s="361"/>
      <c r="P16" s="361"/>
      <c r="Q16" s="362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74"/>
      <c r="B17" s="258" t="s">
        <v>55</v>
      </c>
      <c r="C17" s="223"/>
      <c r="D17" s="225" t="s">
        <v>293</v>
      </c>
      <c r="E17" s="246">
        <v>1800</v>
      </c>
      <c r="F17" s="4"/>
      <c r="G17" s="4"/>
      <c r="H17" s="4"/>
      <c r="I17" s="4"/>
      <c r="J17" s="4"/>
      <c r="K17" s="259"/>
      <c r="L17" s="259"/>
      <c r="M17" s="259"/>
      <c r="N17" s="259"/>
      <c r="O17" s="259"/>
      <c r="P17" s="259"/>
      <c r="Q17" s="259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74"/>
      <c r="B18" s="258" t="s">
        <v>294</v>
      </c>
      <c r="C18" s="223"/>
      <c r="D18" s="225"/>
      <c r="E18" s="246">
        <v>1000</v>
      </c>
      <c r="F18" s="2"/>
      <c r="G18" s="4"/>
      <c r="H18" s="4"/>
      <c r="I18" s="4"/>
      <c r="J18" s="4"/>
      <c r="K18" s="260"/>
      <c r="L18" s="260"/>
      <c r="M18" s="260"/>
      <c r="N18" s="260"/>
      <c r="O18" s="260"/>
      <c r="P18" s="260"/>
      <c r="Q18" s="260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74"/>
      <c r="B19" s="220" t="s">
        <v>295</v>
      </c>
      <c r="C19" s="202"/>
      <c r="D19" s="201"/>
      <c r="E19" s="246">
        <v>400</v>
      </c>
      <c r="F19" s="4"/>
      <c r="G19" s="4"/>
      <c r="H19" s="4"/>
      <c r="I19" s="4"/>
      <c r="J19" s="4"/>
      <c r="K19" s="260"/>
      <c r="L19" s="260"/>
      <c r="M19" s="260"/>
      <c r="N19" s="260"/>
      <c r="O19" s="260"/>
      <c r="P19" s="260"/>
      <c r="Q19" s="260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74"/>
      <c r="B20" s="220" t="s">
        <v>296</v>
      </c>
      <c r="C20" s="202"/>
      <c r="D20" s="201"/>
      <c r="E20" s="246">
        <v>5300</v>
      </c>
      <c r="F20" s="4" t="s">
        <v>297</v>
      </c>
      <c r="G20" s="4"/>
      <c r="H20" s="4"/>
      <c r="I20" s="4"/>
      <c r="J20" s="4"/>
      <c r="K20" s="260"/>
      <c r="L20" s="260"/>
      <c r="M20" s="260"/>
      <c r="N20" s="260"/>
      <c r="O20" s="260"/>
      <c r="P20" s="260"/>
      <c r="Q20" s="260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78" t="s">
        <v>16</v>
      </c>
      <c r="B21" s="261"/>
      <c r="C21" s="262"/>
      <c r="D21" s="181"/>
      <c r="E21" s="226">
        <f>SUM(E6:E20)</f>
        <v>16179</v>
      </c>
      <c r="F21" s="4"/>
      <c r="G21" s="4"/>
      <c r="H21" s="4"/>
      <c r="I21" s="4"/>
      <c r="J21" s="4"/>
      <c r="K21" s="260"/>
      <c r="L21" s="260"/>
      <c r="M21" s="260"/>
      <c r="N21" s="260"/>
      <c r="O21" s="260"/>
      <c r="P21" s="260"/>
      <c r="Q21" s="260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83" t="s">
        <v>206</v>
      </c>
      <c r="B22" s="184"/>
      <c r="C22" s="185"/>
      <c r="D22" s="184"/>
      <c r="E22" s="186"/>
      <c r="F22" s="4"/>
      <c r="G22" s="4"/>
      <c r="H22" s="4"/>
      <c r="I22" s="4"/>
      <c r="J22" s="4"/>
      <c r="K22" s="260"/>
      <c r="L22" s="260"/>
      <c r="M22" s="260"/>
      <c r="N22" s="260"/>
      <c r="O22" s="260"/>
      <c r="P22" s="260"/>
      <c r="Q22" s="260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56" t="s">
        <v>218</v>
      </c>
      <c r="B23" s="157" t="s">
        <v>7</v>
      </c>
      <c r="C23" s="198" t="s">
        <v>4</v>
      </c>
      <c r="D23" s="263" t="s">
        <v>6</v>
      </c>
      <c r="E23" s="160" t="s">
        <v>5</v>
      </c>
      <c r="F23" s="4"/>
      <c r="G23" s="4"/>
      <c r="H23" s="4"/>
      <c r="I23" s="4"/>
      <c r="J23" s="4"/>
      <c r="K23" s="260"/>
      <c r="L23" s="260"/>
      <c r="M23" s="260"/>
      <c r="N23" s="260"/>
      <c r="O23" s="260"/>
      <c r="P23" s="260"/>
      <c r="Q23" s="260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61"/>
      <c r="B24" s="188" t="s">
        <v>119</v>
      </c>
      <c r="C24" s="202"/>
      <c r="D24" s="264"/>
      <c r="E24" s="187">
        <v>155</v>
      </c>
      <c r="F24" s="4"/>
      <c r="G24" s="55"/>
      <c r="H24" s="4"/>
      <c r="I24" s="4"/>
      <c r="J24" s="4"/>
      <c r="K24" s="260"/>
      <c r="L24" s="260"/>
      <c r="M24" s="260"/>
      <c r="N24" s="260"/>
      <c r="O24" s="260"/>
      <c r="P24" s="260"/>
      <c r="Q24" s="260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61"/>
      <c r="B25" s="188" t="s">
        <v>298</v>
      </c>
      <c r="C25" s="202"/>
      <c r="D25" s="4"/>
      <c r="E25" s="187">
        <v>500</v>
      </c>
      <c r="F25" s="4"/>
      <c r="G25" s="55"/>
      <c r="H25" s="4"/>
      <c r="I25" s="4"/>
      <c r="J25" s="4"/>
      <c r="K25" s="260"/>
      <c r="L25" s="260"/>
      <c r="M25" s="260"/>
      <c r="N25" s="260"/>
      <c r="O25" s="260"/>
      <c r="P25" s="260"/>
      <c r="Q25" s="260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161"/>
      <c r="B26" s="188" t="s">
        <v>299</v>
      </c>
      <c r="C26" s="202"/>
      <c r="D26" s="174"/>
      <c r="E26" s="187">
        <v>200</v>
      </c>
      <c r="F26" s="4"/>
      <c r="G26" s="4"/>
      <c r="H26" s="4"/>
      <c r="I26" s="4"/>
      <c r="J26" s="4"/>
      <c r="K26" s="260"/>
      <c r="L26" s="260"/>
      <c r="M26" s="260"/>
      <c r="N26" s="260"/>
      <c r="O26" s="260"/>
      <c r="P26" s="260"/>
      <c r="Q26" s="260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161"/>
      <c r="B27" s="220" t="s">
        <v>283</v>
      </c>
      <c r="C27" s="202"/>
      <c r="D27" s="188"/>
      <c r="E27" s="187">
        <v>1902</v>
      </c>
      <c r="F27" s="4"/>
      <c r="G27" s="4"/>
      <c r="H27" s="4"/>
      <c r="I27" s="4"/>
      <c r="J27" s="4"/>
      <c r="K27" s="260"/>
      <c r="L27" s="260"/>
      <c r="M27" s="260"/>
      <c r="N27" s="260"/>
      <c r="O27" s="260"/>
      <c r="P27" s="260"/>
      <c r="Q27" s="260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61"/>
      <c r="B28" s="201" t="s">
        <v>300</v>
      </c>
      <c r="C28" s="202"/>
      <c r="D28" s="188"/>
      <c r="E28" s="265">
        <v>7000</v>
      </c>
      <c r="F28" s="4"/>
      <c r="G28" s="4"/>
      <c r="H28" s="4"/>
      <c r="I28" s="4"/>
      <c r="J28" s="4"/>
      <c r="K28" s="260"/>
      <c r="L28" s="260"/>
      <c r="M28" s="260"/>
      <c r="N28" s="260"/>
      <c r="O28" s="260"/>
      <c r="P28" s="260"/>
      <c r="Q28" s="260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161"/>
      <c r="B29" s="220" t="s">
        <v>285</v>
      </c>
      <c r="C29" s="202"/>
      <c r="D29" s="188"/>
      <c r="E29" s="187">
        <v>1800</v>
      </c>
      <c r="F29" s="4" t="s">
        <v>301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4"/>
    </row>
    <row r="30" spans="1:26" ht="16.5" customHeight="1" x14ac:dyDescent="0.2">
      <c r="A30" s="161"/>
      <c r="B30" s="201" t="s">
        <v>288</v>
      </c>
      <c r="C30" s="202"/>
      <c r="D30" s="188"/>
      <c r="E30" s="266">
        <v>800</v>
      </c>
      <c r="F30" s="4"/>
      <c r="G30" s="4"/>
      <c r="H30" s="4"/>
      <c r="I30" s="4"/>
      <c r="J30" s="4"/>
      <c r="K30" s="383"/>
      <c r="L30" s="361"/>
      <c r="M30" s="361"/>
      <c r="N30" s="361"/>
      <c r="O30" s="361"/>
      <c r="P30" s="362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161"/>
      <c r="B31" s="258" t="s">
        <v>294</v>
      </c>
      <c r="C31" s="232"/>
      <c r="D31" s="243"/>
      <c r="E31" s="246">
        <v>1000</v>
      </c>
      <c r="F31" s="4"/>
      <c r="G31" s="4"/>
      <c r="H31" s="4"/>
      <c r="I31" s="4"/>
      <c r="J31" s="4"/>
      <c r="K31" s="267"/>
      <c r="L31" s="267"/>
      <c r="M31" s="268"/>
      <c r="N31" s="268"/>
      <c r="O31" s="268"/>
      <c r="P31" s="268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173"/>
      <c r="B32" s="258" t="s">
        <v>302</v>
      </c>
      <c r="C32" s="232"/>
      <c r="D32" s="251"/>
      <c r="E32" s="246">
        <v>5000</v>
      </c>
      <c r="F32" s="4" t="s">
        <v>301</v>
      </c>
      <c r="G32" s="4"/>
      <c r="H32" s="4"/>
      <c r="I32" s="4"/>
      <c r="J32" s="4"/>
      <c r="K32" s="267"/>
      <c r="L32" s="267"/>
      <c r="M32" s="268"/>
      <c r="N32" s="268"/>
      <c r="O32" s="268"/>
      <c r="P32" s="268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173"/>
      <c r="B33" s="201" t="s">
        <v>290</v>
      </c>
      <c r="C33" s="202"/>
      <c r="D33" s="188"/>
      <c r="E33" s="246">
        <v>2500</v>
      </c>
      <c r="F33" s="4"/>
      <c r="G33" s="4"/>
      <c r="H33" s="4"/>
      <c r="I33" s="4"/>
      <c r="J33" s="4"/>
      <c r="K33" s="267"/>
      <c r="L33" s="267"/>
      <c r="M33" s="268"/>
      <c r="N33" s="268"/>
      <c r="O33" s="268"/>
      <c r="P33" s="268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173"/>
      <c r="B34" s="201" t="s">
        <v>291</v>
      </c>
      <c r="C34" s="202"/>
      <c r="D34" s="174"/>
      <c r="E34" s="246">
        <v>1600</v>
      </c>
      <c r="F34" s="4"/>
      <c r="G34" s="4"/>
      <c r="H34" s="4"/>
      <c r="I34" s="4"/>
      <c r="J34" s="4"/>
      <c r="K34" s="267"/>
      <c r="L34" s="267"/>
      <c r="M34" s="268"/>
      <c r="N34" s="268"/>
      <c r="O34" s="268"/>
      <c r="P34" s="268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173"/>
      <c r="B35" s="201" t="s">
        <v>292</v>
      </c>
      <c r="C35" s="202"/>
      <c r="D35" s="174"/>
      <c r="E35" s="246">
        <v>2000</v>
      </c>
      <c r="F35" s="4"/>
      <c r="G35" s="4"/>
      <c r="H35" s="4"/>
      <c r="I35" s="4"/>
      <c r="J35" s="4"/>
      <c r="K35" s="267"/>
      <c r="L35" s="267"/>
      <c r="M35" s="268"/>
      <c r="N35" s="268"/>
      <c r="O35" s="268"/>
      <c r="P35" s="268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173"/>
      <c r="B36" s="201" t="s">
        <v>289</v>
      </c>
      <c r="C36" s="202"/>
      <c r="D36" s="174"/>
      <c r="E36" s="246">
        <v>3000</v>
      </c>
      <c r="F36" s="4"/>
      <c r="G36" s="4"/>
      <c r="H36" s="4"/>
      <c r="I36" s="4"/>
      <c r="J36" s="4"/>
      <c r="K36" s="267"/>
      <c r="L36" s="267"/>
      <c r="M36" s="268"/>
      <c r="N36" s="268"/>
      <c r="O36" s="268"/>
      <c r="P36" s="268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69"/>
      <c r="B37" s="174" t="s">
        <v>303</v>
      </c>
      <c r="C37" s="202"/>
      <c r="D37" s="174"/>
      <c r="E37" s="255">
        <v>1250</v>
      </c>
      <c r="F37" s="4"/>
      <c r="G37" s="4"/>
      <c r="H37" s="4"/>
      <c r="I37" s="4"/>
      <c r="J37" s="4"/>
      <c r="K37" s="267"/>
      <c r="L37" s="267"/>
      <c r="M37" s="268"/>
      <c r="N37" s="268"/>
      <c r="O37" s="268"/>
      <c r="P37" s="268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161"/>
      <c r="B38" s="231" t="s">
        <v>296</v>
      </c>
      <c r="C38" s="232"/>
      <c r="D38" s="251"/>
      <c r="E38" s="266">
        <v>10000</v>
      </c>
      <c r="F38" s="4"/>
      <c r="G38" s="4"/>
      <c r="H38" s="4"/>
      <c r="I38" s="4"/>
      <c r="J38" s="4"/>
      <c r="K38" s="268"/>
      <c r="L38" s="268"/>
      <c r="M38" s="268"/>
      <c r="N38" s="268"/>
      <c r="O38" s="268"/>
      <c r="P38" s="268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70" t="s">
        <v>16</v>
      </c>
      <c r="B39" s="179"/>
      <c r="C39" s="262"/>
      <c r="D39" s="181"/>
      <c r="E39" s="182">
        <f>SUM(E25:E38)</f>
        <v>38552</v>
      </c>
      <c r="F39" s="4"/>
      <c r="G39" s="4"/>
      <c r="H39" s="4"/>
      <c r="I39" s="4"/>
      <c r="J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51"/>
      <c r="B40" s="4"/>
      <c r="C40" s="149"/>
      <c r="D40" s="4"/>
      <c r="E40" s="7"/>
      <c r="F40" s="4"/>
      <c r="G40" s="4"/>
      <c r="H40" s="4"/>
      <c r="I40" s="4"/>
      <c r="J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71" t="s">
        <v>204</v>
      </c>
      <c r="B41" s="272"/>
      <c r="C41" s="273"/>
      <c r="D41" s="272"/>
      <c r="E41" s="274"/>
      <c r="F41" s="4"/>
      <c r="G41" s="4"/>
      <c r="H41" s="4"/>
      <c r="I41" s="4"/>
      <c r="J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193" t="s">
        <v>205</v>
      </c>
      <c r="B42" s="194"/>
      <c r="C42" s="195"/>
      <c r="D42" s="194"/>
      <c r="E42" s="196"/>
      <c r="F42" s="4"/>
      <c r="G42" s="4"/>
      <c r="H42" s="4"/>
      <c r="I42" s="4"/>
      <c r="J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156" t="s">
        <v>3</v>
      </c>
      <c r="B43" s="197" t="s">
        <v>7</v>
      </c>
      <c r="C43" s="198" t="s">
        <v>4</v>
      </c>
      <c r="D43" s="199" t="s">
        <v>6</v>
      </c>
      <c r="E43" s="160" t="s">
        <v>5</v>
      </c>
      <c r="F43" s="4"/>
      <c r="G43" s="4"/>
      <c r="H43" s="4"/>
      <c r="I43" s="4"/>
      <c r="J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>
        <f>IF(ISNA(VLOOKUP($A$1&amp;" / "&amp;$A$42,JOURNAL!$B$5:$I$1115,2,0)),"",VLOOKUP($A$1&amp;" / "&amp;$A$42,JOURNAL!$B$5:$I$116,2,0))</f>
        <v>2</v>
      </c>
      <c r="B44" s="201" t="str">
        <f>IF($A44="","",VLOOKUP($A44,JOURNAL!$C$5:$I$1115,5,0))</f>
        <v>JA : Charbon</v>
      </c>
      <c r="C44" s="202">
        <f>IF($A44="","",VLOOKUP($A44,JOURNAL!$C$5:$I$1115,2,0))</f>
        <v>45912</v>
      </c>
      <c r="D44" s="201" t="str">
        <f>IF($A44="","",VLOOKUP($A44,JOURNAL!$C$5:$I$1115,4,0))</f>
        <v>Landi</v>
      </c>
      <c r="E44" s="187">
        <f>IF($A44="","",VLOOKUP($A44,JOURNAL!$C$5:$I$1115,3,0))</f>
        <v>54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>
        <f t="shared" ref="A45:A120" ca="1" si="0">IF(A44="","",IF(ISNA(VLOOKUP($A$1&amp;" / "&amp;$A$42,INDIRECT(ADDRESS(A44+5,2,1,,"JOURNAL")&amp;":G500"),2,0)),"",VLOOKUP($A$1&amp;" / "&amp;$A$42,INDIRECT(ADDRESS(A44+5,2,1,,"JOURNAL")&amp;":G500"),2,0)))</f>
        <v>3</v>
      </c>
      <c r="B45" s="201" t="str">
        <f ca="1">IF($A45="","",VLOOKUP($A45,JOURNAL!$C$5:$I$1115,5,0))</f>
        <v>SG1 : Charbon</v>
      </c>
      <c r="C45" s="202">
        <f ca="1">IF($A45="","",VLOOKUP($A45,JOURNAL!$C$5:$I$1115,2,0))</f>
        <v>46279</v>
      </c>
      <c r="D45" s="201" t="str">
        <f ca="1">IF($A45="","",VLOOKUP($A45,JOURNAL!$C$5:$I$1115,4,0))</f>
        <v>Landi</v>
      </c>
      <c r="E45" s="187">
        <f ca="1">IF($A45="","",VLOOKUP($A45,JOURNAL!$C$5:$I$1115,3,0))</f>
        <v>175.5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200">
        <f t="shared" ca="1" si="0"/>
        <v>21</v>
      </c>
      <c r="B46" s="201" t="str">
        <f ca="1">IF($A46="","",VLOOKUP($A46,JOURNAL!$C$5:$I$1115,5,0))</f>
        <v>JA : Bonbons</v>
      </c>
      <c r="C46" s="202">
        <f ca="1">IF($A46="","",VLOOKUP($A46,JOURNAL!$C$5:$I$1115,2,0))</f>
        <v>45911</v>
      </c>
      <c r="D46" s="201" t="str">
        <f ca="1">IF($A46="","",VLOOKUP($A46,JOURNAL!$C$5:$I$1115,4,0))</f>
        <v>Denner</v>
      </c>
      <c r="E46" s="187">
        <f ca="1">IF($A46="","",VLOOKUP($A46,JOURNAL!$C$5:$I$1115,3,0))</f>
        <v>10.5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200">
        <f t="shared" ca="1" si="0"/>
        <v>22</v>
      </c>
      <c r="B47" s="201" t="str">
        <f ca="1">IF($A47="","",VLOOKUP($A47,JOURNAL!$C$5:$I$1115,5,0))</f>
        <v>JA : Softs</v>
      </c>
      <c r="C47" s="202">
        <f ca="1">IF($A47="","",VLOOKUP($A47,JOURNAL!$C$5:$I$1115,2,0))</f>
        <v>45911</v>
      </c>
      <c r="D47" s="201" t="str">
        <f ca="1">IF($A47="","",VLOOKUP($A47,JOURNAL!$C$5:$I$1115,4,0))</f>
        <v>Landi</v>
      </c>
      <c r="E47" s="187">
        <f ca="1">IF($A47="","",VLOOKUP($A47,JOURNAL!$C$5:$I$1115,3,0))</f>
        <v>15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200">
        <f t="shared" ca="1" si="0"/>
        <v>24</v>
      </c>
      <c r="B48" s="201" t="str">
        <f ca="1">IF($A48="","",VLOOKUP($A48,JOURNAL!$C$5:$I$1115,5,0))</f>
        <v>Caution GM</v>
      </c>
      <c r="C48" s="202">
        <f ca="1">IF($A48="","",VLOOKUP($A48,JOURNAL!$C$5:$I$1115,2,0))</f>
        <v>45917</v>
      </c>
      <c r="D48" s="201" t="str">
        <f ca="1">IF($A48="","",VLOOKUP($A48,JOURNAL!$C$5:$I$1115,4,0))</f>
        <v>Commune de Cheseaux</v>
      </c>
      <c r="E48" s="187">
        <f ca="1">IF($A48="","",VLOOKUP($A48,JOURNAL!$C$5:$I$1115,3,0))</f>
        <v>500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>
        <f t="shared" ca="1" si="0"/>
        <v>25</v>
      </c>
      <c r="B49" s="201" t="str">
        <f ca="1">IF($A49="","",VLOOKUP($A49,JOURNAL!$C$5:$I$1115,5,0))</f>
        <v>SG1 : Courses Hot Dogs</v>
      </c>
      <c r="C49" s="202">
        <f ca="1">IF($A49="","",VLOOKUP($A49,JOURNAL!$C$5:$I$1115,2,0))</f>
        <v>45918</v>
      </c>
      <c r="D49" s="201" t="str">
        <f ca="1">IF($A49="","",VLOOKUP($A49,JOURNAL!$C$5:$I$1115,4,0))</f>
        <v>Thomas Brêchet</v>
      </c>
      <c r="E49" s="187">
        <f ca="1">IF($A49="","",VLOOKUP($A49,JOURNAL!$C$5:$I$1115,3,0))</f>
        <v>20.5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>
        <f t="shared" ca="1" si="0"/>
        <v>26</v>
      </c>
      <c r="B50" s="201" t="str">
        <f ca="1">IF($A50="","",VLOOKUP($A50,JOURNAL!$C$5:$I$1115,5,0))</f>
        <v>SG1 : Courses Hot Dogs</v>
      </c>
      <c r="C50" s="202">
        <f ca="1">IF($A50="","",VLOOKUP($A50,JOURNAL!$C$5:$I$1115,2,0))</f>
        <v>45918</v>
      </c>
      <c r="D50" s="201" t="str">
        <f ca="1">IF($A50="","",VLOOKUP($A50,JOURNAL!$C$5:$I$1115,4,0))</f>
        <v>Thomas Brêchet</v>
      </c>
      <c r="E50" s="187">
        <f ca="1">IF($A50="","",VLOOKUP($A50,JOURNAL!$C$5:$I$1115,3,0))</f>
        <v>47.25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>
        <f t="shared" ca="1" si="0"/>
        <v>27</v>
      </c>
      <c r="B51" s="201" t="str">
        <f ca="1">IF($A51="","",VLOOKUP($A51,JOURNAL!$C$5:$I$1115,5,0))</f>
        <v>SG1 : Courses after (softs)</v>
      </c>
      <c r="C51" s="202">
        <f ca="1">IF($A51="","",VLOOKUP($A51,JOURNAL!$C$5:$I$1115,2,0))</f>
        <v>45919</v>
      </c>
      <c r="D51" s="201" t="str">
        <f ca="1">IF($A51="","",VLOOKUP($A51,JOURNAL!$C$5:$I$1115,4,0))</f>
        <v>Landi</v>
      </c>
      <c r="E51" s="187">
        <f ca="1">IF($A51="","",VLOOKUP($A51,JOURNAL!$C$5:$I$1115,3,0))</f>
        <v>21.6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>
        <f t="shared" ca="1" si="0"/>
        <v>33</v>
      </c>
      <c r="B52" s="201" t="str">
        <f ca="1">IF($A52="","",VLOOKUP($A52,JOURNAL!$C$5:$I$1115,5,0))</f>
        <v>DrawOnMe : croques monsieur</v>
      </c>
      <c r="C52" s="202">
        <f ca="1">IF($A52="","",VLOOKUP($A52,JOURNAL!$C$5:$I$1115,2,0))</f>
        <v>45938</v>
      </c>
      <c r="D52" s="201" t="str">
        <f ca="1">IF($A52="","",VLOOKUP($A52,JOURNAL!$C$5:$I$1115,4,0))</f>
        <v>Thomas Brêchet</v>
      </c>
      <c r="E52" s="187">
        <f ca="1">IF($A52="","",VLOOKUP($A52,JOURNAL!$C$5:$I$1115,3,0))</f>
        <v>47.05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>
        <f t="shared" ca="1" si="0"/>
        <v>34</v>
      </c>
      <c r="B53" s="201" t="str">
        <f ca="1">IF($A53="","",VLOOKUP($A53,JOURNAL!$C$5:$I$1115,5,0))</f>
        <v>Courses GM - 26.85 possiblement pas remboursé</v>
      </c>
      <c r="C53" s="202">
        <f ca="1">IF($A53="","",VLOOKUP($A53,JOURNAL!$C$5:$I$1115,2,0))</f>
        <v>45933</v>
      </c>
      <c r="D53" s="201" t="str">
        <f ca="1">IF($A53="","",VLOOKUP($A53,JOURNAL!$C$5:$I$1115,4,0))</f>
        <v>Maxime Magnenat</v>
      </c>
      <c r="E53" s="187">
        <f ca="1">IF($A53="","",VLOOKUP($A53,JOURNAL!$C$5:$I$1115,3,0))</f>
        <v>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>
        <f t="shared" ca="1" si="0"/>
        <v>36</v>
      </c>
      <c r="B54" s="201" t="str">
        <f ca="1">IF($A54="","",VLOOKUP($A54,JOURNAL!$C$5:$I$1115,5,0))</f>
        <v>Fromage GM</v>
      </c>
      <c r="C54" s="202">
        <f ca="1">IF($A54="","",VLOOKUP($A54,JOURNAL!$C$5:$I$1115,2,0))</f>
        <v>45935</v>
      </c>
      <c r="D54" s="201" t="str">
        <f ca="1">IF($A54="","",VLOOKUP($A54,JOURNAL!$C$5:$I$1115,4,0))</f>
        <v>Laiterie du Chateau</v>
      </c>
      <c r="E54" s="187">
        <f ca="1">IF($A54="","",VLOOKUP($A54,JOURNAL!$C$5:$I$1115,3,0))</f>
        <v>150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>
        <f t="shared" ca="1" si="0"/>
        <v>37</v>
      </c>
      <c r="B55" s="201" t="str">
        <f ca="1">IF($A55="","",VLOOKUP($A55,JOURNAL!$C$5:$I$1115,5,0))</f>
        <v>Pain GM</v>
      </c>
      <c r="C55" s="202">
        <f ca="1">IF($A55="","",VLOOKUP($A55,JOURNAL!$C$5:$I$1115,2,0))</f>
        <v>45935</v>
      </c>
      <c r="D55" s="201" t="str">
        <f ca="1">IF($A55="","",VLOOKUP($A55,JOURNAL!$C$5:$I$1115,4,0))</f>
        <v>Boulangerie du Chateau</v>
      </c>
      <c r="E55" s="187">
        <f ca="1">IF($A55="","",VLOOKUP($A55,JOURNAL!$C$5:$I$1115,3,0))</f>
        <v>91.8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200">
        <f t="shared" ca="1" si="0"/>
        <v>38</v>
      </c>
      <c r="B56" s="201" t="str">
        <f ca="1">IF($A56="","",VLOOKUP($A56,JOURNAL!$C$5:$I$1115,5,0))</f>
        <v>Bières SG1 et JACC</v>
      </c>
      <c r="C56" s="202">
        <f ca="1">IF($A56="","",VLOOKUP($A56,JOURNAL!$C$5:$I$1115,2,0))</f>
        <v>45943</v>
      </c>
      <c r="D56" s="201" t="str">
        <f ca="1">IF($A56="","",VLOOKUP($A56,JOURNAL!$C$5:$I$1115,4,0))</f>
        <v>Chopfab Boxer</v>
      </c>
      <c r="E56" s="187">
        <f ca="1">IF($A56="","",VLOOKUP($A56,JOURNAL!$C$5:$I$1115,3,0))</f>
        <v>968.48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200">
        <f t="shared" ca="1" si="0"/>
        <v>40</v>
      </c>
      <c r="B57" s="201" t="str">
        <f ca="1">IF($A57="","",VLOOKUP($A57,JOURNAL!$C$5:$I$1115,5,0))</f>
        <v>Boissons local</v>
      </c>
      <c r="C57" s="202">
        <f ca="1">IF($A57="","",VLOOKUP($A57,JOURNAL!$C$5:$I$1115,2,0))</f>
        <v>45945</v>
      </c>
      <c r="D57" s="201" t="str">
        <f ca="1">IF($A57="","",VLOOKUP($A57,JOURNAL!$C$5:$I$1115,4,0))</f>
        <v>Maxime Magnenat</v>
      </c>
      <c r="E57" s="187">
        <f ca="1">IF($A57="","",VLOOKUP($A57,JOURNAL!$C$5:$I$1115,3,0))</f>
        <v>200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200">
        <f t="shared" ca="1" si="0"/>
        <v>67</v>
      </c>
      <c r="B58" s="201" t="str">
        <f ca="1">IF($A58="","",VLOOKUP($A58,JOURNAL!$C$5:$I$1115,5,0))</f>
        <v>Achats MDN</v>
      </c>
      <c r="C58" s="202">
        <f ca="1">IF($A58="","",VLOOKUP($A58,JOURNAL!$C$5:$I$1115,2,0))</f>
        <v>45976</v>
      </c>
      <c r="D58" s="201" t="str">
        <f ca="1">IF($A58="","",VLOOKUP($A58,JOURNAL!$C$5:$I$1115,4,0))</f>
        <v>Coop St. Blaise</v>
      </c>
      <c r="E58" s="187">
        <f ca="1">IF($A58="","",VLOOKUP($A58,JOURNAL!$C$5:$I$1115,3,0))</f>
        <v>18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200">
        <f t="shared" ca="1" si="0"/>
        <v>68</v>
      </c>
      <c r="B59" s="201" t="str">
        <f ca="1">IF($A59="","",VLOOKUP($A59,JOURNAL!$C$5:$I$1115,5,0))</f>
        <v>Achats MDN</v>
      </c>
      <c r="C59" s="202">
        <f ca="1">IF($A59="","",VLOOKUP($A59,JOURNAL!$C$5:$I$1115,2,0))</f>
        <v>45976</v>
      </c>
      <c r="D59" s="201" t="str">
        <f ca="1">IF($A59="","",VLOOKUP($A59,JOURNAL!$C$5:$I$1115,4,0))</f>
        <v>Prodega</v>
      </c>
      <c r="E59" s="187">
        <f ca="1">IF($A59="","",VLOOKUP($A59,JOURNAL!$C$5:$I$1115,3,0))</f>
        <v>740</v>
      </c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4"/>
    </row>
    <row r="60" spans="1:26" ht="16.5" customHeight="1" x14ac:dyDescent="0.2">
      <c r="A60" s="200">
        <f t="shared" ca="1" si="0"/>
        <v>99</v>
      </c>
      <c r="B60" s="201">
        <f ca="1">IF($A60="","",VLOOKUP($A60,JOURNAL!$C$5:$I$1115,5,0))</f>
        <v>0</v>
      </c>
      <c r="C60" s="202">
        <f ca="1">IF($A60="","",VLOOKUP($A60,JOURNAL!$C$5:$I$1115,2,0))</f>
        <v>45993</v>
      </c>
      <c r="D60" s="201" t="str">
        <f ca="1">IF($A60="","",VLOOKUP($A60,JOURNAL!$C$5:$I$1115,4,0))</f>
        <v>Olivier (Sarah) : ACHATS MDN</v>
      </c>
      <c r="E60" s="187">
        <f ca="1">IF($A60="","",VLOOKUP($A60,JOURNAL!$C$5:$I$1115,3,0))</f>
        <v>99.2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200">
        <f t="shared" ca="1" si="0"/>
        <v>101</v>
      </c>
      <c r="B61" s="201">
        <f ca="1">IF($A61="","",VLOOKUP($A61,JOURNAL!$C$5:$I$1115,5,0))</f>
        <v>0</v>
      </c>
      <c r="C61" s="202">
        <f ca="1">IF($A61="","",VLOOKUP($A61,JOURNAL!$C$5:$I$1115,2,0))</f>
        <v>45993</v>
      </c>
      <c r="D61" s="201" t="str">
        <f ca="1">IF($A61="","",VLOOKUP($A61,JOURNAL!$C$5:$I$1115,4,0))</f>
        <v>Sarah : ACHATS MDN (JAMBON)</v>
      </c>
      <c r="E61" s="187">
        <f ca="1">IF($A61="","",VLOOKUP($A61,JOURNAL!$C$5:$I$1115,3,0))</f>
        <v>64.2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200">
        <f t="shared" ca="1" si="0"/>
        <v>106</v>
      </c>
      <c r="B62" s="201">
        <f ca="1">IF($A62="","",VLOOKUP($A62,JOURNAL!$C$5:$I$1115,5,0))</f>
        <v>0</v>
      </c>
      <c r="C62" s="202">
        <f ca="1">IF($A62="","",VLOOKUP($A62,JOURNAL!$C$5:$I$1115,2,0))</f>
        <v>45994</v>
      </c>
      <c r="D62" s="201" t="str">
        <f ca="1">IF($A62="","",VLOOKUP($A62,JOURNAL!$C$5:$I$1115,4,0))</f>
        <v>PMT CARTE Denner Discount 1741</v>
      </c>
      <c r="E62" s="187">
        <f ca="1">IF($A62="","",VLOOKUP($A62,JOURNAL!$C$5:$I$1115,3,0))</f>
        <v>3.4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200">
        <f t="shared" ca="1" si="0"/>
        <v>110</v>
      </c>
      <c r="B63" s="201">
        <f ca="1">IF($A63="","",VLOOKUP($A63,JOURNAL!$C$5:$I$1115,5,0))</f>
        <v>0</v>
      </c>
      <c r="C63" s="202">
        <f ca="1">IF($A63="","",VLOOKUP($A63,JOURNAL!$C$5:$I$1115,2,0))</f>
        <v>45996</v>
      </c>
      <c r="D63" s="201" t="str">
        <f ca="1">IF($A63="","",VLOOKUP($A63,JOURNAL!$C$5:$I$1115,4,0))</f>
        <v>PMT CARTE ALIGRO CHAVANNES</v>
      </c>
      <c r="E63" s="187">
        <f ca="1">IF($A63="","",VLOOKUP($A63,JOURNAL!$C$5:$I$1115,3,0))</f>
        <v>103.05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200">
        <f t="shared" ca="1" si="0"/>
        <v>113</v>
      </c>
      <c r="B64" s="201">
        <f ca="1">IF($A64="","",VLOOKUP($A64,JOURNAL!$C$5:$I$1115,5,0))</f>
        <v>0</v>
      </c>
      <c r="C64" s="202">
        <f ca="1">IF($A64="","",VLOOKUP($A64,JOURNAL!$C$5:$I$1115,2,0))</f>
        <v>45998</v>
      </c>
      <c r="D64" s="201" t="str">
        <f ca="1">IF($A64="","",VLOOKUP($A64,JOURNAL!$C$5:$I$1115,4,0))</f>
        <v>PMT CARTE Coop-2262 Crissier</v>
      </c>
      <c r="E64" s="187">
        <f ca="1">IF($A64="","",VLOOKUP($A64,JOURNAL!$C$5:$I$1115,3,0))</f>
        <v>69.75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200">
        <f t="shared" ca="1" si="0"/>
        <v>114</v>
      </c>
      <c r="B65" s="201">
        <f ca="1">IF($A65="","",VLOOKUP($A65,JOURNAL!$C$5:$I$1115,5,0))</f>
        <v>0</v>
      </c>
      <c r="C65" s="202">
        <f ca="1">IF($A65="","",VLOOKUP($A65,JOURNAL!$C$5:$I$1115,2,0))</f>
        <v>45998</v>
      </c>
      <c r="D65" s="201" t="str">
        <f ca="1">IF($A65="","",VLOOKUP($A65,JOURNAL!$C$5:$I$1115,4,0))</f>
        <v>PMT CARTE Shell Yverdon</v>
      </c>
      <c r="E65" s="187">
        <f ca="1">IF($A65="","",VLOOKUP($A65,JOURNAL!$C$5:$I$1115,3,0))</f>
        <v>30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200">
        <f t="shared" ca="1" si="0"/>
        <v>121</v>
      </c>
      <c r="B66" s="201">
        <f ca="1">IF($A66="","",VLOOKUP($A66,JOURNAL!$C$5:$I$1115,5,0))</f>
        <v>0</v>
      </c>
      <c r="C66" s="202">
        <f ca="1">IF($A66="","",VLOOKUP($A66,JOURNAL!$C$5:$I$1115,2,0))</f>
        <v>46005</v>
      </c>
      <c r="D66" s="201" t="str">
        <f ca="1">IF($A66="","",VLOOKUP($A66,JOURNAL!$C$5:$I$1115,4,0))</f>
        <v>PMT CARTE Landi Nord vaudois V</v>
      </c>
      <c r="E66" s="187">
        <f ca="1">IF($A66="","",VLOOKUP($A66,JOURNAL!$C$5:$I$1115,3,0))</f>
        <v>54.1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200">
        <f t="shared" ca="1" si="0"/>
        <v>122</v>
      </c>
      <c r="B67" s="201">
        <f ca="1">IF($A67="","",VLOOKUP($A67,JOURNAL!$C$5:$I$1115,5,0))</f>
        <v>0</v>
      </c>
      <c r="C67" s="202">
        <f ca="1">IF($A67="","",VLOOKUP($A67,JOURNAL!$C$5:$I$1115,2,0))</f>
        <v>46005</v>
      </c>
      <c r="D67" s="201" t="str">
        <f ca="1">IF($A67="","",VLOOKUP($A67,JOURNAL!$C$5:$I$1115,4,0))</f>
        <v>PMT CARTE Coop-1966 Yverdon</v>
      </c>
      <c r="E67" s="187">
        <f ca="1">IF($A67="","",VLOOKUP($A67,JOURNAL!$C$5:$I$1115,3,0))</f>
        <v>222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200">
        <f t="shared" ca="1" si="0"/>
        <v>123</v>
      </c>
      <c r="B68" s="201">
        <f ca="1">IF($A68="","",VLOOKUP($A68,JOURNAL!$C$5:$I$1115,5,0))</f>
        <v>0</v>
      </c>
      <c r="C68" s="202">
        <f ca="1">IF($A68="","",VLOOKUP($A68,JOURNAL!$C$5:$I$1115,2,0))</f>
        <v>46005</v>
      </c>
      <c r="D68" s="201" t="str">
        <f ca="1">IF($A68="","",VLOOKUP($A68,JOURNAL!$C$5:$I$1115,4,0))</f>
        <v>PMT CARTE Coop-2564 Montagny</v>
      </c>
      <c r="E68" s="187">
        <f ca="1">IF($A68="","",VLOOKUP($A68,JOURNAL!$C$5:$I$1115,3,0))</f>
        <v>74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200">
        <f t="shared" ca="1" si="0"/>
        <v>124</v>
      </c>
      <c r="B69" s="201">
        <f ca="1">IF($A69="","",VLOOKUP($A69,JOURNAL!$C$5:$I$1115,5,0))</f>
        <v>0</v>
      </c>
      <c r="C69" s="202">
        <f ca="1">IF($A69="","",VLOOKUP($A69,JOURNAL!$C$5:$I$1115,2,0))</f>
        <v>46005</v>
      </c>
      <c r="D69" s="201" t="str">
        <f ca="1">IF($A69="","",VLOOKUP($A69,JOURNAL!$C$5:$I$1115,4,0))</f>
        <v>PMT CARTE Denner Yverdon-CC Me</v>
      </c>
      <c r="E69" s="187">
        <f ca="1">IF($A69="","",VLOOKUP($A69,JOURNAL!$C$5:$I$1115,3,0))</f>
        <v>118.45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200">
        <f t="shared" ca="1" si="0"/>
        <v>125</v>
      </c>
      <c r="B70" s="201">
        <f ca="1">IF($A70="","",VLOOKUP($A70,JOURNAL!$C$5:$I$1115,5,0))</f>
        <v>0</v>
      </c>
      <c r="C70" s="202">
        <f ca="1">IF($A70="","",VLOOKUP($A70,JOURNAL!$C$5:$I$1115,2,0))</f>
        <v>46005</v>
      </c>
      <c r="D70" s="201" t="str">
        <f ca="1">IF($A70="","",VLOOKUP($A70,JOURNAL!$C$5:$I$1115,4,0))</f>
        <v>PMT CARTE Migros MMM Yverdon</v>
      </c>
      <c r="E70" s="187">
        <f ca="1">IF($A70="","",VLOOKUP($A70,JOURNAL!$C$5:$I$1115,3,0))</f>
        <v>140.55000000000001</v>
      </c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200">
        <f t="shared" ca="1" si="0"/>
        <v>127</v>
      </c>
      <c r="B71" s="201">
        <f ca="1">IF($A71="","",VLOOKUP($A71,JOURNAL!$C$5:$I$1115,5,0))</f>
        <v>0</v>
      </c>
      <c r="C71" s="202">
        <f ca="1">IF($A71="","",VLOOKUP($A71,JOURNAL!$C$5:$I$1115,2,0))</f>
        <v>46008</v>
      </c>
      <c r="D71" s="201" t="str">
        <f ca="1">IF($A71="","",VLOOKUP($A71,JOURNAL!$C$5:$I$1115,4,0))</f>
        <v>PMT CARTE Landi Nord vaudois V</v>
      </c>
      <c r="E71" s="187">
        <f ca="1">IF($A71="","",VLOOKUP($A71,JOURNAL!$C$5:$I$1115,3,0))</f>
        <v>168</v>
      </c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200">
        <f t="shared" ca="1" si="0"/>
        <v>131</v>
      </c>
      <c r="B72" s="201">
        <f ca="1">IF($A72="","",VLOOKUP($A72,JOURNAL!$C$5:$I$1115,5,0))</f>
        <v>0</v>
      </c>
      <c r="C72" s="202">
        <f ca="1">IF($A72="","",VLOOKUP($A72,JOURNAL!$C$5:$I$1115,2,0))</f>
        <v>46009</v>
      </c>
      <c r="D72" s="201" t="str">
        <f ca="1">IF($A72="","",VLOOKUP($A72,JOURNAL!$C$5:$I$1115,4,0))</f>
        <v>PMT CARTE Migros MMM Yverdon</v>
      </c>
      <c r="E72" s="187">
        <f ca="1">IF($A72="","",VLOOKUP($A72,JOURNAL!$C$5:$I$1115,3,0))</f>
        <v>27.3</v>
      </c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200">
        <f t="shared" ca="1" si="0"/>
        <v>132</v>
      </c>
      <c r="B73" s="201">
        <f ca="1">IF($A73="","",VLOOKUP($A73,JOURNAL!$C$5:$I$1115,5,0))</f>
        <v>0</v>
      </c>
      <c r="C73" s="202">
        <f ca="1">IF($A73="","",VLOOKUP($A73,JOURNAL!$C$5:$I$1115,2,0))</f>
        <v>46009</v>
      </c>
      <c r="D73" s="201" t="str">
        <f ca="1">IF($A73="","",VLOOKUP($A73,JOURNAL!$C$5:$I$1115,4,0))</f>
        <v>PMT CARTE Landi Nord vaudois V</v>
      </c>
      <c r="E73" s="187">
        <f ca="1">IF($A73="","",VLOOKUP($A73,JOURNAL!$C$5:$I$1115,3,0))</f>
        <v>52.5</v>
      </c>
      <c r="F73" s="55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200">
        <f t="shared" ca="1" si="0"/>
        <v>136</v>
      </c>
      <c r="B74" s="201">
        <f ca="1">IF($A74="","",VLOOKUP($A74,JOURNAL!$C$5:$I$1115,5,0))</f>
        <v>0</v>
      </c>
      <c r="C74" s="202">
        <f ca="1">IF($A74="","",VLOOKUP($A74,JOURNAL!$C$5:$I$1115,2,0))</f>
        <v>46009</v>
      </c>
      <c r="D74" s="201" t="str">
        <f ca="1">IF($A74="","",VLOOKUP($A74,JOURNAL!$C$5:$I$1115,4,0))</f>
        <v>SARAH KM CERNIER</v>
      </c>
      <c r="E74" s="187">
        <f ca="1">IF($A74="","",VLOOKUP($A74,JOURNAL!$C$5:$I$1115,3,0))</f>
        <v>320</v>
      </c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200">
        <f t="shared" ca="1" si="0"/>
        <v>137</v>
      </c>
      <c r="B75" s="201">
        <f ca="1">IF($A75="","",VLOOKUP($A75,JOURNAL!$C$5:$I$1115,5,0))</f>
        <v>0</v>
      </c>
      <c r="C75" s="202">
        <f ca="1">IF($A75="","",VLOOKUP($A75,JOURNAL!$C$5:$I$1115,2,0))</f>
        <v>46009</v>
      </c>
      <c r="D75" s="201" t="str">
        <f ca="1">IF($A75="","",VLOOKUP($A75,JOURNAL!$C$5:$I$1115,4,0))</f>
        <v>SARAH KM ALIGRO</v>
      </c>
      <c r="E75" s="187">
        <f ca="1">IF($A75="","",VLOOKUP($A75,JOURNAL!$C$5:$I$1115,3,0))</f>
        <v>220</v>
      </c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200">
        <f t="shared" ca="1" si="0"/>
        <v>142</v>
      </c>
      <c r="B76" s="201">
        <f ca="1">IF($A76="","",VLOOKUP($A76,JOURNAL!$C$5:$I$1115,5,0))</f>
        <v>0</v>
      </c>
      <c r="C76" s="202">
        <f ca="1">IF($A76="","",VLOOKUP($A76,JOURNAL!$C$5:$I$1115,2,0))</f>
        <v>46011</v>
      </c>
      <c r="D76" s="201" t="str">
        <f ca="1">IF($A76="","",VLOOKUP($A76,JOURNAL!$C$5:$I$1115,4,0))</f>
        <v>PMT CARTE Lidl Yverdon</v>
      </c>
      <c r="E76" s="187">
        <f ca="1">IF($A76="","",VLOOKUP($A76,JOURNAL!$C$5:$I$1115,3,0))</f>
        <v>356.5</v>
      </c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200">
        <f t="shared" ca="1" si="0"/>
        <v>143</v>
      </c>
      <c r="B77" s="201">
        <f ca="1">IF($A77="","",VLOOKUP($A77,JOURNAL!$C$5:$I$1115,5,0))</f>
        <v>0</v>
      </c>
      <c r="C77" s="202">
        <f ca="1">IF($A77="","",VLOOKUP($A77,JOURNAL!$C$5:$I$1115,2,0))</f>
        <v>46011</v>
      </c>
      <c r="D77" s="201" t="str">
        <f ca="1">IF($A77="","",VLOOKUP($A77,JOURNAL!$C$5:$I$1115,4,0))</f>
        <v>PMT CARTE Landi Nord vaudois V</v>
      </c>
      <c r="E77" s="187">
        <f ca="1">IF($A77="","",VLOOKUP($A77,JOURNAL!$C$5:$I$1115,3,0))</f>
        <v>35.299999999999997</v>
      </c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200">
        <f t="shared" ca="1" si="0"/>
        <v>144</v>
      </c>
      <c r="B78" s="201">
        <f ca="1">IF($A78="","",VLOOKUP($A78,JOURNAL!$C$5:$I$1115,5,0))</f>
        <v>0</v>
      </c>
      <c r="C78" s="202">
        <f ca="1">IF($A78="","",VLOOKUP($A78,JOURNAL!$C$5:$I$1115,2,0))</f>
        <v>46012</v>
      </c>
      <c r="D78" s="201" t="str">
        <f ca="1">IF($A78="","",VLOOKUP($A78,JOURNAL!$C$5:$I$1115,4,0))</f>
        <v>PMT CARTE Lidl Yverdon</v>
      </c>
      <c r="E78" s="187">
        <f ca="1">IF($A78="","",VLOOKUP($A78,JOURNAL!$C$5:$I$1115,3,0))</f>
        <v>58.35</v>
      </c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200">
        <f t="shared" ca="1" si="0"/>
        <v>145</v>
      </c>
      <c r="B79" s="201">
        <f ca="1">IF($A79="","",VLOOKUP($A79,JOURNAL!$C$5:$I$1115,5,0))</f>
        <v>0</v>
      </c>
      <c r="C79" s="202">
        <f ca="1">IF($A79="","",VLOOKUP($A79,JOURNAL!$C$5:$I$1115,2,0))</f>
        <v>46013</v>
      </c>
      <c r="D79" s="201" t="str">
        <f ca="1">IF($A79="","",VLOOKUP($A79,JOURNAL!$C$5:$I$1115,4,0))</f>
        <v>Chopfab Boxer AG</v>
      </c>
      <c r="E79" s="187">
        <f ca="1">IF($A79="","",VLOOKUP($A79,JOURNAL!$C$5:$I$1115,3,0))</f>
        <v>225.48</v>
      </c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200">
        <f t="shared" ca="1" si="0"/>
        <v>160</v>
      </c>
      <c r="B80" s="201">
        <f ca="1">IF($A80="","",VLOOKUP($A80,JOURNAL!$C$5:$I$1115,5,0))</f>
        <v>0</v>
      </c>
      <c r="C80" s="202">
        <f ca="1">IF($A80="","",VLOOKUP($A80,JOURNAL!$C$5:$I$1115,2,0))</f>
        <v>46031</v>
      </c>
      <c r="D80" s="201" t="str">
        <f ca="1">IF($A80="","",VLOOKUP($A80,JOURNAL!$C$5:$I$1115,4,0))</f>
        <v>Bernycool SA</v>
      </c>
      <c r="E80" s="187">
        <f ca="1">IF($A80="","",VLOOKUP($A80,JOURNAL!$C$5:$I$1115,3,0))</f>
        <v>596.95000000000005</v>
      </c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200">
        <f t="shared" ca="1" si="0"/>
        <v>161</v>
      </c>
      <c r="B81" s="201">
        <f ca="1">IF($A81="","",VLOOKUP($A81,JOURNAL!$C$5:$I$1115,5,0))</f>
        <v>0</v>
      </c>
      <c r="C81" s="202">
        <f ca="1">IF($A81="","",VLOOKUP($A81,JOURNAL!$C$5:$I$1115,2,0))</f>
        <v>46031</v>
      </c>
      <c r="D81" s="201" t="str">
        <f ca="1">IF($A81="","",VLOOKUP($A81,JOURNAL!$C$5:$I$1115,4,0))</f>
        <v>ecomanif SA</v>
      </c>
      <c r="E81" s="187">
        <f ca="1">IF($A81="","",VLOOKUP($A81,JOURNAL!$C$5:$I$1115,3,0))</f>
        <v>84.05</v>
      </c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200">
        <f t="shared" ca="1" si="0"/>
        <v>162</v>
      </c>
      <c r="B82" s="201">
        <f ca="1">IF($A82="","",VLOOKUP($A82,JOURNAL!$C$5:$I$1115,5,0))</f>
        <v>0</v>
      </c>
      <c r="C82" s="202">
        <f ca="1">IF($A82="","",VLOOKUP($A82,JOURNAL!$C$5:$I$1115,2,0))</f>
        <v>46031</v>
      </c>
      <c r="D82" s="201" t="str">
        <f ca="1">IF($A82="","",VLOOKUP($A82,JOURNAL!$C$5:$I$1115,4,0))</f>
        <v>Mobility Genossenschaft</v>
      </c>
      <c r="E82" s="187">
        <f ca="1">IF($A82="","",VLOOKUP($A82,JOURNAL!$C$5:$I$1115,3,0))</f>
        <v>14.7</v>
      </c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200">
        <f t="shared" ca="1" si="0"/>
        <v>170</v>
      </c>
      <c r="B83" s="201" t="str">
        <f ca="1">IF($A83="","",VLOOKUP($A83,JOURNAL!$C$5:$I$1115,5,0))</f>
        <v>courses baleiski</v>
      </c>
      <c r="C83" s="202">
        <f ca="1">IF($A83="","",VLOOKUP($A83,JOURNAL!$C$5:$I$1115,2,0))</f>
        <v>46068</v>
      </c>
      <c r="D83" s="201" t="str">
        <f ca="1">IF($A83="","",VLOOKUP($A83,JOURNAL!$C$5:$I$1115,4,0))</f>
        <v>La laiterie du chateau</v>
      </c>
      <c r="E83" s="187">
        <f ca="1">IF($A83="","",VLOOKUP($A83,JOURNAL!$C$5:$I$1115,3,0))</f>
        <v>18</v>
      </c>
      <c r="F83" s="4"/>
      <c r="G83" s="16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200">
        <f t="shared" ca="1" si="0"/>
        <v>171</v>
      </c>
      <c r="B84" s="201" t="str">
        <f ca="1">IF($A84="","",VLOOKUP($A84,JOURNAL!$C$5:$I$1115,5,0))</f>
        <v>courses baleiski</v>
      </c>
      <c r="C84" s="202">
        <f ca="1">IF($A84="","",VLOOKUP($A84,JOURNAL!$C$5:$I$1115,2,0))</f>
        <v>46068</v>
      </c>
      <c r="D84" s="201" t="str">
        <f ca="1">IF($A84="","",VLOOKUP($A84,JOURNAL!$C$5:$I$1115,4,0))</f>
        <v>lidl collombey</v>
      </c>
      <c r="E84" s="187">
        <f ca="1">IF($A84="","",VLOOKUP($A84,JOURNAL!$C$5:$I$1115,3,0))</f>
        <v>102.1</v>
      </c>
      <c r="F84" s="4"/>
      <c r="G84" s="27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200">
        <f t="shared" ca="1" si="0"/>
        <v>172</v>
      </c>
      <c r="B85" s="201" t="str">
        <f ca="1">IF($A85="","",VLOOKUP($A85,JOURNAL!$C$5:$I$1115,5,0))</f>
        <v>courses baleiski</v>
      </c>
      <c r="C85" s="202">
        <f ca="1">IF($A85="","",VLOOKUP($A85,JOURNAL!$C$5:$I$1115,2,0))</f>
        <v>46068</v>
      </c>
      <c r="D85" s="201" t="str">
        <f ca="1">IF($A85="","",VLOOKUP($A85,JOURNAL!$C$5:$I$1115,4,0))</f>
        <v>aligro chavannes</v>
      </c>
      <c r="E85" s="187">
        <f ca="1">IF($A85="","",VLOOKUP($A85,JOURNAL!$C$5:$I$1115,3,0))</f>
        <v>495.6</v>
      </c>
      <c r="F85" s="4"/>
      <c r="G85" s="27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200">
        <f t="shared" ca="1" si="0"/>
        <v>173</v>
      </c>
      <c r="B86" s="201" t="str">
        <f ca="1">IF($A86="","",VLOOKUP($A86,JOURNAL!$C$5:$I$1115,5,0))</f>
        <v>courses baleiski</v>
      </c>
      <c r="C86" s="202">
        <f ca="1">IF($A86="","",VLOOKUP($A86,JOURNAL!$C$5:$I$1115,2,0))</f>
        <v>46068</v>
      </c>
      <c r="D86" s="201" t="str">
        <f ca="1">IF($A86="","",VLOOKUP($A86,JOURNAL!$C$5:$I$1115,4,0))</f>
        <v>Boulangerie du Chateau</v>
      </c>
      <c r="E86" s="187">
        <f ca="1">IF($A86="","",VLOOKUP($A86,JOURNAL!$C$5:$I$1115,3,0))</f>
        <v>30</v>
      </c>
      <c r="F86" s="4"/>
      <c r="G86" s="27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200">
        <f t="shared" ca="1" si="0"/>
        <v>176</v>
      </c>
      <c r="B87" s="201">
        <f ca="1">IF($A87="","",VLOOKUP($A87,JOURNAL!$C$5:$I$1115,5,0))</f>
        <v>0</v>
      </c>
      <c r="C87" s="202">
        <f ca="1">IF($A87="","",VLOOKUP($A87,JOURNAL!$C$5:$I$1115,2,0))</f>
        <v>46071</v>
      </c>
      <c r="D87" s="201" t="str">
        <f ca="1">IF($A87="","",VLOOKUP($A87,JOURNAL!$C$5:$I$1115,4,0))</f>
        <v>Laiterie de Pomy</v>
      </c>
      <c r="E87" s="187">
        <f ca="1">IF($A87="","",VLOOKUP($A87,JOURNAL!$C$5:$I$1115,3,0))</f>
        <v>81</v>
      </c>
      <c r="F87" s="55"/>
      <c r="G87" s="27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4"/>
    </row>
    <row r="88" spans="1:26" ht="16.5" customHeight="1" x14ac:dyDescent="0.2">
      <c r="A88" s="200">
        <f t="shared" ca="1" si="0"/>
        <v>177</v>
      </c>
      <c r="B88" s="201" t="str">
        <f ca="1">IF($A88="","",VLOOKUP($A88,JOURNAL!$C$5:$I$1115,5,0))</f>
        <v>Pizzas SG</v>
      </c>
      <c r="C88" s="202">
        <f ca="1">IF($A88="","",VLOOKUP($A88,JOURNAL!$C$5:$I$1115,2,0))</f>
        <v>46072</v>
      </c>
      <c r="D88" s="201" t="str">
        <f ca="1">IF($A88="","",VLOOKUP($A88,JOURNAL!$C$5:$I$1115,4,0))</f>
        <v>Le csarda</v>
      </c>
      <c r="E88" s="187">
        <f ca="1">IF($A88="","",VLOOKUP($A88,JOURNAL!$C$5:$I$1115,3,0))</f>
        <v>72</v>
      </c>
      <c r="F88" s="4"/>
      <c r="G88" s="18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200">
        <f t="shared" ca="1" si="0"/>
        <v>179</v>
      </c>
      <c r="B89" s="201">
        <f ca="1">IF($A89="","",VLOOKUP($A89,JOURNAL!$C$5:$I$1115,5,0))</f>
        <v>0</v>
      </c>
      <c r="C89" s="202">
        <f ca="1">IF($A89="","",VLOOKUP($A89,JOURNAL!$C$5:$I$1115,2,0))</f>
        <v>46076</v>
      </c>
      <c r="D89" s="201" t="str">
        <f ca="1">IF($A89="","",VLOOKUP($A89,JOURNAL!$C$5:$I$1115,4,0))</f>
        <v>Landi</v>
      </c>
      <c r="E89" s="187">
        <f ca="1">IF($A89="","",VLOOKUP($A89,JOURNAL!$C$5:$I$1115,3,0))</f>
        <v>470.35</v>
      </c>
      <c r="F89" s="4"/>
      <c r="G89" s="18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200">
        <f t="shared" ca="1" si="0"/>
        <v>180</v>
      </c>
      <c r="B90" s="201" t="str">
        <f ca="1">IF($A90="","",VLOOKUP($A90,JOURNAL!$C$5:$I$1115,5,0))</f>
        <v>courses baleiski</v>
      </c>
      <c r="C90" s="202">
        <f ca="1">IF($A90="","",VLOOKUP($A90,JOURNAL!$C$5:$I$1115,2,0))</f>
        <v>46076</v>
      </c>
      <c r="D90" s="201" t="str">
        <f ca="1">IF($A90="","",VLOOKUP($A90,JOURNAL!$C$5:$I$1115,4,0))</f>
        <v>Laiterie de Pomy</v>
      </c>
      <c r="E90" s="187">
        <f ca="1">IF($A90="","",VLOOKUP($A90,JOURNAL!$C$5:$I$1115,3,0))</f>
        <v>316.89999999999998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200">
        <f t="shared" ca="1" si="0"/>
        <v>189</v>
      </c>
      <c r="B91" s="201" t="str">
        <f ca="1">IF($A91="","",VLOOKUP($A91,JOURNAL!$C$5:$I$1115,5,0))</f>
        <v>Commissions MDN</v>
      </c>
      <c r="C91" s="202">
        <f ca="1">IF($A91="","",VLOOKUP($A91,JOURNAL!$C$5:$I$1115,2,0))</f>
        <v>46085</v>
      </c>
      <c r="D91" s="201" t="str">
        <f ca="1">IF($A91="","",VLOOKUP($A91,JOURNAL!$C$5:$I$1115,4,0))</f>
        <v>Ville Yverdon-les-Bains</v>
      </c>
      <c r="E91" s="187">
        <f ca="1">IF($A91="","",VLOOKUP($A91,JOURNAL!$C$5:$I$1115,3,0))</f>
        <v>1732.6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200">
        <f t="shared" ca="1" si="0"/>
        <v>191</v>
      </c>
      <c r="B92" s="201" t="str">
        <f ca="1">IF($A92="","",VLOOKUP($A92,JOURNAL!$C$5:$I$1115,5,0))</f>
        <v>event</v>
      </c>
      <c r="C92" s="202">
        <f ca="1">IF($A92="","",VLOOKUP($A92,JOURNAL!$C$5:$I$1115,2,0))</f>
        <v>46085</v>
      </c>
      <c r="D92" s="201" t="str">
        <f ca="1">IF($A92="","",VLOOKUP($A92,JOURNAL!$C$5:$I$1115,4,0))</f>
        <v>Chopfab Boxer AG</v>
      </c>
      <c r="E92" s="187">
        <f ca="1">IF($A92="","",VLOOKUP($A92,JOURNAL!$C$5:$I$1115,3,0))</f>
        <v>50.48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200">
        <f t="shared" ca="1" si="0"/>
        <v>198</v>
      </c>
      <c r="B93" s="201" t="str">
        <f ca="1">IF($A93="","",VLOOKUP($A93,JOURNAL!$C$5:$I$1115,5,0))</f>
        <v>Achats after</v>
      </c>
      <c r="C93" s="202">
        <f ca="1">IF($A93="","",VLOOKUP($A93,JOURNAL!$C$5:$I$1115,2,0))</f>
        <v>46088</v>
      </c>
      <c r="D93" s="201" t="str">
        <f ca="1">IF($A93="","",VLOOKUP($A93,JOURNAL!$C$5:$I$1115,4,0))</f>
        <v>Lidl Yverdon</v>
      </c>
      <c r="E93" s="187">
        <f ca="1">IF($A93="","",VLOOKUP($A93,JOURNAL!$C$5:$I$1115,3,0))</f>
        <v>11.95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200">
        <f t="shared" ca="1" si="0"/>
        <v>199</v>
      </c>
      <c r="B94" s="201" t="str">
        <f ca="1">IF($A94="","",VLOOKUP($A94,JOURNAL!$C$5:$I$1115,5,0))</f>
        <v>Achats after</v>
      </c>
      <c r="C94" s="202">
        <f ca="1">IF($A94="","",VLOOKUP($A94,JOURNAL!$C$5:$I$1115,2,0))</f>
        <v>46088</v>
      </c>
      <c r="D94" s="201" t="str">
        <f ca="1">IF($A94="","",VLOOKUP($A94,JOURNAL!$C$5:$I$1115,4,0))</f>
        <v>Denner Yverdon</v>
      </c>
      <c r="E94" s="187">
        <f ca="1">IF($A94="","",VLOOKUP($A94,JOURNAL!$C$5:$I$1115,3,0))</f>
        <v>190.55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200">
        <f t="shared" ca="1" si="0"/>
        <v>200</v>
      </c>
      <c r="B95" s="201" t="str">
        <f ca="1">IF($A95="","",VLOOKUP($A95,JOURNAL!$C$5:$I$1115,5,0))</f>
        <v>Achats after</v>
      </c>
      <c r="C95" s="202">
        <f ca="1">IF($A95="","",VLOOKUP($A95,JOURNAL!$C$5:$I$1115,2,0))</f>
        <v>46088</v>
      </c>
      <c r="D95" s="201" t="str">
        <f ca="1">IF($A95="","",VLOOKUP($A95,JOURNAL!$C$5:$I$1115,4,0))</f>
        <v>Coop Yverdon</v>
      </c>
      <c r="E95" s="187">
        <f ca="1">IF($A95="","",VLOOKUP($A95,JOURNAL!$C$5:$I$1115,3,0))</f>
        <v>23.95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200">
        <f t="shared" ca="1" si="0"/>
        <v>201</v>
      </c>
      <c r="B96" s="201" t="str">
        <f ca="1">IF($A96="","",VLOOKUP($A96,JOURNAL!$C$5:$I$1115,5,0))</f>
        <v>Achats after</v>
      </c>
      <c r="C96" s="202">
        <f ca="1">IF($A96="","",VLOOKUP($A96,JOURNAL!$C$5:$I$1115,2,0))</f>
        <v>46088</v>
      </c>
      <c r="D96" s="201" t="str">
        <f ca="1">IF($A96="","",VLOOKUP($A96,JOURNAL!$C$5:$I$1115,4,0))</f>
        <v>Landi Yverdon</v>
      </c>
      <c r="E96" s="187">
        <f ca="1">IF($A96="","",VLOOKUP($A96,JOURNAL!$C$5:$I$1115,3,0))</f>
        <v>184.3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200" t="str">
        <f t="shared" ca="1" si="0"/>
        <v/>
      </c>
      <c r="B97" s="201" t="str">
        <f ca="1">IF($A97="","",VLOOKUP($A97,JOURNAL!$C$5:$I$1115,5,0))</f>
        <v/>
      </c>
      <c r="C97" s="202" t="str">
        <f ca="1">IF($A97="","",VLOOKUP($A97,JOURNAL!$C$5:$I$1115,2,0))</f>
        <v/>
      </c>
      <c r="D97" s="201" t="str">
        <f ca="1">IF($A97="","",VLOOKUP($A97,JOURNAL!$C$5:$I$1115,4,0))</f>
        <v/>
      </c>
      <c r="E97" s="187" t="str">
        <f ca="1">IF($A97="","",VLOOKUP($A97,JOURNAL!$C$5:$I$1115,3,0))</f>
        <v/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200" t="str">
        <f t="shared" ca="1" si="0"/>
        <v/>
      </c>
      <c r="B98" s="201" t="str">
        <f ca="1">IF($A98="","",VLOOKUP($A98,JOURNAL!$C$5:$I$1115,5,0))</f>
        <v/>
      </c>
      <c r="C98" s="202" t="str">
        <f ca="1">IF($A98="","",VLOOKUP($A98,JOURNAL!$C$5:$I$1115,2,0))</f>
        <v/>
      </c>
      <c r="D98" s="201" t="str">
        <f ca="1">IF($A98="","",VLOOKUP($A98,JOURNAL!$C$5:$I$1115,4,0))</f>
        <v/>
      </c>
      <c r="E98" s="187" t="str">
        <f ca="1">IF($A98="","",VLOOKUP($A98,JOURNAL!$C$5:$I$1115,3,0))</f>
        <v/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200" t="str">
        <f t="shared" ca="1" si="0"/>
        <v/>
      </c>
      <c r="B99" s="201" t="str">
        <f ca="1">IF($A99="","",VLOOKUP($A99,JOURNAL!$C$5:$I$1115,5,0))</f>
        <v/>
      </c>
      <c r="C99" s="202" t="str">
        <f ca="1">IF($A99="","",VLOOKUP($A99,JOURNAL!$C$5:$I$1115,2,0))</f>
        <v/>
      </c>
      <c r="D99" s="201" t="str">
        <f ca="1">IF($A99="","",VLOOKUP($A99,JOURNAL!$C$5:$I$1115,4,0))</f>
        <v/>
      </c>
      <c r="E99" s="187" t="str">
        <f ca="1">IF($A99="","",VLOOKUP($A99,JOURNAL!$C$5:$I$1115,3,0))</f>
        <v/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200" t="str">
        <f t="shared" ca="1" si="0"/>
        <v/>
      </c>
      <c r="B100" s="201" t="str">
        <f ca="1">IF($A100="","",VLOOKUP($A100,JOURNAL!$C$5:$I$1115,5,0))</f>
        <v/>
      </c>
      <c r="C100" s="202" t="str">
        <f ca="1">IF($A100="","",VLOOKUP($A100,JOURNAL!$C$5:$I$1115,2,0))</f>
        <v/>
      </c>
      <c r="D100" s="201" t="str">
        <f ca="1">IF($A100="","",VLOOKUP($A100,JOURNAL!$C$5:$I$1115,4,0))</f>
        <v/>
      </c>
      <c r="E100" s="187" t="str">
        <f ca="1">IF($A100="","",VLOOKUP($A100,JOURNAL!$C$5:$I$1115,3,0))</f>
        <v/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200" t="str">
        <f t="shared" ca="1" si="0"/>
        <v/>
      </c>
      <c r="B101" s="201" t="str">
        <f ca="1">IF($A101="","",VLOOKUP($A101,JOURNAL!$C$5:$I$1115,5,0))</f>
        <v/>
      </c>
      <c r="C101" s="202" t="str">
        <f ca="1">IF($A101="","",VLOOKUP($A101,JOURNAL!$C$5:$I$1115,2,0))</f>
        <v/>
      </c>
      <c r="D101" s="201" t="str">
        <f ca="1">IF($A101="","",VLOOKUP($A101,JOURNAL!$C$5:$I$1115,4,0))</f>
        <v/>
      </c>
      <c r="E101" s="187" t="str">
        <f ca="1">IF($A101="","",VLOOKUP($A101,JOURNAL!$C$5:$I$1115,3,0))</f>
        <v/>
      </c>
      <c r="F101" s="5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200" t="str">
        <f t="shared" ca="1" si="0"/>
        <v/>
      </c>
      <c r="B102" s="201" t="str">
        <f ca="1">IF($A102="","",VLOOKUP($A102,JOURNAL!$C$5:$I$1115,5,0))</f>
        <v/>
      </c>
      <c r="C102" s="202" t="str">
        <f ca="1">IF($A102="","",VLOOKUP($A102,JOURNAL!$C$5:$I$1115,2,0))</f>
        <v/>
      </c>
      <c r="D102" s="201" t="str">
        <f ca="1">IF($A102="","",VLOOKUP($A102,JOURNAL!$C$5:$I$1115,4,0))</f>
        <v/>
      </c>
      <c r="E102" s="187" t="str">
        <f ca="1">IF($A102="","",VLOOKUP($A102,JOURNAL!$C$5:$I$1115,3,0))</f>
        <v/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200" t="str">
        <f t="shared" ca="1" si="0"/>
        <v/>
      </c>
      <c r="B103" s="201" t="str">
        <f ca="1">IF($A103="","",VLOOKUP($A103,JOURNAL!$C$5:$I$1115,5,0))</f>
        <v/>
      </c>
      <c r="C103" s="202" t="str">
        <f ca="1">IF($A103="","",VLOOKUP($A103,JOURNAL!$C$5:$I$1115,2,0))</f>
        <v/>
      </c>
      <c r="D103" s="201" t="str">
        <f ca="1">IF($A103="","",VLOOKUP($A103,JOURNAL!$C$5:$I$1115,4,0))</f>
        <v/>
      </c>
      <c r="E103" s="187" t="str">
        <f ca="1">IF($A103="","",VLOOKUP($A103,JOURNAL!$C$5:$I$1115,3,0))</f>
        <v/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200" t="str">
        <f t="shared" ca="1" si="0"/>
        <v/>
      </c>
      <c r="B104" s="201" t="str">
        <f ca="1">IF($A104="","",VLOOKUP($A104,JOURNAL!$C$5:$I$1115,5,0))</f>
        <v/>
      </c>
      <c r="C104" s="202" t="str">
        <f ca="1">IF($A104="","",VLOOKUP($A104,JOURNAL!$C$5:$I$1115,2,0))</f>
        <v/>
      </c>
      <c r="D104" s="201" t="str">
        <f ca="1">IF($A104="","",VLOOKUP($A104,JOURNAL!$C$5:$I$1115,4,0))</f>
        <v/>
      </c>
      <c r="E104" s="187" t="str">
        <f ca="1">IF($A104="","",VLOOKUP($A104,JOURNAL!$C$5:$I$1115,3,0))</f>
        <v/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200" t="str">
        <f t="shared" ca="1" si="0"/>
        <v/>
      </c>
      <c r="B105" s="201" t="str">
        <f ca="1">IF($A105="","",VLOOKUP($A105,JOURNAL!$C$5:$I$1115,5,0))</f>
        <v/>
      </c>
      <c r="C105" s="202" t="str">
        <f ca="1">IF($A105="","",VLOOKUP($A105,JOURNAL!$C$5:$I$1115,2,0))</f>
        <v/>
      </c>
      <c r="D105" s="201" t="str">
        <f ca="1">IF($A105="","",VLOOKUP($A105,JOURNAL!$C$5:$I$1115,4,0))</f>
        <v/>
      </c>
      <c r="E105" s="187" t="str">
        <f ca="1">IF($A105="","",VLOOKUP($A105,JOURNAL!$C$5:$I$1115,3,0))</f>
        <v/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200" t="str">
        <f t="shared" ca="1" si="0"/>
        <v/>
      </c>
      <c r="B106" s="201" t="str">
        <f ca="1">IF($A106="","",VLOOKUP($A106,JOURNAL!$C$5:$I$1115,5,0))</f>
        <v/>
      </c>
      <c r="C106" s="202" t="str">
        <f ca="1">IF($A106="","",VLOOKUP($A106,JOURNAL!$C$5:$I$1115,2,0))</f>
        <v/>
      </c>
      <c r="D106" s="201" t="str">
        <f ca="1">IF($A106="","",VLOOKUP($A106,JOURNAL!$C$5:$I$1115,4,0))</f>
        <v/>
      </c>
      <c r="E106" s="187" t="str">
        <f ca="1">IF($A106="","",VLOOKUP($A106,JOURNAL!$C$5:$I$1115,3,0))</f>
        <v/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200" t="str">
        <f t="shared" ca="1" si="0"/>
        <v/>
      </c>
      <c r="B107" s="201" t="str">
        <f ca="1">IF($A107="","",VLOOKUP($A107,JOURNAL!$C$5:$I$1115,5,0))</f>
        <v/>
      </c>
      <c r="C107" s="202" t="str">
        <f ca="1">IF($A107="","",VLOOKUP($A107,JOURNAL!$C$5:$I$1115,2,0))</f>
        <v/>
      </c>
      <c r="D107" s="201" t="str">
        <f ca="1">IF($A107="","",VLOOKUP($A107,JOURNAL!$C$5:$I$1115,4,0))</f>
        <v/>
      </c>
      <c r="E107" s="187" t="str">
        <f ca="1">IF($A107="","",VLOOKUP($A107,JOURNAL!$C$5:$I$1115,3,0))</f>
        <v/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200" t="str">
        <f t="shared" ca="1" si="0"/>
        <v/>
      </c>
      <c r="B108" s="201" t="str">
        <f ca="1">IF($A108="","",VLOOKUP($A108,JOURNAL!$C$5:$I$1115,5,0))</f>
        <v/>
      </c>
      <c r="C108" s="202" t="str">
        <f ca="1">IF($A108="","",VLOOKUP($A108,JOURNAL!$C$5:$I$1115,2,0))</f>
        <v/>
      </c>
      <c r="D108" s="201" t="str">
        <f ca="1">IF($A108="","",VLOOKUP($A108,JOURNAL!$C$5:$I$1115,4,0))</f>
        <v/>
      </c>
      <c r="E108" s="187" t="str">
        <f ca="1">IF($A108="","",VLOOKUP($A108,JOURNAL!$C$5:$I$1115,3,0))</f>
        <v/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200" t="str">
        <f t="shared" ca="1" si="0"/>
        <v/>
      </c>
      <c r="B109" s="201" t="str">
        <f ca="1">IF($A109="","",VLOOKUP($A109,JOURNAL!$C$5:$I$1115,5,0))</f>
        <v/>
      </c>
      <c r="C109" s="202" t="str">
        <f ca="1">IF($A109="","",VLOOKUP($A109,JOURNAL!$C$5:$I$1115,2,0))</f>
        <v/>
      </c>
      <c r="D109" s="201" t="str">
        <f ca="1">IF($A109="","",VLOOKUP($A109,JOURNAL!$C$5:$I$1115,4,0))</f>
        <v/>
      </c>
      <c r="E109" s="187" t="str">
        <f ca="1">IF($A109="","",VLOOKUP($A109,JOURNAL!$C$5:$I$1115,3,0))</f>
        <v/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200" t="str">
        <f t="shared" ca="1" si="0"/>
        <v/>
      </c>
      <c r="B110" s="201" t="str">
        <f ca="1">IF($A110="","",VLOOKUP($A110,JOURNAL!$C$5:$I$1115,5,0))</f>
        <v/>
      </c>
      <c r="C110" s="202" t="str">
        <f ca="1">IF($A110="","",VLOOKUP($A110,JOURNAL!$C$5:$I$1115,2,0))</f>
        <v/>
      </c>
      <c r="D110" s="201" t="str">
        <f ca="1">IF($A110="","",VLOOKUP($A110,JOURNAL!$C$5:$I$1115,4,0))</f>
        <v/>
      </c>
      <c r="E110" s="187" t="str">
        <f ca="1">IF($A110="","",VLOOKUP($A110,JOURNAL!$C$5:$I$1115,3,0))</f>
        <v/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200" t="str">
        <f t="shared" ca="1" si="0"/>
        <v/>
      </c>
      <c r="B111" s="201" t="str">
        <f ca="1">IF($A111="","",VLOOKUP($A111,JOURNAL!$C$5:$I$1115,5,0))</f>
        <v/>
      </c>
      <c r="C111" s="202" t="str">
        <f ca="1">IF($A111="","",VLOOKUP($A111,JOURNAL!$C$5:$I$1115,2,0))</f>
        <v/>
      </c>
      <c r="D111" s="201" t="str">
        <f ca="1">IF($A111="","",VLOOKUP($A111,JOURNAL!$C$5:$I$1115,4,0))</f>
        <v/>
      </c>
      <c r="E111" s="187" t="str">
        <f ca="1">IF($A111="","",VLOOKUP($A111,JOURNAL!$C$5:$I$1115,3,0))</f>
        <v/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200" t="str">
        <f t="shared" ca="1" si="0"/>
        <v/>
      </c>
      <c r="B112" s="201" t="str">
        <f ca="1">IF($A112="","",VLOOKUP($A112,JOURNAL!$C$5:$I$1115,5,0))</f>
        <v/>
      </c>
      <c r="C112" s="202" t="str">
        <f ca="1">IF($A112="","",VLOOKUP($A112,JOURNAL!$C$5:$I$1115,2,0))</f>
        <v/>
      </c>
      <c r="D112" s="201" t="str">
        <f ca="1">IF($A112="","",VLOOKUP($A112,JOURNAL!$C$5:$I$1115,4,0))</f>
        <v/>
      </c>
      <c r="E112" s="187" t="str">
        <f ca="1">IF($A112="","",VLOOKUP($A112,JOURNAL!$C$5:$I$1115,3,0))</f>
        <v/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200" t="str">
        <f t="shared" ca="1" si="0"/>
        <v/>
      </c>
      <c r="B113" s="201" t="str">
        <f ca="1">IF($A113="","",VLOOKUP($A113,JOURNAL!$C$5:$I$1115,5,0))</f>
        <v/>
      </c>
      <c r="C113" s="202" t="str">
        <f ca="1">IF($A113="","",VLOOKUP($A113,JOURNAL!$C$5:$I$1115,2,0))</f>
        <v/>
      </c>
      <c r="D113" s="201" t="str">
        <f ca="1">IF($A113="","",VLOOKUP($A113,JOURNAL!$C$5:$I$1115,4,0))</f>
        <v/>
      </c>
      <c r="E113" s="187" t="str">
        <f ca="1">IF($A113="","",VLOOKUP($A113,JOURNAL!$C$5:$I$1115,3,0))</f>
        <v/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200" t="str">
        <f t="shared" ca="1" si="0"/>
        <v/>
      </c>
      <c r="B114" s="201" t="str">
        <f ca="1">IF($A114="","",VLOOKUP($A114,JOURNAL!$C$5:$I$1115,5,0))</f>
        <v/>
      </c>
      <c r="C114" s="202" t="str">
        <f ca="1">IF($A114="","",VLOOKUP($A114,JOURNAL!$C$5:$I$1115,2,0))</f>
        <v/>
      </c>
      <c r="D114" s="201" t="str">
        <f ca="1">IF($A114="","",VLOOKUP($A114,JOURNAL!$C$5:$I$1115,4,0))</f>
        <v/>
      </c>
      <c r="E114" s="187" t="str">
        <f ca="1">IF($A114="","",VLOOKUP($A114,JOURNAL!$C$5:$I$1115,3,0))</f>
        <v/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200" t="str">
        <f t="shared" ca="1" si="0"/>
        <v/>
      </c>
      <c r="B115" s="201" t="str">
        <f ca="1">IF($A115="","",VLOOKUP($A115,JOURNAL!$C$5:$I$1115,5,0))</f>
        <v/>
      </c>
      <c r="C115" s="202" t="str">
        <f ca="1">IF($A115="","",VLOOKUP($A115,JOURNAL!$C$5:$I$1115,2,0))</f>
        <v/>
      </c>
      <c r="D115" s="201" t="str">
        <f ca="1">IF($A115="","",VLOOKUP($A115,JOURNAL!$C$5:$I$1115,4,0))</f>
        <v/>
      </c>
      <c r="E115" s="187" t="str">
        <f ca="1">IF($A115="","",VLOOKUP($A115,JOURNAL!$C$5:$I$1115,3,0))</f>
        <v/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200" t="str">
        <f t="shared" ca="1" si="0"/>
        <v/>
      </c>
      <c r="B116" s="201" t="str">
        <f ca="1">IF($A116="","",VLOOKUP($A116,JOURNAL!$C$5:$I$1115,5,0))</f>
        <v/>
      </c>
      <c r="C116" s="202" t="str">
        <f ca="1">IF($A116="","",VLOOKUP($A116,JOURNAL!$C$5:$I$1115,2,0))</f>
        <v/>
      </c>
      <c r="D116" s="201" t="str">
        <f ca="1">IF($A116="","",VLOOKUP($A116,JOURNAL!$C$5:$I$1115,4,0))</f>
        <v/>
      </c>
      <c r="E116" s="187" t="str">
        <f ca="1">IF($A116="","",VLOOKUP($A116,JOURNAL!$C$5:$I$1115,3,0))</f>
        <v/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200" t="str">
        <f t="shared" ca="1" si="0"/>
        <v/>
      </c>
      <c r="B117" s="201" t="str">
        <f ca="1">IF($A117="","",VLOOKUP($A117,JOURNAL!$C$5:$I$1115,5,0))</f>
        <v/>
      </c>
      <c r="C117" s="202" t="str">
        <f ca="1">IF($A117="","",VLOOKUP($A117,JOURNAL!$C$5:$I$1115,2,0))</f>
        <v/>
      </c>
      <c r="D117" s="201" t="str">
        <f ca="1">IF($A117="","",VLOOKUP($A117,JOURNAL!$C$5:$I$1115,4,0))</f>
        <v/>
      </c>
      <c r="E117" s="187" t="str">
        <f ca="1">IF($A117="","",VLOOKUP($A117,JOURNAL!$C$5:$I$1115,3,0))</f>
        <v/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200" t="str">
        <f t="shared" ca="1" si="0"/>
        <v/>
      </c>
      <c r="B118" s="201" t="str">
        <f ca="1">IF($A118="","",VLOOKUP($A118,JOURNAL!$C$5:$I$1115,5,0))</f>
        <v/>
      </c>
      <c r="C118" s="202" t="str">
        <f ca="1">IF($A118="","",VLOOKUP($A118,JOURNAL!$C$5:$I$1115,2,0))</f>
        <v/>
      </c>
      <c r="D118" s="201" t="str">
        <f ca="1">IF($A118="","",VLOOKUP($A118,JOURNAL!$C$5:$I$1115,4,0))</f>
        <v/>
      </c>
      <c r="E118" s="187" t="str">
        <f ca="1">IF($A118="","",VLOOKUP($A118,JOURNAL!$C$5:$I$1115,3,0))</f>
        <v/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200" t="str">
        <f t="shared" ca="1" si="0"/>
        <v/>
      </c>
      <c r="B119" s="201" t="str">
        <f ca="1">IF($A119="","",VLOOKUP($A119,JOURNAL!$C$5:$I$1115,5,0))</f>
        <v/>
      </c>
      <c r="C119" s="202" t="str">
        <f ca="1">IF($A119="","",VLOOKUP($A119,JOURNAL!$C$5:$I$1115,2,0))</f>
        <v/>
      </c>
      <c r="D119" s="201" t="str">
        <f ca="1">IF($A119="","",VLOOKUP($A119,JOURNAL!$C$5:$I$1115,4,0))</f>
        <v/>
      </c>
      <c r="E119" s="187" t="str">
        <f ca="1">IF($A119="","",VLOOKUP($A119,JOURNAL!$C$5:$I$1115,3,0))</f>
        <v/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200" t="str">
        <f t="shared" ca="1" si="0"/>
        <v/>
      </c>
      <c r="B120" s="201" t="str">
        <f ca="1">IF($A120="","",VLOOKUP($A120,JOURNAL!$C$5:$I$1115,5,0))</f>
        <v/>
      </c>
      <c r="C120" s="202" t="str">
        <f ca="1">IF($A120="","",VLOOKUP($A120,JOURNAL!$C$5:$I$1115,2,0))</f>
        <v/>
      </c>
      <c r="D120" s="201" t="str">
        <f ca="1">IF($A120="","",VLOOKUP($A120,JOURNAL!$C$5:$I$1115,4,0))</f>
        <v/>
      </c>
      <c r="E120" s="187" t="str">
        <f ca="1">IF($A120="","",VLOOKUP($A120,JOURNAL!$C$5:$I$1115,3,0))</f>
        <v/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200" t="str">
        <f t="shared" ref="A121:A173" ca="1" si="1">IF(A120="","",IF(ISNA(VLOOKUP($A$1&amp;" / "&amp;$A$42,INDIRECT(ADDRESS(A120+5,2,1,,"JOURNAL")&amp;":G700"),2,0)),"",VLOOKUP($A$1&amp;" / "&amp;$A$42,INDIRECT(ADDRESS(A120+5,2,1,,"JOURNAL")&amp;":G700"),2,0)))</f>
        <v/>
      </c>
      <c r="B121" s="201" t="str">
        <f ca="1">IF($A121="","",VLOOKUP($A121,JOURNAL!$C$5:$I$1115,5,0))</f>
        <v/>
      </c>
      <c r="C121" s="202" t="str">
        <f ca="1">IF($A121="","",VLOOKUP($A121,JOURNAL!$C$5:$I$1115,2,0))</f>
        <v/>
      </c>
      <c r="D121" s="201" t="str">
        <f ca="1">IF($A121="","",VLOOKUP($A121,JOURNAL!$C$5:$I$1115,4,0))</f>
        <v/>
      </c>
      <c r="E121" s="187" t="str">
        <f ca="1">IF($A121="","",VLOOKUP($A121,JOURNAL!$C$5:$I$1115,3,0))</f>
        <v/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200" t="str">
        <f t="shared" ca="1" si="1"/>
        <v/>
      </c>
      <c r="B122" s="201" t="str">
        <f ca="1">IF($A122="","",VLOOKUP($A122,JOURNAL!$C$5:$I$1115,5,0))</f>
        <v/>
      </c>
      <c r="C122" s="202" t="str">
        <f ca="1">IF($A122="","",VLOOKUP($A122,JOURNAL!$C$5:$I$1115,2,0))</f>
        <v/>
      </c>
      <c r="D122" s="201" t="str">
        <f ca="1">IF($A122="","",VLOOKUP($A122,JOURNAL!$C$5:$I$1115,4,0))</f>
        <v/>
      </c>
      <c r="E122" s="187" t="str">
        <f ca="1">IF($A122="","",VLOOKUP($A122,JOURNAL!$C$5:$I$1115,3,0))</f>
        <v/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200" t="str">
        <f t="shared" ca="1" si="1"/>
        <v/>
      </c>
      <c r="B123" s="201" t="str">
        <f ca="1">IF($A123="","",VLOOKUP($A123,JOURNAL!$C$5:$I$1115,5,0))</f>
        <v/>
      </c>
      <c r="C123" s="202" t="str">
        <f ca="1">IF($A123="","",VLOOKUP($A123,JOURNAL!$C$5:$I$1115,2,0))</f>
        <v/>
      </c>
      <c r="D123" s="201" t="str">
        <f ca="1">IF($A123="","",VLOOKUP($A123,JOURNAL!$C$5:$I$1115,4,0))</f>
        <v/>
      </c>
      <c r="E123" s="187" t="str">
        <f ca="1">IF($A123="","",VLOOKUP($A123,JOURNAL!$C$5:$I$1115,3,0))</f>
        <v/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200" t="str">
        <f t="shared" ca="1" si="1"/>
        <v/>
      </c>
      <c r="B124" s="201" t="str">
        <f ca="1">IF($A124="","",VLOOKUP($A124,JOURNAL!$C$5:$I$1115,5,0))</f>
        <v/>
      </c>
      <c r="C124" s="202" t="str">
        <f ca="1">IF($A124="","",VLOOKUP($A124,JOURNAL!$C$5:$I$1115,2,0))</f>
        <v/>
      </c>
      <c r="D124" s="201" t="str">
        <f ca="1">IF($A124="","",VLOOKUP($A124,JOURNAL!$C$5:$I$1115,4,0))</f>
        <v/>
      </c>
      <c r="E124" s="187" t="str">
        <f ca="1">IF($A124="","",VLOOKUP($A124,JOURNAL!$C$5:$I$1115,3,0))</f>
        <v/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200" t="str">
        <f t="shared" ca="1" si="1"/>
        <v/>
      </c>
      <c r="B125" s="201" t="str">
        <f ca="1">IF($A125="","",VLOOKUP($A125,JOURNAL!$C$5:$I$1115,5,0))</f>
        <v/>
      </c>
      <c r="C125" s="202" t="str">
        <f ca="1">IF($A125="","",VLOOKUP($A125,JOURNAL!$C$5:$I$1115,2,0))</f>
        <v/>
      </c>
      <c r="D125" s="201" t="str">
        <f ca="1">IF($A125="","",VLOOKUP($A125,JOURNAL!$C$5:$I$1115,4,0))</f>
        <v/>
      </c>
      <c r="E125" s="187" t="str">
        <f ca="1">IF($A125="","",VLOOKUP($A125,JOURNAL!$C$5:$I$1115,3,0))</f>
        <v/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200" t="str">
        <f t="shared" ca="1" si="1"/>
        <v/>
      </c>
      <c r="B126" s="201" t="str">
        <f ca="1">IF($A126="","",VLOOKUP($A126,JOURNAL!$C$5:$I$1115,5,0))</f>
        <v/>
      </c>
      <c r="C126" s="202" t="str">
        <f ca="1">IF($A126="","",VLOOKUP($A126,JOURNAL!$C$5:$I$1115,2,0))</f>
        <v/>
      </c>
      <c r="D126" s="201" t="str">
        <f ca="1">IF($A126="","",VLOOKUP($A126,JOURNAL!$C$5:$I$1115,4,0))</f>
        <v/>
      </c>
      <c r="E126" s="187" t="str">
        <f ca="1">IF($A126="","",VLOOKUP($A126,JOURNAL!$C$5:$I$1115,3,0))</f>
        <v/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200" t="str">
        <f t="shared" ca="1" si="1"/>
        <v/>
      </c>
      <c r="B127" s="201" t="str">
        <f ca="1">IF($A127="","",VLOOKUP($A127,JOURNAL!$C$5:$I$1115,5,0))</f>
        <v/>
      </c>
      <c r="C127" s="202" t="str">
        <f ca="1">IF($A127="","",VLOOKUP($A127,JOURNAL!$C$5:$I$1115,2,0))</f>
        <v/>
      </c>
      <c r="D127" s="201" t="str">
        <f ca="1">IF($A127="","",VLOOKUP($A127,JOURNAL!$C$5:$I$1115,4,0))</f>
        <v/>
      </c>
      <c r="E127" s="187" t="str">
        <f ca="1">IF($A127="","",VLOOKUP($A127,JOURNAL!$C$5:$I$1115,3,0))</f>
        <v/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200" t="str">
        <f t="shared" ca="1" si="1"/>
        <v/>
      </c>
      <c r="B128" s="201" t="str">
        <f ca="1">IF($A128="","",VLOOKUP($A128,JOURNAL!$C$5:$I$1115,5,0))</f>
        <v/>
      </c>
      <c r="C128" s="202" t="str">
        <f ca="1">IF($A128="","",VLOOKUP($A128,JOURNAL!$C$5:$I$1115,2,0))</f>
        <v/>
      </c>
      <c r="D128" s="201" t="str">
        <f ca="1">IF($A128="","",VLOOKUP($A128,JOURNAL!$C$5:$I$1115,4,0))</f>
        <v/>
      </c>
      <c r="E128" s="187" t="str">
        <f ca="1">IF($A128="","",VLOOKUP($A128,JOURNAL!$C$5:$I$1115,3,0))</f>
        <v/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200" t="str">
        <f t="shared" ca="1" si="1"/>
        <v/>
      </c>
      <c r="B129" s="201" t="str">
        <f ca="1">IF($A129="","",VLOOKUP($A129,JOURNAL!$C$5:$I$1115,5,0))</f>
        <v/>
      </c>
      <c r="C129" s="202" t="str">
        <f ca="1">IF($A129="","",VLOOKUP($A129,JOURNAL!$C$5:$I$1115,2,0))</f>
        <v/>
      </c>
      <c r="D129" s="201" t="str">
        <f ca="1">IF($A129="","",VLOOKUP($A129,JOURNAL!$C$5:$I$1115,4,0))</f>
        <v/>
      </c>
      <c r="E129" s="187" t="str">
        <f ca="1">IF($A129="","",VLOOKUP($A129,JOURNAL!$C$5:$I$1115,3,0))</f>
        <v/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200" t="str">
        <f t="shared" ca="1" si="1"/>
        <v/>
      </c>
      <c r="B130" s="201" t="str">
        <f ca="1">IF($A130="","",VLOOKUP($A130,JOURNAL!$C$5:$I$1115,5,0))</f>
        <v/>
      </c>
      <c r="C130" s="202" t="str">
        <f ca="1">IF($A130="","",VLOOKUP($A130,JOURNAL!$C$5:$I$1115,2,0))</f>
        <v/>
      </c>
      <c r="D130" s="201" t="str">
        <f ca="1">IF($A130="","",VLOOKUP($A130,JOURNAL!$C$5:$I$1115,4,0))</f>
        <v/>
      </c>
      <c r="E130" s="187" t="str">
        <f ca="1">IF($A130="","",VLOOKUP($A130,JOURNAL!$C$5:$I$1115,3,0))</f>
        <v/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200" t="str">
        <f t="shared" ca="1" si="1"/>
        <v/>
      </c>
      <c r="B131" s="201" t="str">
        <f ca="1">IF($A131="","",VLOOKUP($A131,JOURNAL!$C$5:$I$1115,5,0))</f>
        <v/>
      </c>
      <c r="C131" s="202" t="str">
        <f ca="1">IF($A131="","",VLOOKUP($A131,JOURNAL!$C$5:$I$1115,2,0))</f>
        <v/>
      </c>
      <c r="D131" s="201" t="str">
        <f ca="1">IF($A131="","",VLOOKUP($A131,JOURNAL!$C$5:$I$1115,4,0))</f>
        <v/>
      </c>
      <c r="E131" s="187" t="str">
        <f ca="1">IF($A131="","",VLOOKUP($A131,JOURNAL!$C$5:$I$1115,3,0))</f>
        <v/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200" t="str">
        <f t="shared" ca="1" si="1"/>
        <v/>
      </c>
      <c r="B132" s="201" t="str">
        <f ca="1">IF($A132="","",VLOOKUP($A132,JOURNAL!$C$5:$I$1115,5,0))</f>
        <v/>
      </c>
      <c r="C132" s="202" t="str">
        <f ca="1">IF($A132="","",VLOOKUP($A132,JOURNAL!$C$5:$I$1115,2,0))</f>
        <v/>
      </c>
      <c r="D132" s="201" t="str">
        <f ca="1">IF($A132="","",VLOOKUP($A132,JOURNAL!$C$5:$I$1115,4,0))</f>
        <v/>
      </c>
      <c r="E132" s="187" t="str">
        <f ca="1">IF($A132="","",VLOOKUP($A132,JOURNAL!$C$5:$I$1115,3,0))</f>
        <v/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200" t="str">
        <f t="shared" ca="1" si="1"/>
        <v/>
      </c>
      <c r="B133" s="201" t="str">
        <f ca="1">IF($A133="","",VLOOKUP($A133,JOURNAL!$C$5:$I$1115,5,0))</f>
        <v/>
      </c>
      <c r="C133" s="202" t="str">
        <f ca="1">IF($A133="","",VLOOKUP($A133,JOURNAL!$C$5:$I$1115,2,0))</f>
        <v/>
      </c>
      <c r="D133" s="201" t="str">
        <f ca="1">IF($A133="","",VLOOKUP($A133,JOURNAL!$C$5:$I$1115,4,0))</f>
        <v/>
      </c>
      <c r="E133" s="187" t="str">
        <f ca="1">IF($A133="","",VLOOKUP($A133,JOURNAL!$C$5:$I$1115,3,0))</f>
        <v/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200" t="str">
        <f t="shared" ca="1" si="1"/>
        <v/>
      </c>
      <c r="B134" s="201" t="str">
        <f ca="1">IF($A134="","",VLOOKUP($A134,JOURNAL!$C$5:$I$1115,5,0))</f>
        <v/>
      </c>
      <c r="C134" s="202" t="str">
        <f ca="1">IF($A134="","",VLOOKUP($A134,JOURNAL!$C$5:$I$1115,2,0))</f>
        <v/>
      </c>
      <c r="D134" s="201" t="str">
        <f ca="1">IF($A134="","",VLOOKUP($A134,JOURNAL!$C$5:$I$1115,4,0))</f>
        <v/>
      </c>
      <c r="E134" s="187" t="str">
        <f ca="1">IF($A134="","",VLOOKUP($A134,JOURNAL!$C$5:$I$1115,3,0))</f>
        <v/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200" t="str">
        <f t="shared" ca="1" si="1"/>
        <v/>
      </c>
      <c r="B135" s="201" t="str">
        <f ca="1">IF($A135="","",VLOOKUP($A135,JOURNAL!$C$5:$I$1115,5,0))</f>
        <v/>
      </c>
      <c r="C135" s="202" t="str">
        <f ca="1">IF($A135="","",VLOOKUP($A135,JOURNAL!$C$5:$I$1115,2,0))</f>
        <v/>
      </c>
      <c r="D135" s="201" t="str">
        <f ca="1">IF($A135="","",VLOOKUP($A135,JOURNAL!$C$5:$I$1115,4,0))</f>
        <v/>
      </c>
      <c r="E135" s="187" t="str">
        <f ca="1">IF($A135="","",VLOOKUP($A135,JOURNAL!$C$5:$I$1115,3,0))</f>
        <v/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200" t="str">
        <f t="shared" ca="1" si="1"/>
        <v/>
      </c>
      <c r="B136" s="201" t="str">
        <f ca="1">IF($A136="","",VLOOKUP($A136,JOURNAL!$C$5:$I$1115,5,0))</f>
        <v/>
      </c>
      <c r="C136" s="202" t="str">
        <f ca="1">IF($A136="","",VLOOKUP($A136,JOURNAL!$C$5:$I$1115,2,0))</f>
        <v/>
      </c>
      <c r="D136" s="201" t="str">
        <f ca="1">IF($A136="","",VLOOKUP($A136,JOURNAL!$C$5:$I$1115,4,0))</f>
        <v/>
      </c>
      <c r="E136" s="187" t="str">
        <f ca="1">IF($A136="","",VLOOKUP($A136,JOURNAL!$C$5:$I$1115,3,0))</f>
        <v/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200" t="str">
        <f t="shared" ca="1" si="1"/>
        <v/>
      </c>
      <c r="B137" s="201" t="str">
        <f ca="1">IF($A137="","",VLOOKUP($A137,JOURNAL!$C$5:$I$1115,5,0))</f>
        <v/>
      </c>
      <c r="C137" s="202" t="str">
        <f ca="1">IF($A137="","",VLOOKUP($A137,JOURNAL!$C$5:$I$1115,2,0))</f>
        <v/>
      </c>
      <c r="D137" s="201" t="str">
        <f ca="1">IF($A137="","",VLOOKUP($A137,JOURNAL!$C$5:$I$1115,4,0))</f>
        <v/>
      </c>
      <c r="E137" s="187" t="str">
        <f ca="1">IF($A137="","",VLOOKUP($A137,JOURNAL!$C$5:$I$1115,3,0))</f>
        <v/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200" t="str">
        <f t="shared" ca="1" si="1"/>
        <v/>
      </c>
      <c r="B138" s="201" t="str">
        <f ca="1">IF($A138="","",VLOOKUP($A138,JOURNAL!$C$5:$I$1115,5,0))</f>
        <v/>
      </c>
      <c r="C138" s="202" t="str">
        <f ca="1">IF($A138="","",VLOOKUP($A138,JOURNAL!$C$5:$I$1115,2,0))</f>
        <v/>
      </c>
      <c r="D138" s="201" t="str">
        <f ca="1">IF($A138="","",VLOOKUP($A138,JOURNAL!$C$5:$I$1115,4,0))</f>
        <v/>
      </c>
      <c r="E138" s="187" t="str">
        <f ca="1">IF($A138="","",VLOOKUP($A138,JOURNAL!$C$5:$I$1115,3,0))</f>
        <v/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200" t="str">
        <f t="shared" ca="1" si="1"/>
        <v/>
      </c>
      <c r="B139" s="201" t="str">
        <f ca="1">IF($A139="","",VLOOKUP($A139,JOURNAL!$C$5:$I$1115,5,0))</f>
        <v/>
      </c>
      <c r="C139" s="202" t="str">
        <f ca="1">IF($A139="","",VLOOKUP($A139,JOURNAL!$C$5:$I$1115,2,0))</f>
        <v/>
      </c>
      <c r="D139" s="201" t="str">
        <f ca="1">IF($A139="","",VLOOKUP($A139,JOURNAL!$C$5:$I$1115,4,0))</f>
        <v/>
      </c>
      <c r="E139" s="187" t="str">
        <f ca="1">IF($A139="","",VLOOKUP($A139,JOURNAL!$C$5:$I$1115,3,0))</f>
        <v/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200" t="str">
        <f t="shared" ca="1" si="1"/>
        <v/>
      </c>
      <c r="B140" s="201" t="str">
        <f ca="1">IF($A140="","",VLOOKUP($A140,JOURNAL!$C$5:$I$1115,5,0))</f>
        <v/>
      </c>
      <c r="C140" s="202" t="str">
        <f ca="1">IF($A140="","",VLOOKUP($A140,JOURNAL!$C$5:$I$1115,2,0))</f>
        <v/>
      </c>
      <c r="D140" s="201" t="str">
        <f ca="1">IF($A140="","",VLOOKUP($A140,JOURNAL!$C$5:$I$1115,4,0))</f>
        <v/>
      </c>
      <c r="E140" s="187" t="str">
        <f ca="1">IF($A140="","",VLOOKUP($A140,JOURNAL!$C$5:$I$1115,3,0))</f>
        <v/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200" t="str">
        <f t="shared" ca="1" si="1"/>
        <v/>
      </c>
      <c r="B141" s="201" t="str">
        <f ca="1">IF($A141="","",VLOOKUP($A141,JOURNAL!$C$5:$I$1115,5,0))</f>
        <v/>
      </c>
      <c r="C141" s="202" t="str">
        <f ca="1">IF($A141="","",VLOOKUP($A141,JOURNAL!$C$5:$I$1115,2,0))</f>
        <v/>
      </c>
      <c r="D141" s="201" t="str">
        <f ca="1">IF($A141="","",VLOOKUP($A141,JOURNAL!$C$5:$I$1115,4,0))</f>
        <v/>
      </c>
      <c r="E141" s="187" t="str">
        <f ca="1">IF($A141="","",VLOOKUP($A141,JOURNAL!$C$5:$I$1115,3,0))</f>
        <v/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200" t="str">
        <f t="shared" ca="1" si="1"/>
        <v/>
      </c>
      <c r="B142" s="201" t="str">
        <f ca="1">IF($A142="","",VLOOKUP($A142,JOURNAL!$C$5:$I$1115,5,0))</f>
        <v/>
      </c>
      <c r="C142" s="202" t="str">
        <f ca="1">IF($A142="","",VLOOKUP($A142,JOURNAL!$C$5:$I$1115,2,0))</f>
        <v/>
      </c>
      <c r="D142" s="201" t="str">
        <f ca="1">IF($A142="","",VLOOKUP($A142,JOURNAL!$C$5:$I$1115,4,0))</f>
        <v/>
      </c>
      <c r="E142" s="187" t="str">
        <f ca="1">IF($A142="","",VLOOKUP($A142,JOURNAL!$C$5:$I$1115,3,0))</f>
        <v/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200" t="str">
        <f t="shared" ca="1" si="1"/>
        <v/>
      </c>
      <c r="B143" s="201" t="str">
        <f ca="1">IF($A143="","",VLOOKUP($A143,JOURNAL!$C$5:$I$1115,5,0))</f>
        <v/>
      </c>
      <c r="C143" s="202" t="str">
        <f ca="1">IF($A143="","",VLOOKUP($A143,JOURNAL!$C$5:$I$1115,2,0))</f>
        <v/>
      </c>
      <c r="D143" s="201" t="str">
        <f ca="1">IF($A143="","",VLOOKUP($A143,JOURNAL!$C$5:$I$1115,4,0))</f>
        <v/>
      </c>
      <c r="E143" s="187" t="str">
        <f ca="1">IF($A143="","",VLOOKUP($A143,JOURNAL!$C$5:$I$1115,3,0))</f>
        <v/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200" t="str">
        <f t="shared" ca="1" si="1"/>
        <v/>
      </c>
      <c r="B144" s="201" t="str">
        <f ca="1">IF($A144="","",VLOOKUP($A144,JOURNAL!$C$5:$I$1115,5,0))</f>
        <v/>
      </c>
      <c r="C144" s="202" t="str">
        <f ca="1">IF($A144="","",VLOOKUP($A144,JOURNAL!$C$5:$I$1115,2,0))</f>
        <v/>
      </c>
      <c r="D144" s="201" t="str">
        <f ca="1">IF($A144="","",VLOOKUP($A144,JOURNAL!$C$5:$I$1115,4,0))</f>
        <v/>
      </c>
      <c r="E144" s="187" t="str">
        <f ca="1">IF($A144="","",VLOOKUP($A144,JOURNAL!$C$5:$I$1115,3,0))</f>
        <v/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200" t="str">
        <f t="shared" ca="1" si="1"/>
        <v/>
      </c>
      <c r="B145" s="201" t="str">
        <f ca="1">IF($A145="","",VLOOKUP($A145,JOURNAL!$C$5:$I$1115,5,0))</f>
        <v/>
      </c>
      <c r="C145" s="202" t="str">
        <f ca="1">IF($A145="","",VLOOKUP($A145,JOURNAL!$C$5:$I$1115,2,0))</f>
        <v/>
      </c>
      <c r="D145" s="201" t="str">
        <f ca="1">IF($A145="","",VLOOKUP($A145,JOURNAL!$C$5:$I$1115,4,0))</f>
        <v/>
      </c>
      <c r="E145" s="187" t="str">
        <f ca="1">IF($A145="","",VLOOKUP($A145,JOURNAL!$C$5:$I$1115,3,0))</f>
        <v/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200" t="str">
        <f t="shared" ca="1" si="1"/>
        <v/>
      </c>
      <c r="B146" s="201" t="str">
        <f ca="1">IF($A146="","",VLOOKUP($A146,JOURNAL!$C$5:$I$1115,5,0))</f>
        <v/>
      </c>
      <c r="C146" s="202" t="str">
        <f ca="1">IF($A146="","",VLOOKUP($A146,JOURNAL!$C$5:$I$1115,2,0))</f>
        <v/>
      </c>
      <c r="D146" s="201" t="str">
        <f ca="1">IF($A146="","",VLOOKUP($A146,JOURNAL!$C$5:$I$1115,4,0))</f>
        <v/>
      </c>
      <c r="E146" s="187" t="str">
        <f ca="1">IF($A146="","",VLOOKUP($A146,JOURNAL!$C$5:$I$1115,3,0))</f>
        <v/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200" t="str">
        <f t="shared" ca="1" si="1"/>
        <v/>
      </c>
      <c r="B147" s="201" t="str">
        <f ca="1">IF($A147="","",VLOOKUP($A147,JOURNAL!$C$5:$I$1115,5,0))</f>
        <v/>
      </c>
      <c r="C147" s="202" t="str">
        <f ca="1">IF($A147="","",VLOOKUP($A147,JOURNAL!$C$5:$I$1115,2,0))</f>
        <v/>
      </c>
      <c r="D147" s="201" t="str">
        <f ca="1">IF($A147="","",VLOOKUP($A147,JOURNAL!$C$5:$I$1115,4,0))</f>
        <v/>
      </c>
      <c r="E147" s="187" t="str">
        <f ca="1">IF($A147="","",VLOOKUP($A147,JOURNAL!$C$5:$I$1115,3,0))</f>
        <v/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200" t="str">
        <f t="shared" ca="1" si="1"/>
        <v/>
      </c>
      <c r="B148" s="201" t="str">
        <f ca="1">IF($A148="","",VLOOKUP($A148,JOURNAL!$C$5:$I$1115,5,0))</f>
        <v/>
      </c>
      <c r="C148" s="202" t="str">
        <f ca="1">IF($A148="","",VLOOKUP($A148,JOURNAL!$C$5:$I$1115,2,0))</f>
        <v/>
      </c>
      <c r="D148" s="201" t="str">
        <f ca="1">IF($A148="","",VLOOKUP($A148,JOURNAL!$C$5:$I$1115,4,0))</f>
        <v/>
      </c>
      <c r="E148" s="187" t="str">
        <f ca="1">IF($A148="","",VLOOKUP($A148,JOURNAL!$C$5:$I$1115,3,0))</f>
        <v/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200" t="str">
        <f t="shared" ca="1" si="1"/>
        <v/>
      </c>
      <c r="B149" s="201" t="str">
        <f ca="1">IF($A149="","",VLOOKUP($A149,JOURNAL!$C$5:$I$1115,5,0))</f>
        <v/>
      </c>
      <c r="C149" s="202" t="str">
        <f ca="1">IF($A149="","",VLOOKUP($A149,JOURNAL!$C$5:$I$1115,2,0))</f>
        <v/>
      </c>
      <c r="D149" s="201" t="str">
        <f ca="1">IF($A149="","",VLOOKUP($A149,JOURNAL!$C$5:$I$1115,4,0))</f>
        <v/>
      </c>
      <c r="E149" s="187" t="str">
        <f ca="1">IF($A149="","",VLOOKUP($A149,JOURNAL!$C$5:$I$1115,3,0))</f>
        <v/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200" t="str">
        <f t="shared" ca="1" si="1"/>
        <v/>
      </c>
      <c r="B150" s="201" t="str">
        <f ca="1">IF($A150="","",VLOOKUP($A150,JOURNAL!$C$5:$I$1115,5,0))</f>
        <v/>
      </c>
      <c r="C150" s="202" t="str">
        <f ca="1">IF($A150="","",VLOOKUP($A150,JOURNAL!$C$5:$I$1115,2,0))</f>
        <v/>
      </c>
      <c r="D150" s="201" t="str">
        <f ca="1">IF($A150="","",VLOOKUP($A150,JOURNAL!$C$5:$I$1115,4,0))</f>
        <v/>
      </c>
      <c r="E150" s="187" t="str">
        <f ca="1">IF($A150="","",VLOOKUP($A150,JOURNAL!$C$5:$I$1115,3,0))</f>
        <v/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200" t="str">
        <f t="shared" ca="1" si="1"/>
        <v/>
      </c>
      <c r="B151" s="201" t="str">
        <f ca="1">IF($A151="","",VLOOKUP($A151,JOURNAL!$C$5:$I$1115,5,0))</f>
        <v/>
      </c>
      <c r="C151" s="202" t="str">
        <f ca="1">IF($A151="","",VLOOKUP($A151,JOURNAL!$C$5:$I$1115,2,0))</f>
        <v/>
      </c>
      <c r="D151" s="201" t="str">
        <f ca="1">IF($A151="","",VLOOKUP($A151,JOURNAL!$C$5:$I$1115,4,0))</f>
        <v/>
      </c>
      <c r="E151" s="187" t="str">
        <f ca="1">IF($A151="","",VLOOKUP($A151,JOURNAL!$C$5:$I$1115,3,0))</f>
        <v/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200" t="str">
        <f t="shared" ca="1" si="1"/>
        <v/>
      </c>
      <c r="B152" s="201" t="str">
        <f ca="1">IF($A152="","",VLOOKUP($A152,JOURNAL!$C$5:$I$1115,5,0))</f>
        <v/>
      </c>
      <c r="C152" s="202" t="str">
        <f ca="1">IF($A152="","",VLOOKUP($A152,JOURNAL!$C$5:$I$1115,2,0))</f>
        <v/>
      </c>
      <c r="D152" s="201" t="str">
        <f ca="1">IF($A152="","",VLOOKUP($A152,JOURNAL!$C$5:$I$1115,4,0))</f>
        <v/>
      </c>
      <c r="E152" s="187" t="str">
        <f ca="1">IF($A152="","",VLOOKUP($A152,JOURNAL!$C$5:$I$1115,3,0))</f>
        <v/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200" t="str">
        <f t="shared" ca="1" si="1"/>
        <v/>
      </c>
      <c r="B153" s="201" t="str">
        <f ca="1">IF($A153="","",VLOOKUP($A153,JOURNAL!$C$5:$I$1115,5,0))</f>
        <v/>
      </c>
      <c r="C153" s="202" t="str">
        <f ca="1">IF($A153="","",VLOOKUP($A153,JOURNAL!$C$5:$I$1115,2,0))</f>
        <v/>
      </c>
      <c r="D153" s="201" t="str">
        <f ca="1">IF($A153="","",VLOOKUP($A153,JOURNAL!$C$5:$I$1115,4,0))</f>
        <v/>
      </c>
      <c r="E153" s="187" t="str">
        <f ca="1">IF($A153="","",VLOOKUP($A153,JOURNAL!$C$5:$I$1115,3,0))</f>
        <v/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200" t="str">
        <f t="shared" ca="1" si="1"/>
        <v/>
      </c>
      <c r="B154" s="201" t="str">
        <f ca="1">IF($A154="","",VLOOKUP($A154,JOURNAL!$C$5:$I$1115,5,0))</f>
        <v/>
      </c>
      <c r="C154" s="202" t="str">
        <f ca="1">IF($A154="","",VLOOKUP($A154,JOURNAL!$C$5:$I$1115,2,0))</f>
        <v/>
      </c>
      <c r="D154" s="201" t="str">
        <f ca="1">IF($A154="","",VLOOKUP($A154,JOURNAL!$C$5:$I$1115,4,0))</f>
        <v/>
      </c>
      <c r="E154" s="187" t="str">
        <f ca="1">IF($A154="","",VLOOKUP($A154,JOURNAL!$C$5:$I$1115,3,0))</f>
        <v/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200" t="str">
        <f t="shared" ca="1" si="1"/>
        <v/>
      </c>
      <c r="B155" s="201" t="str">
        <f ca="1">IF($A155="","",VLOOKUP($A155,JOURNAL!$C$5:$I$1115,5,0))</f>
        <v/>
      </c>
      <c r="C155" s="202" t="str">
        <f ca="1">IF($A155="","",VLOOKUP($A155,JOURNAL!$C$5:$I$1115,2,0))</f>
        <v/>
      </c>
      <c r="D155" s="201" t="str">
        <f ca="1">IF($A155="","",VLOOKUP($A155,JOURNAL!$C$5:$I$1115,4,0))</f>
        <v/>
      </c>
      <c r="E155" s="187" t="str">
        <f ca="1">IF($A155="","",VLOOKUP($A155,JOURNAL!$C$5:$I$1115,3,0))</f>
        <v/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200" t="str">
        <f t="shared" ca="1" si="1"/>
        <v/>
      </c>
      <c r="B156" s="201" t="str">
        <f ca="1">IF($A156="","",VLOOKUP($A156,JOURNAL!$C$5:$I$1115,5,0))</f>
        <v/>
      </c>
      <c r="C156" s="202" t="str">
        <f ca="1">IF($A156="","",VLOOKUP($A156,JOURNAL!$C$5:$I$1115,2,0))</f>
        <v/>
      </c>
      <c r="D156" s="201" t="str">
        <f ca="1">IF($A156="","",VLOOKUP($A156,JOURNAL!$C$5:$I$1115,4,0))</f>
        <v/>
      </c>
      <c r="E156" s="187" t="str">
        <f ca="1">IF($A156="","",VLOOKUP($A156,JOURNAL!$C$5:$I$1115,3,0))</f>
        <v/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200" t="str">
        <f t="shared" ca="1" si="1"/>
        <v/>
      </c>
      <c r="B157" s="201" t="str">
        <f ca="1">IF($A157="","",VLOOKUP($A157,JOURNAL!$C$5:$I$1115,5,0))</f>
        <v/>
      </c>
      <c r="C157" s="202" t="str">
        <f ca="1">IF($A157="","",VLOOKUP($A157,JOURNAL!$C$5:$I$1115,2,0))</f>
        <v/>
      </c>
      <c r="D157" s="201" t="str">
        <f ca="1">IF($A157="","",VLOOKUP($A157,JOURNAL!$C$5:$I$1115,4,0))</f>
        <v/>
      </c>
      <c r="E157" s="187" t="str">
        <f ca="1">IF($A157="","",VLOOKUP($A157,JOURNAL!$C$5:$I$1115,3,0))</f>
        <v/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200" t="str">
        <f t="shared" ca="1" si="1"/>
        <v/>
      </c>
      <c r="B158" s="201" t="str">
        <f ca="1">IF($A158="","",VLOOKUP($A158,JOURNAL!$C$5:$I$1115,5,0))</f>
        <v/>
      </c>
      <c r="C158" s="202" t="str">
        <f ca="1">IF($A158="","",VLOOKUP($A158,JOURNAL!$C$5:$I$1115,2,0))</f>
        <v/>
      </c>
      <c r="D158" s="201" t="str">
        <f ca="1">IF($A158="","",VLOOKUP($A158,JOURNAL!$C$5:$I$1115,4,0))</f>
        <v/>
      </c>
      <c r="E158" s="187" t="str">
        <f ca="1">IF($A158="","",VLOOKUP($A158,JOURNAL!$C$5:$I$1115,3,0))</f>
        <v/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200" t="str">
        <f t="shared" ca="1" si="1"/>
        <v/>
      </c>
      <c r="B159" s="201" t="str">
        <f ca="1">IF($A159="","",VLOOKUP($A159,JOURNAL!$C$5:$I$1115,5,0))</f>
        <v/>
      </c>
      <c r="C159" s="202" t="str">
        <f ca="1">IF($A159="","",VLOOKUP($A159,JOURNAL!$C$5:$I$1115,2,0))</f>
        <v/>
      </c>
      <c r="D159" s="201" t="str">
        <f ca="1">IF($A159="","",VLOOKUP($A159,JOURNAL!$C$5:$I$1115,4,0))</f>
        <v/>
      </c>
      <c r="E159" s="187" t="str">
        <f ca="1">IF($A159="","",VLOOKUP($A159,JOURNAL!$C$5:$I$1115,3,0))</f>
        <v/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200" t="str">
        <f t="shared" ca="1" si="1"/>
        <v/>
      </c>
      <c r="B160" s="201" t="str">
        <f ca="1">IF($A160="","",VLOOKUP($A160,JOURNAL!$C$5:$I$1115,5,0))</f>
        <v/>
      </c>
      <c r="C160" s="202" t="str">
        <f ca="1">IF($A160="","",VLOOKUP($A160,JOURNAL!$C$5:$I$1115,2,0))</f>
        <v/>
      </c>
      <c r="D160" s="201" t="str">
        <f ca="1">IF($A160="","",VLOOKUP($A160,JOURNAL!$C$5:$I$1115,4,0))</f>
        <v/>
      </c>
      <c r="E160" s="187" t="str">
        <f ca="1">IF($A160="","",VLOOKUP($A160,JOURNAL!$C$5:$I$1115,3,0))</f>
        <v/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200" t="str">
        <f t="shared" ca="1" si="1"/>
        <v/>
      </c>
      <c r="B161" s="201" t="str">
        <f ca="1">IF($A161="","",VLOOKUP($A161,JOURNAL!$C$5:$I$1115,5,0))</f>
        <v/>
      </c>
      <c r="C161" s="202" t="str">
        <f ca="1">IF($A161="","",VLOOKUP($A161,JOURNAL!$C$5:$I$1115,2,0))</f>
        <v/>
      </c>
      <c r="D161" s="201" t="str">
        <f ca="1">IF($A161="","",VLOOKUP($A161,JOURNAL!$C$5:$I$1115,4,0))</f>
        <v/>
      </c>
      <c r="E161" s="187" t="str">
        <f ca="1">IF($A161="","",VLOOKUP($A161,JOURNAL!$C$5:$I$1115,3,0))</f>
        <v/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200" t="str">
        <f t="shared" ca="1" si="1"/>
        <v/>
      </c>
      <c r="B162" s="201" t="str">
        <f ca="1">IF($A162="","",VLOOKUP($A162,JOURNAL!$C$5:$I$1115,5,0))</f>
        <v/>
      </c>
      <c r="C162" s="202" t="str">
        <f ca="1">IF($A162="","",VLOOKUP($A162,JOURNAL!$C$5:$I$1115,2,0))</f>
        <v/>
      </c>
      <c r="D162" s="201" t="str">
        <f ca="1">IF($A162="","",VLOOKUP($A162,JOURNAL!$C$5:$I$1115,4,0))</f>
        <v/>
      </c>
      <c r="E162" s="187" t="str">
        <f ca="1">IF($A162="","",VLOOKUP($A162,JOURNAL!$C$5:$I$1115,3,0))</f>
        <v/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200" t="str">
        <f t="shared" ca="1" si="1"/>
        <v/>
      </c>
      <c r="B163" s="201" t="str">
        <f ca="1">IF($A163="","",VLOOKUP($A163,JOURNAL!$C$5:$I$1115,5,0))</f>
        <v/>
      </c>
      <c r="C163" s="202" t="str">
        <f ca="1">IF($A163="","",VLOOKUP($A163,JOURNAL!$C$5:$I$1115,2,0))</f>
        <v/>
      </c>
      <c r="D163" s="201" t="str">
        <f ca="1">IF($A163="","",VLOOKUP($A163,JOURNAL!$C$5:$I$1115,4,0))</f>
        <v/>
      </c>
      <c r="E163" s="187" t="str">
        <f ca="1">IF($A163="","",VLOOKUP($A163,JOURNAL!$C$5:$I$1115,3,0))</f>
        <v/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200" t="str">
        <f t="shared" ca="1" si="1"/>
        <v/>
      </c>
      <c r="B164" s="201" t="str">
        <f ca="1">IF($A164="","",VLOOKUP($A164,JOURNAL!$C$5:$I$1115,5,0))</f>
        <v/>
      </c>
      <c r="C164" s="202" t="str">
        <f ca="1">IF($A164="","",VLOOKUP($A164,JOURNAL!$C$5:$I$1115,2,0))</f>
        <v/>
      </c>
      <c r="D164" s="201" t="str">
        <f ca="1">IF($A164="","",VLOOKUP($A164,JOURNAL!$C$5:$I$1115,4,0))</f>
        <v/>
      </c>
      <c r="E164" s="187" t="str">
        <f ca="1">IF($A164="","",VLOOKUP($A164,JOURNAL!$C$5:$I$1115,3,0))</f>
        <v/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200" t="str">
        <f t="shared" ca="1" si="1"/>
        <v/>
      </c>
      <c r="B165" s="201" t="str">
        <f ca="1">IF($A165="","",VLOOKUP($A165,JOURNAL!$C$5:$I$1115,5,0))</f>
        <v/>
      </c>
      <c r="C165" s="202" t="str">
        <f ca="1">IF($A165="","",VLOOKUP($A165,JOURNAL!$C$5:$I$1115,2,0))</f>
        <v/>
      </c>
      <c r="D165" s="201" t="str">
        <f ca="1">IF($A165="","",VLOOKUP($A165,JOURNAL!$C$5:$I$1115,4,0))</f>
        <v/>
      </c>
      <c r="E165" s="187" t="str">
        <f ca="1">IF($A165="","",VLOOKUP($A165,JOURNAL!$C$5:$I$1115,3,0))</f>
        <v/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200" t="str">
        <f t="shared" ca="1" si="1"/>
        <v/>
      </c>
      <c r="B166" s="201" t="str">
        <f ca="1">IF($A166="","",VLOOKUP($A166,JOURNAL!$C$5:$I$1115,5,0))</f>
        <v/>
      </c>
      <c r="C166" s="202" t="str">
        <f ca="1">IF($A166="","",VLOOKUP($A166,JOURNAL!$C$5:$I$1115,2,0))</f>
        <v/>
      </c>
      <c r="D166" s="201" t="str">
        <f ca="1">IF($A166="","",VLOOKUP($A166,JOURNAL!$C$5:$I$1115,4,0))</f>
        <v/>
      </c>
      <c r="E166" s="187" t="str">
        <f ca="1">IF($A166="","",VLOOKUP($A166,JOURNAL!$C$5:$I$1115,3,0))</f>
        <v/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200" t="str">
        <f t="shared" ca="1" si="1"/>
        <v/>
      </c>
      <c r="B167" s="201" t="str">
        <f ca="1">IF($A167="","",VLOOKUP($A167,JOURNAL!$C$5:$I$1115,5,0))</f>
        <v/>
      </c>
      <c r="C167" s="202" t="str">
        <f ca="1">IF($A167="","",VLOOKUP($A167,JOURNAL!$C$5:$I$1115,2,0))</f>
        <v/>
      </c>
      <c r="D167" s="201" t="str">
        <f ca="1">IF($A167="","",VLOOKUP($A167,JOURNAL!$C$5:$I$1115,4,0))</f>
        <v/>
      </c>
      <c r="E167" s="187" t="str">
        <f ca="1">IF($A167="","",VLOOKUP($A167,JOURNAL!$C$5:$I$1115,3,0))</f>
        <v/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200" t="str">
        <f t="shared" ca="1" si="1"/>
        <v/>
      </c>
      <c r="B168" s="201" t="str">
        <f ca="1">IF($A168="","",VLOOKUP($A168,JOURNAL!$C$5:$I$1115,5,0))</f>
        <v/>
      </c>
      <c r="C168" s="202" t="str">
        <f ca="1">IF($A168="","",VLOOKUP($A168,JOURNAL!$C$5:$I$1115,2,0))</f>
        <v/>
      </c>
      <c r="D168" s="201" t="str">
        <f ca="1">IF($A168="","",VLOOKUP($A168,JOURNAL!$C$5:$I$1115,4,0))</f>
        <v/>
      </c>
      <c r="E168" s="187" t="str">
        <f ca="1">IF($A168="","",VLOOKUP($A168,JOURNAL!$C$5:$I$1115,3,0))</f>
        <v/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200" t="str">
        <f t="shared" ca="1" si="1"/>
        <v/>
      </c>
      <c r="B169" s="201" t="str">
        <f ca="1">IF($A169="","",VLOOKUP($A169,JOURNAL!$C$5:$I$1115,5,0))</f>
        <v/>
      </c>
      <c r="C169" s="202" t="str">
        <f ca="1">IF($A169="","",VLOOKUP($A169,JOURNAL!$C$5:$I$1115,2,0))</f>
        <v/>
      </c>
      <c r="D169" s="201" t="str">
        <f ca="1">IF($A169="","",VLOOKUP($A169,JOURNAL!$C$5:$I$1115,4,0))</f>
        <v/>
      </c>
      <c r="E169" s="187" t="str">
        <f ca="1">IF($A169="","",VLOOKUP($A169,JOURNAL!$C$5:$I$1115,3,0))</f>
        <v/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200" t="str">
        <f t="shared" ca="1" si="1"/>
        <v/>
      </c>
      <c r="B170" s="201" t="str">
        <f ca="1">IF($A170="","",VLOOKUP($A170,JOURNAL!$C$5:$I$1115,5,0))</f>
        <v/>
      </c>
      <c r="C170" s="202" t="str">
        <f ca="1">IF($A170="","",VLOOKUP($A170,JOURNAL!$C$5:$I$1115,2,0))</f>
        <v/>
      </c>
      <c r="D170" s="201" t="str">
        <f ca="1">IF($A170="","",VLOOKUP($A170,JOURNAL!$C$5:$I$1115,4,0))</f>
        <v/>
      </c>
      <c r="E170" s="187" t="str">
        <f ca="1">IF($A170="","",VLOOKUP($A170,JOURNAL!$C$5:$I$1115,3,0))</f>
        <v/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200" t="str">
        <f t="shared" ca="1" si="1"/>
        <v/>
      </c>
      <c r="B171" s="201" t="str">
        <f ca="1">IF($A171="","",VLOOKUP($A171,JOURNAL!$C$5:$I$1115,5,0))</f>
        <v/>
      </c>
      <c r="C171" s="202" t="str">
        <f ca="1">IF($A171="","",VLOOKUP($A171,JOURNAL!$C$5:$I$1115,2,0))</f>
        <v/>
      </c>
      <c r="D171" s="201" t="str">
        <f ca="1">IF($A171="","",VLOOKUP($A171,JOURNAL!$C$5:$I$1115,4,0))</f>
        <v/>
      </c>
      <c r="E171" s="187" t="str">
        <f ca="1">IF($A171="","",VLOOKUP($A171,JOURNAL!$C$5:$I$1115,3,0))</f>
        <v/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200" t="str">
        <f t="shared" ca="1" si="1"/>
        <v/>
      </c>
      <c r="B172" s="201" t="str">
        <f ca="1">IF($A172="","",VLOOKUP($A172,JOURNAL!$C$5:$I$1115,5,0))</f>
        <v/>
      </c>
      <c r="C172" s="202" t="str">
        <f ca="1">IF($A172="","",VLOOKUP($A172,JOURNAL!$C$5:$I$1115,2,0))</f>
        <v/>
      </c>
      <c r="D172" s="201" t="str">
        <f ca="1">IF($A172="","",VLOOKUP($A172,JOURNAL!$C$5:$I$1115,4,0))</f>
        <v/>
      </c>
      <c r="E172" s="187" t="str">
        <f ca="1">IF($A172="","",VLOOKUP($A172,JOURNAL!$C$5:$I$1115,3,0))</f>
        <v/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200" t="str">
        <f t="shared" ca="1" si="1"/>
        <v/>
      </c>
      <c r="B173" s="201" t="str">
        <f ca="1">IF($A173="","",VLOOKUP($A173,JOURNAL!$C$5:$I$1115,5,0))</f>
        <v/>
      </c>
      <c r="C173" s="202" t="str">
        <f ca="1">IF($A173="","",VLOOKUP($A173,JOURNAL!$C$5:$I$1115,2,0))</f>
        <v/>
      </c>
      <c r="D173" s="201" t="str">
        <f ca="1">IF($A173="","",VLOOKUP($A173,JOURNAL!$C$5:$I$1115,4,0))</f>
        <v/>
      </c>
      <c r="E173" s="187" t="str">
        <f ca="1">IF($A173="","",VLOOKUP($A173,JOURNAL!$C$5:$I$1115,3,0))</f>
        <v/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200"/>
      <c r="B174" s="201"/>
      <c r="C174" s="202"/>
      <c r="D174" s="201"/>
      <c r="E174" s="18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178" t="s">
        <v>16</v>
      </c>
      <c r="B175" s="179"/>
      <c r="C175" s="180"/>
      <c r="D175" s="181"/>
      <c r="E175" s="182">
        <f ca="1">SUM(E44:E174)</f>
        <v>9977.2900000000009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204" t="s">
        <v>206</v>
      </c>
      <c r="B176" s="205"/>
      <c r="C176" s="206"/>
      <c r="D176" s="205"/>
      <c r="E176" s="20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156" t="s">
        <v>3</v>
      </c>
      <c r="B177" s="197" t="s">
        <v>7</v>
      </c>
      <c r="C177" s="198" t="s">
        <v>4</v>
      </c>
      <c r="D177" s="199" t="s">
        <v>6</v>
      </c>
      <c r="E177" s="160" t="s">
        <v>5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200">
        <f>IF(ISNA(VLOOKUP($A$1&amp;" / "&amp;$A$176,JOURNAL!$B$5:$I$1115,2,0)),"",VLOOKUP($A$1&amp;" / "&amp;$A$176,JOURNAL!$B$5:$I$1115,2,0))</f>
        <v>1</v>
      </c>
      <c r="B178" s="201" t="str">
        <f>IF($A178="","",VLOOKUP($A178,JOURNAL!$C$5:$I$1115,5,0))</f>
        <v>Entrée cash journéée d''accueil</v>
      </c>
      <c r="C178" s="202">
        <f>IF($A178="","",VLOOKUP($A178,JOURNAL!$C$5:$I$1115,2,0))</f>
        <v>45911</v>
      </c>
      <c r="D178" s="201" t="str">
        <f>IF($A178="","",VLOOKUP($A178,JOURNAL!$C$5:$I$1115,4,0))</f>
        <v>BLV</v>
      </c>
      <c r="E178" s="187">
        <f>IF($A178="","",VLOOKUP($A178,JOURNAL!$C$5:$I$1115,3,0))</f>
        <v>24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200">
        <f t="shared" ref="A179:A433" ca="1" si="2">IF(A178="","",IF(ISNA(VLOOKUP($A$1&amp;" / "&amp;$A$176,INDIRECT(ADDRESS(A178+5,2,1,,"JOURNAL")&amp;":G700"),2,0)),"",VLOOKUP($A$1&amp;" / "&amp;$A$176,INDIRECT(ADDRESS(A178+5,2,1,,"JOURNAL")&amp;":G700"),2,0)))</f>
        <v>5</v>
      </c>
      <c r="B179" s="201" t="str">
        <f ca="1">IF($A179="","",VLOOKUP($A179,JOURNAL!$C$5:$I$1115,5,0))</f>
        <v>SG1 15.09  : Recette lundi midi CASH</v>
      </c>
      <c r="C179" s="202">
        <f ca="1">IF($A179="","",VLOOKUP($A179,JOURNAL!$C$5:$I$1115,2,0))</f>
        <v>45915</v>
      </c>
      <c r="D179" s="201" t="str">
        <f ca="1">IF($A179="","",VLOOKUP($A179,JOURNAL!$C$5:$I$1115,4,0))</f>
        <v>BLV</v>
      </c>
      <c r="E179" s="187">
        <f ca="1">IF($A179="","",VLOOKUP($A179,JOURNAL!$C$5:$I$1115,3,0))</f>
        <v>60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200">
        <f t="shared" ca="1" si="2"/>
        <v>6</v>
      </c>
      <c r="B180" s="201" t="str">
        <f ca="1">IF($A180="","",VLOOKUP($A180,JOURNAL!$C$5:$I$1115,5,0))</f>
        <v>SG1 15.09 : Recette lundi après-midi CASH</v>
      </c>
      <c r="C180" s="202">
        <f ca="1">IF($A180="","",VLOOKUP($A180,JOURNAL!$C$5:$I$1115,2,0))</f>
        <v>45915</v>
      </c>
      <c r="D180" s="201" t="str">
        <f ca="1">IF($A180="","",VLOOKUP($A180,JOURNAL!$C$5:$I$1115,4,0))</f>
        <v>BLV</v>
      </c>
      <c r="E180" s="187">
        <f ca="1">IF($A180="","",VLOOKUP($A180,JOURNAL!$C$5:$I$1115,3,0))</f>
        <v>38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200">
        <f t="shared" ca="1" si="2"/>
        <v>7</v>
      </c>
      <c r="B181" s="201" t="str">
        <f ca="1">IF($A181="","",VLOOKUP($A181,JOURNAL!$C$5:$I$1115,5,0))</f>
        <v>AL : Entrées au 16.09 (beer money)</v>
      </c>
      <c r="C181" s="202">
        <f ca="1">IF($A181="","",VLOOKUP($A181,JOURNAL!$C$5:$I$1115,2,0))</f>
        <v>45916</v>
      </c>
      <c r="D181" s="201" t="str">
        <f ca="1">IF($A181="","",VLOOKUP($A181,JOURNAL!$C$5:$I$1115,4,0))</f>
        <v>BLV</v>
      </c>
      <c r="E181" s="187">
        <f ca="1">IF($A181="","",VLOOKUP($A181,JOURNAL!$C$5:$I$1115,3,0))</f>
        <v>101.85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200">
        <f t="shared" ca="1" si="2"/>
        <v>8</v>
      </c>
      <c r="B182" s="201" t="str">
        <f ca="1">IF($A182="","",VLOOKUP($A182,JOURNAL!$C$5:$I$1115,5,0))</f>
        <v>SG1 16.09 : Recette CASH</v>
      </c>
      <c r="C182" s="202">
        <f ca="1">IF($A182="","",VLOOKUP($A182,JOURNAL!$C$5:$I$1115,2,0))</f>
        <v>45916</v>
      </c>
      <c r="D182" s="201" t="str">
        <f ca="1">IF($A182="","",VLOOKUP($A182,JOURNAL!$C$5:$I$1115,4,0))</f>
        <v>BLV</v>
      </c>
      <c r="E182" s="187">
        <f ca="1">IF($A182="","",VLOOKUP($A182,JOURNAL!$C$5:$I$1115,3,0))</f>
        <v>23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200">
        <f t="shared" ca="1" si="2"/>
        <v>9</v>
      </c>
      <c r="B183" s="201" t="str">
        <f ca="1">IF($A183="","",VLOOKUP($A183,JOURNAL!$C$5:$I$1115,5,0))</f>
        <v>AL du 10.09</v>
      </c>
      <c r="C183" s="202">
        <f ca="1">IF($A183="","",VLOOKUP($A183,JOURNAL!$C$5:$I$1115,2,0))</f>
        <v>45912</v>
      </c>
      <c r="D183" s="201" t="str">
        <f ca="1">IF($A183="","",VLOOKUP($A183,JOURNAL!$C$5:$I$1115,4,0))</f>
        <v>BLV</v>
      </c>
      <c r="E183" s="187">
        <f ca="1">IF($A183="","",VLOOKUP($A183,JOURNAL!$C$5:$I$1115,3,0))</f>
        <v>178.64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200">
        <f t="shared" ca="1" si="2"/>
        <v>10</v>
      </c>
      <c r="B184" s="201" t="str">
        <f ca="1">IF($A184="","",VLOOKUP($A184,JOURNAL!$C$5:$I$1115,5,0))</f>
        <v>JA 11.09 : Recette TWINT</v>
      </c>
      <c r="C184" s="202">
        <f ca="1">IF($A184="","",VLOOKUP($A184,JOURNAL!$C$5:$I$1115,2,0))</f>
        <v>45915</v>
      </c>
      <c r="D184" s="201" t="str">
        <f ca="1">IF($A184="","",VLOOKUP($A184,JOURNAL!$C$5:$I$1115,4,0))</f>
        <v>BLV</v>
      </c>
      <c r="E184" s="187">
        <f ca="1">IF($A184="","",VLOOKUP($A184,JOURNAL!$C$5:$I$1115,3,0))</f>
        <v>143.09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200">
        <f t="shared" ca="1" si="2"/>
        <v>11</v>
      </c>
      <c r="B185" s="201" t="str">
        <f ca="1">IF($A185="","",VLOOKUP($A185,JOURNAL!$C$5:$I$1115,5,0))</f>
        <v>SG1 15.09 : Recette TWINT</v>
      </c>
      <c r="C185" s="202">
        <f ca="1">IF($A185="","",VLOOKUP($A185,JOURNAL!$C$5:$I$1115,2,0))</f>
        <v>45917</v>
      </c>
      <c r="D185" s="201" t="str">
        <f ca="1">IF($A185="","",VLOOKUP($A185,JOURNAL!$C$5:$I$1115,4,0))</f>
        <v>BLV</v>
      </c>
      <c r="E185" s="187">
        <f ca="1">IF($A185="","",VLOOKUP($A185,JOURNAL!$C$5:$I$1115,3,0))</f>
        <v>146.03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200">
        <f t="shared" ca="1" si="2"/>
        <v>12</v>
      </c>
      <c r="B186" s="201" t="str">
        <f ca="1">IF($A186="","",VLOOKUP($A186,JOURNAL!$C$5:$I$1115,5,0))</f>
        <v>SG1 16.09 : Recette TWINT</v>
      </c>
      <c r="C186" s="202">
        <f ca="1">IF($A186="","",VLOOKUP($A186,JOURNAL!$C$5:$I$1115,2,0))</f>
        <v>45916</v>
      </c>
      <c r="D186" s="201" t="str">
        <f ca="1">IF($A186="","",VLOOKUP($A186,JOURNAL!$C$5:$I$1115,4,0))</f>
        <v>BLV</v>
      </c>
      <c r="E186" s="187">
        <f ca="1">IF($A186="","",VLOOKUP($A186,JOURNAL!$C$5:$I$1115,3,0))</f>
        <v>153.93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200">
        <f t="shared" ca="1" si="2"/>
        <v>13</v>
      </c>
      <c r="B187" s="201" t="str">
        <f ca="1">IF($A187="","",VLOOKUP($A187,JOURNAL!$C$5:$I$1115,5,0))</f>
        <v>SG1 17.09 : Recette TWINT</v>
      </c>
      <c r="C187" s="202">
        <f ca="1">IF($A187="","",VLOOKUP($A187,JOURNAL!$C$5:$I$1115,2,0))</f>
        <v>45918</v>
      </c>
      <c r="D187" s="201" t="str">
        <f ca="1">IF($A187="","",VLOOKUP($A187,JOURNAL!$C$5:$I$1115,4,0))</f>
        <v>BLV</v>
      </c>
      <c r="E187" s="187">
        <f ca="1">IF($A187="","",VLOOKUP($A187,JOURNAL!$C$5:$I$1115,3,0))</f>
        <v>236.84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200">
        <f t="shared" ca="1" si="2"/>
        <v>14</v>
      </c>
      <c r="B188" s="201" t="str">
        <f ca="1">IF($A188="","",VLOOKUP($A188,JOURNAL!$C$5:$I$1115,5,0))</f>
        <v>SG1 18.09 : Recette TWINT</v>
      </c>
      <c r="C188" s="202">
        <f ca="1">IF($A188="","",VLOOKUP($A188,JOURNAL!$C$5:$I$1115,2,0))</f>
        <v>45919</v>
      </c>
      <c r="D188" s="201" t="str">
        <f ca="1">IF($A188="","",VLOOKUP($A188,JOURNAL!$C$5:$I$1115,4,0))</f>
        <v>BLV</v>
      </c>
      <c r="E188" s="187">
        <f ca="1">IF($A188="","",VLOOKUP($A188,JOURNAL!$C$5:$I$1115,3,0))</f>
        <v>1016.6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200">
        <f t="shared" ca="1" si="2"/>
        <v>15</v>
      </c>
      <c r="B189" s="201" t="str">
        <f ca="1">IF($A189="","",VLOOKUP($A189,JOURNAL!$C$5:$I$1115,5,0))</f>
        <v>AL 18.09 : Recette TWINT</v>
      </c>
      <c r="C189" s="202">
        <f ca="1">IF($A189="","",VLOOKUP($A189,JOURNAL!$C$5:$I$1115,2,0))</f>
        <v>45919</v>
      </c>
      <c r="D189" s="201" t="str">
        <f ca="1">IF($A189="","",VLOOKUP($A189,JOURNAL!$C$5:$I$1115,4,0))</f>
        <v>BLV</v>
      </c>
      <c r="E189" s="187">
        <f ca="1">IF($A189="","",VLOOKUP($A189,JOURNAL!$C$5:$I$1115,3,0))</f>
        <v>731.08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200">
        <f t="shared" ca="1" si="2"/>
        <v>16</v>
      </c>
      <c r="B190" s="201" t="str">
        <f ca="1">IF($A190="","",VLOOKUP($A190,JOURNAL!$C$5:$I$1115,5,0))</f>
        <v>SG 19.09 : Recette TWINT</v>
      </c>
      <c r="C190" s="202">
        <f ca="1">IF($A190="","",VLOOKUP($A190,JOURNAL!$C$5:$I$1115,2,0))</f>
        <v>45920</v>
      </c>
      <c r="D190" s="201" t="str">
        <f ca="1">IF($A190="","",VLOOKUP($A190,JOURNAL!$C$5:$I$1115,4,0))</f>
        <v>BLV</v>
      </c>
      <c r="E190" s="187">
        <f ca="1">IF($A190="","",VLOOKUP($A190,JOURNAL!$C$5:$I$1115,3,0))</f>
        <v>134.47999999999999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200">
        <f t="shared" ca="1" si="2"/>
        <v>17</v>
      </c>
      <c r="B191" s="201" t="str">
        <f ca="1">IF($A191="","",VLOOKUP($A191,JOURNAL!$C$5:$I$1115,5,0))</f>
        <v>SG 16.09 : Recette CASH</v>
      </c>
      <c r="C191" s="202">
        <f ca="1">IF($A191="","",VLOOKUP($A191,JOURNAL!$C$5:$I$1115,2,0))</f>
        <v>45916</v>
      </c>
      <c r="D191" s="201" t="str">
        <f ca="1">IF($A191="","",VLOOKUP($A191,JOURNAL!$C$5:$I$1115,4,0))</f>
        <v>BLV</v>
      </c>
      <c r="E191" s="187">
        <f ca="1">IF($A191="","",VLOOKUP($A191,JOURNAL!$C$5:$I$1115,3,0))</f>
        <v>23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200">
        <f t="shared" ca="1" si="2"/>
        <v>18</v>
      </c>
      <c r="B192" s="201" t="str">
        <f ca="1">IF($A192="","",VLOOKUP($A192,JOURNAL!$C$5:$I$1115,5,0))</f>
        <v>AL 18.09 : Recette CASH</v>
      </c>
      <c r="C192" s="202">
        <f ca="1">IF($A192="","",VLOOKUP($A192,JOURNAL!$C$5:$I$1115,2,0))</f>
        <v>45918</v>
      </c>
      <c r="D192" s="201" t="str">
        <f ca="1">IF($A192="","",VLOOKUP($A192,JOURNAL!$C$5:$I$1115,4,0))</f>
        <v>BLV</v>
      </c>
      <c r="E192" s="187">
        <f ca="1">IF($A192="","",VLOOKUP($A192,JOURNAL!$C$5:$I$1115,3,0))</f>
        <v>104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200">
        <f t="shared" ca="1" si="2"/>
        <v>19</v>
      </c>
      <c r="B193" s="201" t="str">
        <f ca="1">IF($A193="","",VLOOKUP($A193,JOURNAL!$C$5:$I$1115,5,0))</f>
        <v>SG 19.09 : Recette CASH</v>
      </c>
      <c r="C193" s="202">
        <f ca="1">IF($A193="","",VLOOKUP($A193,JOURNAL!$C$5:$I$1115,2,0))</f>
        <v>45919</v>
      </c>
      <c r="D193" s="201" t="str">
        <f ca="1">IF($A193="","",VLOOKUP($A193,JOURNAL!$C$5:$I$1115,4,0))</f>
        <v>BLV</v>
      </c>
      <c r="E193" s="187">
        <f ca="1">IF($A193="","",VLOOKUP($A193,JOURNAL!$C$5:$I$1115,3,0))</f>
        <v>3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200">
        <f t="shared" ca="1" si="2"/>
        <v>28</v>
      </c>
      <c r="B194" s="201" t="str">
        <f ca="1">IF($A194="","",VLOOKUP($A194,JOURNAL!$C$5:$I$1115,5,0))</f>
        <v>Mobilière : Remboursement incident POS</v>
      </c>
      <c r="C194" s="202">
        <f ca="1">IF($A194="","",VLOOKUP($A194,JOURNAL!$C$5:$I$1115,2,0))</f>
        <v>45925</v>
      </c>
      <c r="D194" s="201" t="str">
        <f ca="1">IF($A194="","",VLOOKUP($A194,JOURNAL!$C$5:$I$1115,4,0))</f>
        <v>BLV</v>
      </c>
      <c r="E194" s="187">
        <f ca="1">IF($A194="","",VLOOKUP($A194,JOURNAL!$C$5:$I$1115,3,0))</f>
        <v>700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200">
        <f t="shared" ca="1" si="2"/>
        <v>43</v>
      </c>
      <c r="B195" s="201" t="str">
        <f ca="1">IF($A195="","",VLOOKUP($A195,JOURNAL!$C$5:$I$1115,5,0))</f>
        <v>Revenus GM</v>
      </c>
      <c r="C195" s="202">
        <f ca="1">IF($A195="","",VLOOKUP($A195,JOURNAL!$C$5:$I$1115,2,0))</f>
        <v>45936</v>
      </c>
      <c r="D195" s="201" t="str">
        <f ca="1">IF($A195="","",VLOOKUP($A195,JOURNAL!$C$5:$I$1115,4,0))</f>
        <v>BLV</v>
      </c>
      <c r="E195" s="187">
        <f ca="1">IF($A195="","",VLOOKUP($A195,JOURNAL!$C$5:$I$1115,3,0))</f>
        <v>171.73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200">
        <f t="shared" ca="1" si="2"/>
        <v>44</v>
      </c>
      <c r="B196" s="201" t="str">
        <f ca="1">IF($A196="","",VLOOKUP($A196,JOURNAL!$C$5:$I$1115,5,0))</f>
        <v>Revenus GM</v>
      </c>
      <c r="C196" s="202">
        <f ca="1">IF($A196="","",VLOOKUP($A196,JOURNAL!$C$5:$I$1115,2,0))</f>
        <v>45937</v>
      </c>
      <c r="D196" s="201" t="str">
        <f ca="1">IF($A196="","",VLOOKUP($A196,JOURNAL!$C$5:$I$1115,4,0))</f>
        <v>BLV</v>
      </c>
      <c r="E196" s="187">
        <f ca="1">IF($A196="","",VLOOKUP($A196,JOURNAL!$C$5:$I$1115,3,0))</f>
        <v>467.8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200">
        <f t="shared" ca="1" si="2"/>
        <v>45</v>
      </c>
      <c r="B197" s="201" t="str">
        <f ca="1">IF($A197="","",VLOOKUP($A197,JOURNAL!$C$5:$I$1115,5,0))</f>
        <v>Revenus GM</v>
      </c>
      <c r="C197" s="202">
        <f ca="1">IF($A197="","",VLOOKUP($A197,JOURNAL!$C$5:$I$1115,2,0))</f>
        <v>45937</v>
      </c>
      <c r="D197" s="201" t="str">
        <f ca="1">IF($A197="","",VLOOKUP($A197,JOURNAL!$C$5:$I$1115,4,0))</f>
        <v>BLV</v>
      </c>
      <c r="E197" s="187">
        <f ca="1">IF($A197="","",VLOOKUP($A197,JOURNAL!$C$5:$I$1115,3,0))</f>
        <v>25.66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200">
        <f t="shared" ca="1" si="2"/>
        <v>46</v>
      </c>
      <c r="B198" s="201" t="str">
        <f ca="1">IF($A198="","",VLOOKUP($A198,JOURNAL!$C$5:$I$1115,5,0))</f>
        <v>Revenus GM</v>
      </c>
      <c r="C198" s="202">
        <f ca="1">IF($A198="","",VLOOKUP($A198,JOURNAL!$C$5:$I$1115,2,0))</f>
        <v>45940</v>
      </c>
      <c r="D198" s="201" t="str">
        <f ca="1">IF($A198="","",VLOOKUP($A198,JOURNAL!$C$5:$I$1115,4,0))</f>
        <v>BLV</v>
      </c>
      <c r="E198" s="187">
        <f ca="1">IF($A198="","",VLOOKUP($A198,JOURNAL!$C$5:$I$1115,3,0))</f>
        <v>0.99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200">
        <f t="shared" ca="1" si="2"/>
        <v>47</v>
      </c>
      <c r="B199" s="201" t="str">
        <f ca="1">IF($A199="","",VLOOKUP($A199,JOURNAL!$C$5:$I$1115,5,0))</f>
        <v>Revenus DrawOnMe + After</v>
      </c>
      <c r="C199" s="202">
        <f ca="1">IF($A199="","",VLOOKUP($A199,JOURNAL!$C$5:$I$1115,2,0))</f>
        <v>45943</v>
      </c>
      <c r="D199" s="201" t="str">
        <f ca="1">IF($A199="","",VLOOKUP($A199,JOURNAL!$C$5:$I$1115,4,0))</f>
        <v>BLV</v>
      </c>
      <c r="E199" s="187">
        <f ca="1">IF($A199="","",VLOOKUP($A199,JOURNAL!$C$5:$I$1115,3,0))</f>
        <v>379.92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200">
        <f t="shared" ca="1" si="2"/>
        <v>48</v>
      </c>
      <c r="B200" s="201" t="str">
        <f ca="1">IF($A200="","",VLOOKUP($A200,JOURNAL!$C$5:$I$1115,5,0))</f>
        <v>Revenus Soirée fantaisie</v>
      </c>
      <c r="C200" s="202">
        <f ca="1">IF($A200="","",VLOOKUP($A200,JOURNAL!$C$5:$I$1115,2,0))</f>
        <v>45950</v>
      </c>
      <c r="D200" s="201" t="str">
        <f ca="1">IF($A200="","",VLOOKUP($A200,JOURNAL!$C$5:$I$1115,4,0))</f>
        <v>BLV</v>
      </c>
      <c r="E200" s="187">
        <f ca="1">IF($A200="","",VLOOKUP($A200,JOURNAL!$C$5:$I$1115,3,0))</f>
        <v>95.7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200">
        <f t="shared" ca="1" si="2"/>
        <v>49</v>
      </c>
      <c r="B201" s="201" t="str">
        <f ca="1">IF($A201="","",VLOOKUP($A201,JOURNAL!$C$5:$I$1115,5,0))</f>
        <v>Revenus GM Cash</v>
      </c>
      <c r="C201" s="202">
        <f ca="1">IF($A201="","",VLOOKUP($A201,JOURNAL!$C$5:$I$1115,2,0))</f>
        <v>45939</v>
      </c>
      <c r="D201" s="201" t="str">
        <f ca="1">IF($A201="","",VLOOKUP($A201,JOURNAL!$C$5:$I$1115,4,0))</f>
        <v>BLV</v>
      </c>
      <c r="E201" s="187">
        <f ca="1">IF($A201="","",VLOOKUP($A201,JOURNAL!$C$5:$I$1115,3,0))</f>
        <v>166.6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200">
        <f t="shared" ca="1" si="2"/>
        <v>50</v>
      </c>
      <c r="B202" s="201" t="str">
        <f ca="1">IF($A202="","",VLOOKUP($A202,JOURNAL!$C$5:$I$1115,5,0))</f>
        <v>Revenu after 9.10</v>
      </c>
      <c r="C202" s="202">
        <f ca="1">IF($A202="","",VLOOKUP($A202,JOURNAL!$C$5:$I$1115,2,0))</f>
        <v>45939</v>
      </c>
      <c r="D202" s="201" t="str">
        <f ca="1">IF($A202="","",VLOOKUP($A202,JOURNAL!$C$5:$I$1115,4,0))</f>
        <v>BLV</v>
      </c>
      <c r="E202" s="187">
        <f ca="1">IF($A202="","",VLOOKUP($A202,JOURNAL!$C$5:$I$1115,3,0))</f>
        <v>120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200">
        <f t="shared" ca="1" si="2"/>
        <v>51</v>
      </c>
      <c r="B203" s="201" t="str">
        <f ca="1">IF($A203="","",VLOOKUP($A203,JOURNAL!$C$5:$I$1115,5,0))</f>
        <v>Cash Courses event chillout</v>
      </c>
      <c r="C203" s="202">
        <f ca="1">IF($A203="","",VLOOKUP($A203,JOURNAL!$C$5:$I$1115,2,0))</f>
        <v>45939</v>
      </c>
      <c r="D203" s="201" t="str">
        <f ca="1">IF($A203="","",VLOOKUP($A203,JOURNAL!$C$5:$I$1115,4,0))</f>
        <v>BLV</v>
      </c>
      <c r="E203" s="187">
        <f ca="1">IF($A203="","",VLOOKUP($A203,JOURNAL!$C$5:$I$1115,3,0))</f>
        <v>112.15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200">
        <f t="shared" ca="1" si="2"/>
        <v>53</v>
      </c>
      <c r="B204" s="201" t="str">
        <f ca="1">IF($A204="","",VLOOKUP($A204,JOURNAL!$C$5:$I$1115,5,0))</f>
        <v>Entrées afters</v>
      </c>
      <c r="C204" s="202">
        <f ca="1">IF($A204="","",VLOOKUP($A204,JOURNAL!$C$5:$I$1115,2,0))</f>
        <v>45986</v>
      </c>
      <c r="D204" s="201" t="str">
        <f ca="1">IF($A204="","",VLOOKUP($A204,JOURNAL!$C$5:$I$1115,4,0))</f>
        <v>BLV</v>
      </c>
      <c r="E204" s="187">
        <f ca="1">IF($A204="","",VLOOKUP($A204,JOURNAL!$C$5:$I$1115,3,0))</f>
        <v>65.67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200">
        <f t="shared" ca="1" si="2"/>
        <v>56</v>
      </c>
      <c r="B205" s="201" t="str">
        <f ca="1">IF($A205="","",VLOOKUP($A205,JOURNAL!$C$5:$I$1115,5,0))</f>
        <v>Revenus Soirée Halloween twint soupe courge</v>
      </c>
      <c r="C205" s="202">
        <f ca="1">IF($A205="","",VLOOKUP($A205,JOURNAL!$C$5:$I$1115,2,0))</f>
        <v>45960</v>
      </c>
      <c r="D205" s="201" t="str">
        <f ca="1">IF($A205="","",VLOOKUP($A205,JOURNAL!$C$5:$I$1115,4,0))</f>
        <v>BLV</v>
      </c>
      <c r="E205" s="187">
        <f ca="1">IF($A205="","",VLOOKUP($A205,JOURNAL!$C$5:$I$1115,3,0))</f>
        <v>154.93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200">
        <f t="shared" ca="1" si="2"/>
        <v>58</v>
      </c>
      <c r="B206" s="201" t="str">
        <f ca="1">IF($A206="","",VLOOKUP($A206,JOURNAL!$C$5:$I$1115,5,0))</f>
        <v>manu achat soupe courge</v>
      </c>
      <c r="C206" s="202">
        <f ca="1">IF($A206="","",VLOOKUP($A206,JOURNAL!$C$5:$I$1115,2,0))</f>
        <v>45961</v>
      </c>
      <c r="D206" s="201" t="str">
        <f ca="1">IF($A206="","",VLOOKUP($A206,JOURNAL!$C$5:$I$1115,4,0))</f>
        <v>BLV</v>
      </c>
      <c r="E206" s="187">
        <f ca="1">IF($A206="","",VLOOKUP($A206,JOURNAL!$C$5:$I$1115,3,0))</f>
        <v>10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200">
        <f t="shared" ca="1" si="2"/>
        <v>59</v>
      </c>
      <c r="B207" s="201" t="str">
        <f ca="1">IF($A207="","",VLOOKUP($A207,JOURNAL!$C$5:$I$1115,5,0))</f>
        <v>entrées halloween twint</v>
      </c>
      <c r="C207" s="202">
        <f ca="1">IF($A207="","",VLOOKUP($A207,JOURNAL!$C$5:$I$1115,2,0))</f>
        <v>45961</v>
      </c>
      <c r="D207" s="201" t="str">
        <f ca="1">IF($A207="","",VLOOKUP($A207,JOURNAL!$C$5:$I$1115,4,0))</f>
        <v>BLV</v>
      </c>
      <c r="E207" s="187">
        <f ca="1">IF($A207="","",VLOOKUP($A207,JOURNAL!$C$5:$I$1115,3,0))</f>
        <v>17.760000000000002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200">
        <f t="shared" ca="1" si="2"/>
        <v>60</v>
      </c>
      <c r="B208" s="201" t="str">
        <f ca="1">IF($A208="","",VLOOKUP($A208,JOURNAL!$C$5:$I$1115,5,0))</f>
        <v>entrées halloween twint</v>
      </c>
      <c r="C208" s="202">
        <f ca="1">IF($A208="","",VLOOKUP($A208,JOURNAL!$C$5:$I$1115,2,0))</f>
        <v>45964</v>
      </c>
      <c r="D208" s="201" t="str">
        <f ca="1">IF($A208="","",VLOOKUP($A208,JOURNAL!$C$5:$I$1115,4,0))</f>
        <v>BLV</v>
      </c>
      <c r="E208" s="187">
        <f ca="1">IF($A208="","",VLOOKUP($A208,JOURNAL!$C$5:$I$1115,3,0))</f>
        <v>218.1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200">
        <f t="shared" ca="1" si="2"/>
        <v>63</v>
      </c>
      <c r="B209" s="201" t="str">
        <f ca="1">IF($A209="","",VLOOKUP($A209,JOURNAL!$C$5:$I$1115,5,0))</f>
        <v>Entrée after</v>
      </c>
      <c r="C209" s="202">
        <f ca="1">IF($A209="","",VLOOKUP($A209,JOURNAL!$C$5:$I$1115,2,0))</f>
        <v>45965</v>
      </c>
      <c r="D209" s="201" t="str">
        <f ca="1">IF($A209="","",VLOOKUP($A209,JOURNAL!$C$5:$I$1115,4,0))</f>
        <v>BLV</v>
      </c>
      <c r="E209" s="187">
        <f ca="1">IF($A209="","",VLOOKUP($A209,JOURNAL!$C$5:$I$1115,3,0))</f>
        <v>165.78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200">
        <f t="shared" ca="1" si="2"/>
        <v>65</v>
      </c>
      <c r="B210" s="201" t="str">
        <f ca="1">IF($A210="","",VLOOKUP($A210,JOURNAL!$C$5:$I$1115,5,0))</f>
        <v>Entrée after</v>
      </c>
      <c r="C210" s="202">
        <f ca="1">IF($A210="","",VLOOKUP($A210,JOURNAL!$C$5:$I$1115,2,0))</f>
        <v>45973</v>
      </c>
      <c r="D210" s="201" t="str">
        <f ca="1">IF($A210="","",VLOOKUP($A210,JOURNAL!$C$5:$I$1115,4,0))</f>
        <v>BLV</v>
      </c>
      <c r="E210" s="187">
        <f ca="1">IF($A210="","",VLOOKUP($A210,JOURNAL!$C$5:$I$1115,3,0))</f>
        <v>19.739999999999998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200">
        <f t="shared" ca="1" si="2"/>
        <v>73</v>
      </c>
      <c r="B211" s="201" t="str">
        <f ca="1">IF($A211="","",VLOOKUP($A211,JOURNAL!$C$5:$I$1115,5,0))</f>
        <v>Event XXX</v>
      </c>
      <c r="C211" s="202">
        <f ca="1">IF($A211="","",VLOOKUP($A211,JOURNAL!$C$5:$I$1115,2,0))</f>
        <v>45978</v>
      </c>
      <c r="D211" s="201" t="str">
        <f ca="1">IF($A211="","",VLOOKUP($A211,JOURNAL!$C$5:$I$1115,4,0))</f>
        <v>BLV</v>
      </c>
      <c r="E211" s="187">
        <f ca="1">IF($A211="","",VLOOKUP($A211,JOURNAL!$C$5:$I$1115,3,0))</f>
        <v>19.73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200">
        <f t="shared" ca="1" si="2"/>
        <v>74</v>
      </c>
      <c r="B212" s="201" t="str">
        <f ca="1">IF($A212="","",VLOOKUP($A212,JOURNAL!$C$5:$I$1115,5,0))</f>
        <v>Event XXX</v>
      </c>
      <c r="C212" s="202">
        <f ca="1">IF($A212="","",VLOOKUP($A212,JOURNAL!$C$5:$I$1115,2,0))</f>
        <v>45979</v>
      </c>
      <c r="D212" s="201" t="str">
        <f ca="1">IF($A212="","",VLOOKUP($A212,JOURNAL!$C$5:$I$1115,4,0))</f>
        <v>BLV</v>
      </c>
      <c r="E212" s="187">
        <f ca="1">IF($A212="","",VLOOKUP($A212,JOURNAL!$C$5:$I$1115,3,0))</f>
        <v>3.95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200">
        <f t="shared" ca="1" si="2"/>
        <v>75</v>
      </c>
      <c r="B213" s="201" t="str">
        <f ca="1">IF($A213="","",VLOOKUP($A213,JOURNAL!$C$5:$I$1115,5,0))</f>
        <v>Event XXX</v>
      </c>
      <c r="C213" s="202">
        <f ca="1">IF($A213="","",VLOOKUP($A213,JOURNAL!$C$5:$I$1115,2,0))</f>
        <v>45979</v>
      </c>
      <c r="D213" s="201" t="str">
        <f ca="1">IF($A213="","",VLOOKUP($A213,JOURNAL!$C$5:$I$1115,4,0))</f>
        <v>BLV</v>
      </c>
      <c r="E213" s="187">
        <f ca="1">IF($A213="","",VLOOKUP($A213,JOURNAL!$C$5:$I$1115,3,0))</f>
        <v>14.8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200">
        <f t="shared" ca="1" si="2"/>
        <v>77</v>
      </c>
      <c r="B214" s="201" t="str">
        <f ca="1">IF($A214="","",VLOOKUP($A214,JOURNAL!$C$5:$I$1115,5,0))</f>
        <v>entrée twint</v>
      </c>
      <c r="C214" s="202">
        <f ca="1">IF($A214="","",VLOOKUP($A214,JOURNAL!$C$5:$I$1115,2,0))</f>
        <v>45982</v>
      </c>
      <c r="D214" s="201" t="str">
        <f ca="1">IF($A214="","",VLOOKUP($A214,JOURNAL!$C$5:$I$1115,4,0))</f>
        <v>BLV</v>
      </c>
      <c r="E214" s="187">
        <f ca="1">IF($A214="","",VLOOKUP($A214,JOURNAL!$C$5:$I$1115,3,0))</f>
        <v>2.96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200">
        <f t="shared" ca="1" si="2"/>
        <v>79</v>
      </c>
      <c r="B215" s="201" t="str">
        <f ca="1">IF($A215="","",VLOOKUP($A215,JOURNAL!$C$5:$I$1115,5,0))</f>
        <v>entrée twint</v>
      </c>
      <c r="C215" s="202">
        <f ca="1">IF($A215="","",VLOOKUP($A215,JOURNAL!$C$5:$I$1115,2,0))</f>
        <v>45985</v>
      </c>
      <c r="D215" s="201" t="str">
        <f ca="1">IF($A215="","",VLOOKUP($A215,JOURNAL!$C$5:$I$1115,4,0))</f>
        <v>BLV</v>
      </c>
      <c r="E215" s="187">
        <f ca="1">IF($A215="","",VLOOKUP($A215,JOURNAL!$C$5:$I$1115,3,0))</f>
        <v>136.18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200">
        <f t="shared" ca="1" si="2"/>
        <v>80</v>
      </c>
      <c r="B216" s="201" t="str">
        <f ca="1">IF($A216="","",VLOOKUP($A216,JOURNAL!$C$5:$I$1115,5,0))</f>
        <v>entrée twint</v>
      </c>
      <c r="C216" s="202">
        <f ca="1">IF($A216="","",VLOOKUP($A216,JOURNAL!$C$5:$I$1115,2,0))</f>
        <v>45985</v>
      </c>
      <c r="D216" s="201" t="str">
        <f ca="1">IF($A216="","",VLOOKUP($A216,JOURNAL!$C$5:$I$1115,4,0))</f>
        <v>BLV</v>
      </c>
      <c r="E216" s="187">
        <f ca="1">IF($A216="","",VLOOKUP($A216,JOURNAL!$C$5:$I$1115,3,0))</f>
        <v>196.87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200">
        <f t="shared" ca="1" si="2"/>
        <v>82</v>
      </c>
      <c r="B217" s="201" t="str">
        <f ca="1">IF($A217="","",VLOOKUP($A217,JOURNAL!$C$5:$I$1115,5,0))</f>
        <v>entrée twint</v>
      </c>
      <c r="C217" s="202">
        <f ca="1">IF($A217="","",VLOOKUP($A217,JOURNAL!$C$5:$I$1115,2,0))</f>
        <v>45986</v>
      </c>
      <c r="D217" s="201" t="str">
        <f ca="1">IF($A217="","",VLOOKUP($A217,JOURNAL!$C$5:$I$1115,4,0))</f>
        <v>BLV</v>
      </c>
      <c r="E217" s="187">
        <f ca="1">IF($A217="","",VLOOKUP($A217,JOURNAL!$C$5:$I$1115,3,0))</f>
        <v>20.73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200">
        <f t="shared" ca="1" si="2"/>
        <v>83</v>
      </c>
      <c r="B218" s="201" t="str">
        <f ca="1">IF($A218="","",VLOOKUP($A218,JOURNAL!$C$5:$I$1115,5,0))</f>
        <v>entrée twint</v>
      </c>
      <c r="C218" s="202">
        <f ca="1">IF($A218="","",VLOOKUP($A218,JOURNAL!$C$5:$I$1115,2,0))</f>
        <v>45986</v>
      </c>
      <c r="D218" s="201" t="str">
        <f ca="1">IF($A218="","",VLOOKUP($A218,JOURNAL!$C$5:$I$1115,4,0))</f>
        <v>BLV</v>
      </c>
      <c r="E218" s="187">
        <f ca="1">IF($A218="","",VLOOKUP($A218,JOURNAL!$C$5:$I$1115,3,0))</f>
        <v>19.739999999999998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200">
        <f t="shared" ca="1" si="2"/>
        <v>88</v>
      </c>
      <c r="B219" s="201">
        <f ca="1">IF($A219="","",VLOOKUP($A219,JOURNAL!$C$5:$I$1115,5,0))</f>
        <v>0</v>
      </c>
      <c r="C219" s="202">
        <f ca="1">IF($A219="","",VLOOKUP($A219,JOURNAL!$C$5:$I$1115,2,0))</f>
        <v>45988</v>
      </c>
      <c r="D219" s="201" t="str">
        <f ca="1">IF($A219="","",VLOOKUP($A219,JOURNAL!$C$5:$I$1115,4,0))</f>
        <v>BLV</v>
      </c>
      <c r="E219" s="187">
        <f ca="1">IF($A219="","",VLOOKUP($A219,JOURNAL!$C$5:$I$1115,3,0))</f>
        <v>81.91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200">
        <f t="shared" ca="1" si="2"/>
        <v>93</v>
      </c>
      <c r="B220" s="201" t="str">
        <f ca="1">IF($A220="","",VLOOKUP($A220,JOURNAL!$C$5:$I$1115,5,0))</f>
        <v>entrée twint</v>
      </c>
      <c r="C220" s="202">
        <f ca="1">IF($A220="","",VLOOKUP($A220,JOURNAL!$C$5:$I$1115,2,0))</f>
        <v>45989</v>
      </c>
      <c r="D220" s="201" t="str">
        <f ca="1">IF($A220="","",VLOOKUP($A220,JOURNAL!$C$5:$I$1115,4,0))</f>
        <v>BLV</v>
      </c>
      <c r="E220" s="187">
        <f ca="1">IF($A220="","",VLOOKUP($A220,JOURNAL!$C$5:$I$1115,3,0))</f>
        <v>2.96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200">
        <f t="shared" ca="1" si="2"/>
        <v>94</v>
      </c>
      <c r="B221" s="201" t="str">
        <f ca="1">IF($A221="","",VLOOKUP($A221,JOURNAL!$C$5:$I$1115,5,0))</f>
        <v>entrée sumup : manu test</v>
      </c>
      <c r="C221" s="202">
        <f ca="1">IF($A221="","",VLOOKUP($A221,JOURNAL!$C$5:$I$1115,2,0))</f>
        <v>45989</v>
      </c>
      <c r="D221" s="201" t="str">
        <f ca="1">IF($A221="","",VLOOKUP($A221,JOURNAL!$C$5:$I$1115,4,0))</f>
        <v>BLV</v>
      </c>
      <c r="E221" s="187">
        <f ca="1">IF($A221="","",VLOOKUP($A221,JOURNAL!$C$5:$I$1115,3,0))</f>
        <v>1.97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200">
        <f t="shared" ca="1" si="2"/>
        <v>96</v>
      </c>
      <c r="B222" s="201" t="str">
        <f ca="1">IF($A222="","",VLOOKUP($A222,JOURNAL!$C$5:$I$1115,5,0))</f>
        <v>Entrée twint</v>
      </c>
      <c r="C222" s="202">
        <f ca="1">IF($A222="","",VLOOKUP($A222,JOURNAL!$C$5:$I$1115,2,0))</f>
        <v>45992</v>
      </c>
      <c r="D222" s="201" t="str">
        <f ca="1">IF($A222="","",VLOOKUP($A222,JOURNAL!$C$5:$I$1115,4,0))</f>
        <v>BLV</v>
      </c>
      <c r="E222" s="187">
        <f ca="1">IF($A222="","",VLOOKUP($A222,JOURNAL!$C$5:$I$1115,3,0))</f>
        <v>1.98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200">
        <f t="shared" ca="1" si="2"/>
        <v>97</v>
      </c>
      <c r="B223" s="201" t="str">
        <f ca="1">IF($A223="","",VLOOKUP($A223,JOURNAL!$C$5:$I$1115,5,0))</f>
        <v>Entrée twint</v>
      </c>
      <c r="C223" s="202">
        <f ca="1">IF($A223="","",VLOOKUP($A223,JOURNAL!$C$5:$I$1115,2,0))</f>
        <v>45992</v>
      </c>
      <c r="D223" s="201" t="str">
        <f ca="1">IF($A223="","",VLOOKUP($A223,JOURNAL!$C$5:$I$1115,4,0))</f>
        <v>BLV</v>
      </c>
      <c r="E223" s="187">
        <f ca="1">IF($A223="","",VLOOKUP($A223,JOURNAL!$C$5:$I$1115,3,0))</f>
        <v>0.99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200">
        <f t="shared" ca="1" si="2"/>
        <v>98</v>
      </c>
      <c r="B224" s="201" t="str">
        <f ca="1">IF($A224="","",VLOOKUP($A224,JOURNAL!$C$5:$I$1115,5,0))</f>
        <v>entrée sumup</v>
      </c>
      <c r="C224" s="202">
        <f ca="1">IF($A224="","",VLOOKUP($A224,JOURNAL!$C$5:$I$1115,2,0))</f>
        <v>45992</v>
      </c>
      <c r="D224" s="201" t="str">
        <f ca="1">IF($A224="","",VLOOKUP($A224,JOURNAL!$C$5:$I$1115,4,0))</f>
        <v>BLV</v>
      </c>
      <c r="E224" s="187">
        <f ca="1">IF($A224="","",VLOOKUP($A224,JOURNAL!$C$5:$I$1115,3,0))</f>
        <v>316.63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200">
        <f t="shared" ca="1" si="2"/>
        <v>102</v>
      </c>
      <c r="B225" s="201" t="str">
        <f ca="1">IF($A225="","",VLOOKUP($A225,JOURNAL!$C$5:$I$1115,5,0))</f>
        <v>entrée twint</v>
      </c>
      <c r="C225" s="202">
        <f ca="1">IF($A225="","",VLOOKUP($A225,JOURNAL!$C$5:$I$1115,2,0))</f>
        <v>45993</v>
      </c>
      <c r="D225" s="201" t="str">
        <f ca="1">IF($A225="","",VLOOKUP($A225,JOURNAL!$C$5:$I$1115,4,0))</f>
        <v>BLV</v>
      </c>
      <c r="E225" s="187">
        <f ca="1">IF($A225="","",VLOOKUP($A225,JOURNAL!$C$5:$I$1115,3,0))</f>
        <v>0.99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200">
        <f t="shared" ca="1" si="2"/>
        <v>103</v>
      </c>
      <c r="B226" s="201" t="str">
        <f ca="1">IF($A226="","",VLOOKUP($A226,JOURNAL!$C$5:$I$1115,5,0))</f>
        <v>entrée twint</v>
      </c>
      <c r="C226" s="202">
        <f ca="1">IF($A226="","",VLOOKUP($A226,JOURNAL!$C$5:$I$1115,2,0))</f>
        <v>45993</v>
      </c>
      <c r="D226" s="201" t="str">
        <f ca="1">IF($A226="","",VLOOKUP($A226,JOURNAL!$C$5:$I$1115,4,0))</f>
        <v>BLV</v>
      </c>
      <c r="E226" s="187">
        <f ca="1">IF($A226="","",VLOOKUP($A226,JOURNAL!$C$5:$I$1115,3,0))</f>
        <v>414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200">
        <f t="shared" ca="1" si="2"/>
        <v>104</v>
      </c>
      <c r="B227" s="201" t="str">
        <f ca="1">IF($A227="","",VLOOKUP($A227,JOURNAL!$C$5:$I$1115,5,0))</f>
        <v>entrée twint</v>
      </c>
      <c r="C227" s="202">
        <f ca="1">IF($A227="","",VLOOKUP($A227,JOURNAL!$C$5:$I$1115,2,0))</f>
        <v>45993</v>
      </c>
      <c r="D227" s="201" t="str">
        <f ca="1">IF($A227="","",VLOOKUP($A227,JOURNAL!$C$5:$I$1115,4,0))</f>
        <v>BLV</v>
      </c>
      <c r="E227" s="187">
        <f ca="1">IF($A227="","",VLOOKUP($A227,JOURNAL!$C$5:$I$1115,3,0))</f>
        <v>560.54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200">
        <f t="shared" ca="1" si="2"/>
        <v>105</v>
      </c>
      <c r="B228" s="201" t="str">
        <f ca="1">IF($A228="","",VLOOKUP($A228,JOURNAL!$C$5:$I$1115,5,0))</f>
        <v>entrée sumup</v>
      </c>
      <c r="C228" s="202">
        <f ca="1">IF($A228="","",VLOOKUP($A228,JOURNAL!$C$5:$I$1115,2,0))</f>
        <v>45993</v>
      </c>
      <c r="D228" s="201" t="str">
        <f ca="1">IF($A228="","",VLOOKUP($A228,JOURNAL!$C$5:$I$1115,4,0))</f>
        <v>BLV</v>
      </c>
      <c r="E228" s="187">
        <f ca="1">IF($A228="","",VLOOKUP($A228,JOURNAL!$C$5:$I$1115,3,0))</f>
        <v>123.11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200">
        <f t="shared" ca="1" si="2"/>
        <v>107</v>
      </c>
      <c r="B229" s="201" t="str">
        <f ca="1">IF($A229="","",VLOOKUP($A229,JOURNAL!$C$5:$I$1115,5,0))</f>
        <v>entrée sumup</v>
      </c>
      <c r="C229" s="202">
        <f ca="1">IF($A229="","",VLOOKUP($A229,JOURNAL!$C$5:$I$1115,2,0))</f>
        <v>45994</v>
      </c>
      <c r="D229" s="201" t="str">
        <f ca="1">IF($A229="","",VLOOKUP($A229,JOURNAL!$C$5:$I$1115,4,0))</f>
        <v>BLV</v>
      </c>
      <c r="E229" s="187">
        <f ca="1">IF($A229="","",VLOOKUP($A229,JOURNAL!$C$5:$I$1115,3,0))</f>
        <v>160.54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200">
        <f t="shared" ca="1" si="2"/>
        <v>108</v>
      </c>
      <c r="B230" s="201" t="str">
        <f ca="1">IF($A230="","",VLOOKUP($A230,JOURNAL!$C$5:$I$1115,5,0))</f>
        <v>entrée twint</v>
      </c>
      <c r="C230" s="202">
        <f ca="1">IF($A230="","",VLOOKUP($A230,JOURNAL!$C$5:$I$1115,2,0))</f>
        <v>45994</v>
      </c>
      <c r="D230" s="201" t="str">
        <f ca="1">IF($A230="","",VLOOKUP($A230,JOURNAL!$C$5:$I$1115,4,0))</f>
        <v>BLV</v>
      </c>
      <c r="E230" s="187">
        <f ca="1">IF($A230="","",VLOOKUP($A230,JOURNAL!$C$5:$I$1115,3,0))</f>
        <v>347.37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200">
        <f t="shared" ca="1" si="2"/>
        <v>109</v>
      </c>
      <c r="B231" s="201" t="str">
        <f ca="1">IF($A231="","",VLOOKUP($A231,JOURNAL!$C$5:$I$1115,5,0))</f>
        <v>entrée twint</v>
      </c>
      <c r="C231" s="202">
        <f ca="1">IF($A231="","",VLOOKUP($A231,JOURNAL!$C$5:$I$1115,2,0))</f>
        <v>45995</v>
      </c>
      <c r="D231" s="201" t="str">
        <f ca="1">IF($A231="","",VLOOKUP($A231,JOURNAL!$C$5:$I$1115,4,0))</f>
        <v>BLV</v>
      </c>
      <c r="E231" s="187">
        <f ca="1">IF($A231="","",VLOOKUP($A231,JOURNAL!$C$5:$I$1115,3,0))</f>
        <v>226.95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200">
        <f t="shared" ca="1" si="2"/>
        <v>111</v>
      </c>
      <c r="B232" s="201" t="str">
        <f ca="1">IF($A232="","",VLOOKUP($A232,JOURNAL!$C$5:$I$1115,5,0))</f>
        <v>entrée twint</v>
      </c>
      <c r="C232" s="202">
        <f ca="1">IF($A232="","",VLOOKUP($A232,JOURNAL!$C$5:$I$1115,2,0))</f>
        <v>45996</v>
      </c>
      <c r="D232" s="201" t="str">
        <f ca="1">IF($A232="","",VLOOKUP($A232,JOURNAL!$C$5:$I$1115,4,0))</f>
        <v>BLV</v>
      </c>
      <c r="E232" s="187">
        <f ca="1">IF($A232="","",VLOOKUP($A232,JOURNAL!$C$5:$I$1115,3,0))</f>
        <v>515.15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200">
        <f t="shared" ca="1" si="2"/>
        <v>112</v>
      </c>
      <c r="B233" s="201" t="str">
        <f ca="1">IF($A233="","",VLOOKUP($A233,JOURNAL!$C$5:$I$1115,5,0))</f>
        <v>entrée sumup</v>
      </c>
      <c r="C233" s="202">
        <f ca="1">IF($A233="","",VLOOKUP($A233,JOURNAL!$C$5:$I$1115,2,0))</f>
        <v>45996</v>
      </c>
      <c r="D233" s="201" t="str">
        <f ca="1">IF($A233="","",VLOOKUP($A233,JOURNAL!$C$5:$I$1115,4,0))</f>
        <v>BLV</v>
      </c>
      <c r="E233" s="187">
        <f ca="1">IF($A233="","",VLOOKUP($A233,JOURNAL!$C$5:$I$1115,3,0))</f>
        <v>95.54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200">
        <f t="shared" ca="1" si="2"/>
        <v>115</v>
      </c>
      <c r="B234" s="201" t="str">
        <f ca="1">IF($A234="","",VLOOKUP($A234,JOURNAL!$C$5:$I$1115,5,0))</f>
        <v>entrée twint</v>
      </c>
      <c r="C234" s="202">
        <f ca="1">IF($A234="","",VLOOKUP($A234,JOURNAL!$C$5:$I$1115,2,0))</f>
        <v>45999</v>
      </c>
      <c r="D234" s="201" t="str">
        <f ca="1">IF($A234="","",VLOOKUP($A234,JOURNAL!$C$5:$I$1115,4,0))</f>
        <v>BLV</v>
      </c>
      <c r="E234" s="187">
        <f ca="1">IF($A234="","",VLOOKUP($A234,JOURNAL!$C$5:$I$1115,3,0))</f>
        <v>386.85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200">
        <f t="shared" ca="1" si="2"/>
        <v>116</v>
      </c>
      <c r="B235" s="201" t="str">
        <f ca="1">IF($A235="","",VLOOKUP($A235,JOURNAL!$C$5:$I$1115,5,0))</f>
        <v>entrée sumup</v>
      </c>
      <c r="C235" s="202">
        <f ca="1">IF($A235="","",VLOOKUP($A235,JOURNAL!$C$5:$I$1115,2,0))</f>
        <v>45999</v>
      </c>
      <c r="D235" s="201" t="str">
        <f ca="1">IF($A235="","",VLOOKUP($A235,JOURNAL!$C$5:$I$1115,4,0))</f>
        <v>BLV</v>
      </c>
      <c r="E235" s="187">
        <f ca="1">IF($A235="","",VLOOKUP($A235,JOURNAL!$C$5:$I$1115,3,0))</f>
        <v>410.53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200">
        <f t="shared" ca="1" si="2"/>
        <v>117</v>
      </c>
      <c r="B236" s="201" t="str">
        <f ca="1">IF($A236="","",VLOOKUP($A236,JOURNAL!$C$5:$I$1115,5,0))</f>
        <v>entrée twint</v>
      </c>
      <c r="C236" s="202">
        <f ca="1">IF($A236="","",VLOOKUP($A236,JOURNAL!$C$5:$I$1115,2,0))</f>
        <v>46000</v>
      </c>
      <c r="D236" s="201" t="str">
        <f ca="1">IF($A236="","",VLOOKUP($A236,JOURNAL!$C$5:$I$1115,4,0))</f>
        <v>BLV</v>
      </c>
      <c r="E236" s="187">
        <f ca="1">IF($A236="","",VLOOKUP($A236,JOURNAL!$C$5:$I$1115,3,0))</f>
        <v>933.16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200">
        <f t="shared" ca="1" si="2"/>
        <v>118</v>
      </c>
      <c r="B237" s="201" t="str">
        <f ca="1">IF($A237="","",VLOOKUP($A237,JOURNAL!$C$5:$I$1115,5,0))</f>
        <v>entrée twint</v>
      </c>
      <c r="C237" s="202">
        <f ca="1">IF($A237="","",VLOOKUP($A237,JOURNAL!$C$5:$I$1115,2,0))</f>
        <v>46000</v>
      </c>
      <c r="D237" s="201" t="str">
        <f ca="1">IF($A237="","",VLOOKUP($A237,JOURNAL!$C$5:$I$1115,4,0))</f>
        <v>BLV</v>
      </c>
      <c r="E237" s="187">
        <f ca="1">IF($A237="","",VLOOKUP($A237,JOURNAL!$C$5:$I$1115,3,0))</f>
        <v>1158.67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200">
        <f t="shared" ca="1" si="2"/>
        <v>119</v>
      </c>
      <c r="B238" s="201" t="str">
        <f ca="1">IF($A238="","",VLOOKUP($A238,JOURNAL!$C$5:$I$1115,5,0))</f>
        <v>entrée twint</v>
      </c>
      <c r="C238" s="202">
        <f ca="1">IF($A238="","",VLOOKUP($A238,JOURNAL!$C$5:$I$1115,2,0))</f>
        <v>46000</v>
      </c>
      <c r="D238" s="201" t="str">
        <f ca="1">IF($A238="","",VLOOKUP($A238,JOURNAL!$C$5:$I$1115,4,0))</f>
        <v>BLV</v>
      </c>
      <c r="E238" s="187">
        <f ca="1">IF($A238="","",VLOOKUP($A238,JOURNAL!$C$5:$I$1115,3,0))</f>
        <v>223.05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200">
        <f t="shared" ca="1" si="2"/>
        <v>120</v>
      </c>
      <c r="B239" s="201" t="str">
        <f ca="1">IF($A239="","",VLOOKUP($A239,JOURNAL!$C$5:$I$1115,5,0))</f>
        <v>entrée sumup</v>
      </c>
      <c r="C239" s="202">
        <f ca="1">IF($A239="","",VLOOKUP($A239,JOURNAL!$C$5:$I$1115,2,0))</f>
        <v>46002</v>
      </c>
      <c r="D239" s="201" t="str">
        <f ca="1">IF($A239="","",VLOOKUP($A239,JOURNAL!$C$5:$I$1115,4,0))</f>
        <v>BLV</v>
      </c>
      <c r="E239" s="187">
        <f ca="1">IF($A239="","",VLOOKUP($A239,JOURNAL!$C$5:$I$1115,3,0))</f>
        <v>15.6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200">
        <f t="shared" ca="1" si="2"/>
        <v>126</v>
      </c>
      <c r="B240" s="201" t="str">
        <f ca="1">IF($A240="","",VLOOKUP($A240,JOURNAL!$C$5:$I$1115,5,0))</f>
        <v>entrée twint</v>
      </c>
      <c r="C240" s="202">
        <f ca="1">IF($A240="","",VLOOKUP($A240,JOURNAL!$C$5:$I$1115,2,0))</f>
        <v>46006</v>
      </c>
      <c r="D240" s="201" t="str">
        <f ca="1">IF($A240="","",VLOOKUP($A240,JOURNAL!$C$5:$I$1115,4,0))</f>
        <v>BLV</v>
      </c>
      <c r="E240" s="187">
        <f ca="1">IF($A240="","",VLOOKUP($A240,JOURNAL!$C$5:$I$1115,3,0))</f>
        <v>0.99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200">
        <f t="shared" ca="1" si="2"/>
        <v>128</v>
      </c>
      <c r="B241" s="201" t="str">
        <f ca="1">IF($A241="","",VLOOKUP($A241,JOURNAL!$C$5:$I$1115,5,0))</f>
        <v>entrée twint</v>
      </c>
      <c r="C241" s="202">
        <f ca="1">IF($A241="","",VLOOKUP($A241,JOURNAL!$C$5:$I$1115,2,0))</f>
        <v>46008</v>
      </c>
      <c r="D241" s="201" t="str">
        <f ca="1">IF($A241="","",VLOOKUP($A241,JOURNAL!$C$5:$I$1115,4,0))</f>
        <v>BLV</v>
      </c>
      <c r="E241" s="187">
        <f ca="1">IF($A241="","",VLOOKUP($A241,JOURNAL!$C$5:$I$1115,3,0))</f>
        <v>185.53</v>
      </c>
      <c r="F241" s="4"/>
      <c r="G241" s="187">
        <f ca="1">IF($A241="","",VLOOKUP($A241,JOURNAL!$C$5:$I$1115,3,0))</f>
        <v>185.53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200">
        <f t="shared" ca="1" si="2"/>
        <v>129</v>
      </c>
      <c r="B242" s="201" t="str">
        <f ca="1">IF($A242="","",VLOOKUP($A242,JOURNAL!$C$5:$I$1115,5,0))</f>
        <v>entrée twint</v>
      </c>
      <c r="C242" s="202">
        <f ca="1">IF($A242="","",VLOOKUP($A242,JOURNAL!$C$5:$I$1115,2,0))</f>
        <v>46008</v>
      </c>
      <c r="D242" s="201" t="str">
        <f ca="1">IF($A242="","",VLOOKUP($A242,JOURNAL!$C$5:$I$1115,4,0))</f>
        <v>BLV</v>
      </c>
      <c r="E242" s="187">
        <f ca="1">IF($A242="","",VLOOKUP($A242,JOURNAL!$C$5:$I$1115,3,0))</f>
        <v>162.81</v>
      </c>
      <c r="F242" s="4"/>
      <c r="G242" s="187">
        <f ca="1">IF($A242="","",VLOOKUP($A242,JOURNAL!$C$5:$I$1115,3,0))</f>
        <v>162.81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200">
        <f t="shared" ca="1" si="2"/>
        <v>130</v>
      </c>
      <c r="B243" s="201" t="str">
        <f ca="1">IF($A243="","",VLOOKUP($A243,JOURNAL!$C$5:$I$1115,5,0))</f>
        <v>entrée twint</v>
      </c>
      <c r="C243" s="202">
        <f ca="1">IF($A243="","",VLOOKUP($A243,JOURNAL!$C$5:$I$1115,2,0))</f>
        <v>46008</v>
      </c>
      <c r="D243" s="201" t="str">
        <f ca="1">IF($A243="","",VLOOKUP($A243,JOURNAL!$C$5:$I$1115,4,0))</f>
        <v>BLV</v>
      </c>
      <c r="E243" s="187">
        <f ca="1">IF($A243="","",VLOOKUP($A243,JOURNAL!$C$5:$I$1115,3,0))</f>
        <v>130.27000000000001</v>
      </c>
      <c r="F243" s="4"/>
      <c r="G243" s="187">
        <f ca="1">IF($A243="","",VLOOKUP($A243,JOURNAL!$C$5:$I$1115,3,0))</f>
        <v>130.27000000000001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200">
        <f t="shared" ca="1" si="2"/>
        <v>133</v>
      </c>
      <c r="B244" s="201" t="str">
        <f ca="1">IF($A244="","",VLOOKUP($A244,JOURNAL!$C$5:$I$1115,5,0))</f>
        <v>entrée twint</v>
      </c>
      <c r="C244" s="202">
        <f ca="1">IF($A244="","",VLOOKUP($A244,JOURNAL!$C$5:$I$1115,2,0))</f>
        <v>46009</v>
      </c>
      <c r="D244" s="201" t="str">
        <f ca="1">IF($A244="","",VLOOKUP($A244,JOURNAL!$C$5:$I$1115,4,0))</f>
        <v>BLV</v>
      </c>
      <c r="E244" s="187">
        <f ca="1">IF($A244="","",VLOOKUP($A244,JOURNAL!$C$5:$I$1115,3,0))</f>
        <v>173.72</v>
      </c>
      <c r="F244" s="4"/>
      <c r="G244" s="187">
        <f ca="1">IF($A244="","",VLOOKUP($A244,JOURNAL!$C$5:$I$1115,3,0))</f>
        <v>173.72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200">
        <f t="shared" ca="1" si="2"/>
        <v>134</v>
      </c>
      <c r="B245" s="201" t="str">
        <f ca="1">IF($A245="","",VLOOKUP($A245,JOURNAL!$C$5:$I$1115,5,0))</f>
        <v>entrée twint</v>
      </c>
      <c r="C245" s="202">
        <f ca="1">IF($A245="","",VLOOKUP($A245,JOURNAL!$C$5:$I$1115,2,0))</f>
        <v>46009</v>
      </c>
      <c r="D245" s="201" t="str">
        <f ca="1">IF($A245="","",VLOOKUP($A245,JOURNAL!$C$5:$I$1115,4,0))</f>
        <v>BLV</v>
      </c>
      <c r="E245" s="187">
        <f ca="1">IF($A245="","",VLOOKUP($A245,JOURNAL!$C$5:$I$1115,3,0))</f>
        <v>308.89999999999998</v>
      </c>
      <c r="F245" s="4"/>
      <c r="G245" s="187">
        <f ca="1">IF($A245="","",VLOOKUP($A245,JOURNAL!$C$5:$I$1115,3,0))</f>
        <v>308.89999999999998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200">
        <f t="shared" ca="1" si="2"/>
        <v>135</v>
      </c>
      <c r="B246" s="201" t="str">
        <f ca="1">IF($A246="","",VLOOKUP($A246,JOURNAL!$C$5:$I$1115,5,0))</f>
        <v>entrée twint</v>
      </c>
      <c r="C246" s="202">
        <f ca="1">IF($A246="","",VLOOKUP($A246,JOURNAL!$C$5:$I$1115,2,0))</f>
        <v>46009</v>
      </c>
      <c r="D246" s="201" t="str">
        <f ca="1">IF($A246="","",VLOOKUP($A246,JOURNAL!$C$5:$I$1115,4,0))</f>
        <v>BLV</v>
      </c>
      <c r="E246" s="187">
        <f ca="1">IF($A246="","",VLOOKUP($A246,JOURNAL!$C$5:$I$1115,3,0))</f>
        <v>299.95999999999998</v>
      </c>
      <c r="F246" s="4"/>
      <c r="G246" s="187">
        <f ca="1">IF($A246="","",VLOOKUP($A246,JOURNAL!$C$5:$I$1115,3,0))</f>
        <v>299.95999999999998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200">
        <f t="shared" ca="1" si="2"/>
        <v>139</v>
      </c>
      <c r="B247" s="201" t="str">
        <f ca="1">IF($A247="","",VLOOKUP($A247,JOURNAL!$C$5:$I$1115,5,0))</f>
        <v>entrée twint</v>
      </c>
      <c r="C247" s="202">
        <f ca="1">IF($A247="","",VLOOKUP($A247,JOURNAL!$C$5:$I$1115,2,0))</f>
        <v>46010</v>
      </c>
      <c r="D247" s="201" t="str">
        <f ca="1">IF($A247="","",VLOOKUP($A247,JOURNAL!$C$5:$I$1115,4,0))</f>
        <v>BLV</v>
      </c>
      <c r="E247" s="187">
        <f ca="1">IF($A247="","",VLOOKUP($A247,JOURNAL!$C$5:$I$1115,3,0))</f>
        <v>325.63</v>
      </c>
      <c r="F247" s="4"/>
      <c r="G247" s="187">
        <f ca="1">IF($A247="","",VLOOKUP($A247,JOURNAL!$C$5:$I$1115,3,0))</f>
        <v>325.63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200">
        <f t="shared" ca="1" si="2"/>
        <v>140</v>
      </c>
      <c r="B248" s="201" t="str">
        <f ca="1">IF($A248="","",VLOOKUP($A248,JOURNAL!$C$5:$I$1115,5,0))</f>
        <v>entrée twint</v>
      </c>
      <c r="C248" s="202">
        <f ca="1">IF($A248="","",VLOOKUP($A248,JOURNAL!$C$5:$I$1115,2,0))</f>
        <v>46010</v>
      </c>
      <c r="D248" s="201" t="str">
        <f ca="1">IF($A248="","",VLOOKUP($A248,JOURNAL!$C$5:$I$1115,4,0))</f>
        <v>BLV</v>
      </c>
      <c r="E248" s="187">
        <f ca="1">IF($A248="","",VLOOKUP($A248,JOURNAL!$C$5:$I$1115,3,0))</f>
        <v>185.52</v>
      </c>
      <c r="F248" s="4"/>
      <c r="G248" s="187">
        <f ca="1">IF($A248="","",VLOOKUP($A248,JOURNAL!$C$5:$I$1115,3,0))</f>
        <v>185.52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200">
        <f t="shared" ca="1" si="2"/>
        <v>141</v>
      </c>
      <c r="B249" s="201" t="str">
        <f ca="1">IF($A249="","",VLOOKUP($A249,JOURNAL!$C$5:$I$1115,5,0))</f>
        <v>entrée twint</v>
      </c>
      <c r="C249" s="202">
        <f ca="1">IF($A249="","",VLOOKUP($A249,JOURNAL!$C$5:$I$1115,2,0))</f>
        <v>46010</v>
      </c>
      <c r="D249" s="201" t="str">
        <f ca="1">IF($A249="","",VLOOKUP($A249,JOURNAL!$C$5:$I$1115,4,0))</f>
        <v>BLV</v>
      </c>
      <c r="E249" s="187">
        <f ca="1">IF($A249="","",VLOOKUP($A249,JOURNAL!$C$5:$I$1115,3,0))</f>
        <v>114.47</v>
      </c>
      <c r="F249" s="4"/>
      <c r="G249" s="187">
        <f ca="1">IF($A249="","",VLOOKUP($A249,JOURNAL!$C$5:$I$1115,3,0))</f>
        <v>114.47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200">
        <f t="shared" ca="1" si="2"/>
        <v>146</v>
      </c>
      <c r="B250" s="201" t="str">
        <f ca="1">IF($A250="","",VLOOKUP($A250,JOURNAL!$C$5:$I$1115,5,0))</f>
        <v>entrée twint</v>
      </c>
      <c r="C250" s="202">
        <f ca="1">IF($A250="","",VLOOKUP($A250,JOURNAL!$C$5:$I$1115,2,0))</f>
        <v>46013</v>
      </c>
      <c r="D250" s="201" t="str">
        <f ca="1">IF($A250="","",VLOOKUP($A250,JOURNAL!$C$5:$I$1115,4,0))</f>
        <v>BLV</v>
      </c>
      <c r="E250" s="187">
        <f ca="1">IF($A250="","",VLOOKUP($A250,JOURNAL!$C$5:$I$1115,3,0))</f>
        <v>93.74</v>
      </c>
      <c r="F250" s="4"/>
      <c r="G250" s="187">
        <f ca="1">IF($A250="","",VLOOKUP($A250,JOURNAL!$C$5:$I$1115,3,0))</f>
        <v>93.74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200">
        <f t="shared" ca="1" si="2"/>
        <v>147</v>
      </c>
      <c r="B251" s="201" t="str">
        <f ca="1">IF($A251="","",VLOOKUP($A251,JOURNAL!$C$5:$I$1115,5,0))</f>
        <v>entrée twint</v>
      </c>
      <c r="C251" s="202">
        <f ca="1">IF($A251="","",VLOOKUP($A251,JOURNAL!$C$5:$I$1115,2,0))</f>
        <v>46013</v>
      </c>
      <c r="D251" s="201" t="str">
        <f ca="1">IF($A251="","",VLOOKUP($A251,JOURNAL!$C$5:$I$1115,4,0))</f>
        <v>BLV</v>
      </c>
      <c r="E251" s="187">
        <f ca="1">IF($A251="","",VLOOKUP($A251,JOURNAL!$C$5:$I$1115,3,0))</f>
        <v>793.44</v>
      </c>
      <c r="F251" s="4"/>
      <c r="G251" s="187">
        <f ca="1">IF($A251="","",VLOOKUP($A251,JOURNAL!$C$5:$I$1115,3,0))</f>
        <v>793.44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200">
        <f t="shared" ca="1" si="2"/>
        <v>148</v>
      </c>
      <c r="B252" s="201" t="str">
        <f ca="1">IF($A252="","",VLOOKUP($A252,JOURNAL!$C$5:$I$1115,5,0))</f>
        <v>entrée twint</v>
      </c>
      <c r="C252" s="202">
        <f ca="1">IF($A252="","",VLOOKUP($A252,JOURNAL!$C$5:$I$1115,2,0))</f>
        <v>46013</v>
      </c>
      <c r="D252" s="201" t="str">
        <f ca="1">IF($A252="","",VLOOKUP($A252,JOURNAL!$C$5:$I$1115,4,0))</f>
        <v>BLV</v>
      </c>
      <c r="E252" s="187">
        <f ca="1">IF($A252="","",VLOOKUP($A252,JOURNAL!$C$5:$I$1115,3,0))</f>
        <v>500.41</v>
      </c>
      <c r="F252" s="4"/>
      <c r="G252" s="187">
        <f ca="1">IF($A252="","",VLOOKUP($A252,JOURNAL!$C$5:$I$1115,3,0))</f>
        <v>500.41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200">
        <f t="shared" ca="1" si="2"/>
        <v>149</v>
      </c>
      <c r="B253" s="201" t="str">
        <f ca="1">IF($A253="","",VLOOKUP($A253,JOURNAL!$C$5:$I$1115,5,0))</f>
        <v>entrée twint</v>
      </c>
      <c r="C253" s="202">
        <f ca="1">IF($A253="","",VLOOKUP($A253,JOURNAL!$C$5:$I$1115,2,0))</f>
        <v>46013</v>
      </c>
      <c r="D253" s="201" t="str">
        <f ca="1">IF($A253="","",VLOOKUP($A253,JOURNAL!$C$5:$I$1115,4,0))</f>
        <v>BLV</v>
      </c>
      <c r="E253" s="187">
        <f ca="1">IF($A253="","",VLOOKUP($A253,JOURNAL!$C$5:$I$1115,3,0))</f>
        <v>833.86</v>
      </c>
      <c r="F253" s="4"/>
      <c r="G253" s="187">
        <f ca="1">IF($A253="","",VLOOKUP($A253,JOURNAL!$C$5:$I$1115,3,0))</f>
        <v>833.86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200">
        <f t="shared" ca="1" si="2"/>
        <v>150</v>
      </c>
      <c r="B254" s="201" t="str">
        <f ca="1">IF($A254="","",VLOOKUP($A254,JOURNAL!$C$5:$I$1115,5,0))</f>
        <v>entrée twint</v>
      </c>
      <c r="C254" s="202">
        <f ca="1">IF($A254="","",VLOOKUP($A254,JOURNAL!$C$5:$I$1115,2,0))</f>
        <v>46014</v>
      </c>
      <c r="D254" s="201" t="str">
        <f ca="1">IF($A254="","",VLOOKUP($A254,JOURNAL!$C$5:$I$1115,4,0))</f>
        <v>BLV</v>
      </c>
      <c r="E254" s="187">
        <f ca="1">IF($A254="","",VLOOKUP($A254,JOURNAL!$C$5:$I$1115,3,0))</f>
        <v>175.68</v>
      </c>
      <c r="F254" s="4"/>
      <c r="G254" s="187">
        <f ca="1">IF($A254="","",VLOOKUP($A254,JOURNAL!$C$5:$I$1115,3,0))</f>
        <v>175.68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200">
        <f t="shared" ca="1" si="2"/>
        <v>151</v>
      </c>
      <c r="B255" s="201" t="str">
        <f ca="1">IF($A255="","",VLOOKUP($A255,JOURNAL!$C$5:$I$1115,5,0))</f>
        <v>entrée twint</v>
      </c>
      <c r="C255" s="202">
        <f ca="1">IF($A255="","",VLOOKUP($A255,JOURNAL!$C$5:$I$1115,2,0))</f>
        <v>46014</v>
      </c>
      <c r="D255" s="201" t="str">
        <f ca="1">IF($A255="","",VLOOKUP($A255,JOURNAL!$C$5:$I$1115,4,0))</f>
        <v>BLV</v>
      </c>
      <c r="E255" s="187">
        <f ca="1">IF($A255="","",VLOOKUP($A255,JOURNAL!$C$5:$I$1115,3,0))</f>
        <v>19.739999999999998</v>
      </c>
      <c r="F255" s="4"/>
      <c r="G255" s="187">
        <f ca="1">IF($A255="","",VLOOKUP($A255,JOURNAL!$C$5:$I$1115,3,0))</f>
        <v>19.739999999999998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200">
        <f t="shared" ca="1" si="2"/>
        <v>152</v>
      </c>
      <c r="B256" s="201" t="str">
        <f ca="1">IF($A256="","",VLOOKUP($A256,JOURNAL!$C$5:$I$1115,5,0))</f>
        <v>entrée twint</v>
      </c>
      <c r="C256" s="202">
        <f ca="1">IF($A256="","",VLOOKUP($A256,JOURNAL!$C$5:$I$1115,2,0))</f>
        <v>46014</v>
      </c>
      <c r="D256" s="201" t="str">
        <f ca="1">IF($A256="","",VLOOKUP($A256,JOURNAL!$C$5:$I$1115,4,0))</f>
        <v>BLV</v>
      </c>
      <c r="E256" s="187">
        <f ca="1">IF($A256="","",VLOOKUP($A256,JOURNAL!$C$5:$I$1115,3,0))</f>
        <v>81.91</v>
      </c>
      <c r="F256" s="4"/>
      <c r="G256" s="187">
        <f ca="1">IF($A256="","",VLOOKUP($A256,JOURNAL!$C$5:$I$1115,3,0))</f>
        <v>81.91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">
      <c r="A257" s="200">
        <f t="shared" ca="1" si="2"/>
        <v>153</v>
      </c>
      <c r="B257" s="201" t="str">
        <f ca="1">IF($A257="","",VLOOKUP($A257,JOURNAL!$C$5:$I$1115,5,0))</f>
        <v>entrée twint</v>
      </c>
      <c r="C257" s="202">
        <f ca="1">IF($A257="","",VLOOKUP($A257,JOURNAL!$C$5:$I$1115,2,0))</f>
        <v>46014</v>
      </c>
      <c r="D257" s="201" t="str">
        <f ca="1">IF($A257="","",VLOOKUP($A257,JOURNAL!$C$5:$I$1115,4,0))</f>
        <v>BLV</v>
      </c>
      <c r="E257" s="187">
        <f ca="1">IF($A257="","",VLOOKUP($A257,JOURNAL!$C$5:$I$1115,3,0))</f>
        <v>154.93</v>
      </c>
      <c r="F257" s="4"/>
      <c r="G257" s="187">
        <f ca="1">IF($A257="","",VLOOKUP($A257,JOURNAL!$C$5:$I$1115,3,0))</f>
        <v>154.93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">
      <c r="A258" s="200">
        <f t="shared" ca="1" si="2"/>
        <v>154</v>
      </c>
      <c r="B258" s="201" t="str">
        <f ca="1">IF($A258="","",VLOOKUP($A258,JOURNAL!$C$5:$I$1115,5,0))</f>
        <v>entrée twint</v>
      </c>
      <c r="C258" s="202">
        <f ca="1">IF($A258="","",VLOOKUP($A258,JOURNAL!$C$5:$I$1115,2,0))</f>
        <v>46014</v>
      </c>
      <c r="D258" s="201" t="str">
        <f ca="1">IF($A258="","",VLOOKUP($A258,JOURNAL!$C$5:$I$1115,4,0))</f>
        <v>BLV</v>
      </c>
      <c r="E258" s="187">
        <f ca="1">IF($A258="","",VLOOKUP($A258,JOURNAL!$C$5:$I$1115,3,0))</f>
        <v>290.14999999999998</v>
      </c>
      <c r="F258" s="4"/>
      <c r="G258" s="187">
        <f ca="1">IF($A258="","",VLOOKUP($A258,JOURNAL!$C$5:$I$1115,3,0))</f>
        <v>290.14999999999998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2">
      <c r="A259" s="200">
        <f t="shared" ca="1" si="2"/>
        <v>155</v>
      </c>
      <c r="B259" s="201" t="str">
        <f ca="1">IF($A259="","",VLOOKUP($A259,JOURNAL!$C$5:$I$1115,5,0))</f>
        <v>entrée twint</v>
      </c>
      <c r="C259" s="202">
        <f ca="1">IF($A259="","",VLOOKUP($A259,JOURNAL!$C$5:$I$1115,2,0))</f>
        <v>46014</v>
      </c>
      <c r="D259" s="201" t="str">
        <f ca="1">IF($A259="","",VLOOKUP($A259,JOURNAL!$C$5:$I$1115,4,0))</f>
        <v>BLV</v>
      </c>
      <c r="E259" s="187">
        <f ca="1">IF($A259="","",VLOOKUP($A259,JOURNAL!$C$5:$I$1115,3,0))</f>
        <v>149.03</v>
      </c>
      <c r="F259" s="4"/>
      <c r="G259" s="187">
        <f ca="1">IF($A259="","",VLOOKUP($A259,JOURNAL!$C$5:$I$1115,3,0))</f>
        <v>149.03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2">
      <c r="A260" s="200">
        <f t="shared" ca="1" si="2"/>
        <v>164</v>
      </c>
      <c r="B260" s="201" t="str">
        <f ca="1">IF($A260="","",VLOOKUP($A260,JOURNAL!$C$5:$I$1115,5,0))</f>
        <v>entrée twint</v>
      </c>
      <c r="C260" s="202">
        <f ca="1">IF($A260="","",VLOOKUP($A260,JOURNAL!$C$5:$I$1115,2,0))</f>
        <v>46041</v>
      </c>
      <c r="D260" s="201" t="str">
        <f ca="1">IF($A260="","",VLOOKUP($A260,JOURNAL!$C$5:$I$1115,4,0))</f>
        <v>BLV</v>
      </c>
      <c r="E260" s="187">
        <f ca="1">IF($A260="","",VLOOKUP($A260,JOURNAL!$C$5:$I$1115,3,0))</f>
        <v>0.99</v>
      </c>
      <c r="F260" s="4"/>
      <c r="G260" s="187">
        <f ca="1">IF($A260="","",VLOOKUP($A260,JOURNAL!$C$5:$I$1115,3,0))</f>
        <v>0.99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2">
      <c r="A261" s="200">
        <f t="shared" ca="1" si="2"/>
        <v>166</v>
      </c>
      <c r="B261" s="201" t="str">
        <f ca="1">IF($A261="","",VLOOKUP($A261,JOURNAL!$C$5:$I$1115,5,0))</f>
        <v>Entrée twint</v>
      </c>
      <c r="C261" s="202">
        <f ca="1">IF($A261="","",VLOOKUP($A261,JOURNAL!$C$5:$I$1115,2,0))</f>
        <v>46043</v>
      </c>
      <c r="D261" s="201" t="str">
        <f ca="1">IF($A261="","",VLOOKUP($A261,JOURNAL!$C$5:$I$1115,4,0))</f>
        <v>BLV</v>
      </c>
      <c r="E261" s="187">
        <f ca="1">IF($A261="","",VLOOKUP($A261,JOURNAL!$C$5:$I$1115,3,0))</f>
        <v>1.97</v>
      </c>
      <c r="F261" s="4"/>
      <c r="G261" s="187">
        <f ca="1">IF($A261="","",VLOOKUP($A261,JOURNAL!$C$5:$I$1115,3,0))</f>
        <v>1.97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2">
      <c r="A262" s="200">
        <f t="shared" ca="1" si="2"/>
        <v>167</v>
      </c>
      <c r="B262" s="201" t="str">
        <f ca="1">IF($A262="","",VLOOKUP($A262,JOURNAL!$C$5:$I$1115,5,0))</f>
        <v>Entrée twint</v>
      </c>
      <c r="C262" s="202">
        <f ca="1">IF($A262="","",VLOOKUP($A262,JOURNAL!$C$5:$I$1115,2,0))</f>
        <v>46048</v>
      </c>
      <c r="D262" s="201" t="str">
        <f ca="1">IF($A262="","",VLOOKUP($A262,JOURNAL!$C$5:$I$1115,4,0))</f>
        <v>BLV</v>
      </c>
      <c r="E262" s="187">
        <f ca="1">IF($A262="","",VLOOKUP($A262,JOURNAL!$C$5:$I$1115,3,0))</f>
        <v>3.95</v>
      </c>
      <c r="F262" s="4"/>
      <c r="G262" s="187">
        <f ca="1">IF($A262="","",VLOOKUP($A262,JOURNAL!$C$5:$I$1115,3,0))</f>
        <v>3.95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2">
      <c r="A263" s="200">
        <f t="shared" ca="1" si="2"/>
        <v>168</v>
      </c>
      <c r="B263" s="201" t="str">
        <f ca="1">IF($A263="","",VLOOKUP($A263,JOURNAL!$C$5:$I$1115,5,0))</f>
        <v>Entrée twint</v>
      </c>
      <c r="C263" s="202">
        <f ca="1">IF($A263="","",VLOOKUP($A263,JOURNAL!$C$5:$I$1115,2,0))</f>
        <v>46049</v>
      </c>
      <c r="D263" s="201" t="str">
        <f ca="1">IF($A263="","",VLOOKUP($A263,JOURNAL!$C$5:$I$1115,4,0))</f>
        <v>BLV</v>
      </c>
      <c r="E263" s="187">
        <f ca="1">IF($A263="","",VLOOKUP($A263,JOURNAL!$C$5:$I$1115,3,0))</f>
        <v>4.93</v>
      </c>
      <c r="F263" s="4"/>
      <c r="G263" s="187">
        <f ca="1">IF($A263="","",VLOOKUP($A263,JOURNAL!$C$5:$I$1115,3,0))</f>
        <v>4.93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2">
      <c r="A264" s="200">
        <f t="shared" ca="1" si="2"/>
        <v>174</v>
      </c>
      <c r="B264" s="201" t="str">
        <f ca="1">IF($A264="","",VLOOKUP($A264,JOURNAL!$C$5:$I$1115,5,0))</f>
        <v>Entrées baleiski twint</v>
      </c>
      <c r="C264" s="202">
        <f ca="1">IF($A264="","",VLOOKUP($A264,JOURNAL!$C$5:$I$1115,2,0))</f>
        <v>46070</v>
      </c>
      <c r="D264" s="201" t="str">
        <f ca="1">IF($A264="","",VLOOKUP($A264,JOURNAL!$C$5:$I$1115,4,0))</f>
        <v>BLV</v>
      </c>
      <c r="E264" s="187">
        <f ca="1">IF($A264="","",VLOOKUP($A264,JOURNAL!$C$5:$I$1115,3,0))</f>
        <v>283.27</v>
      </c>
      <c r="F264" s="4"/>
      <c r="G264" s="187">
        <f ca="1">IF($A264="","",VLOOKUP($A264,JOURNAL!$C$5:$I$1115,3,0))</f>
        <v>283.27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2">
      <c r="A265" s="200">
        <f t="shared" ca="1" si="2"/>
        <v>175</v>
      </c>
      <c r="B265" s="201" t="str">
        <f ca="1">IF($A265="","",VLOOKUP($A265,JOURNAL!$C$5:$I$1115,5,0))</f>
        <v>Entrées baleiski twint</v>
      </c>
      <c r="C265" s="202">
        <f ca="1">IF($A265="","",VLOOKUP($A265,JOURNAL!$C$5:$I$1115,2,0))</f>
        <v>46070</v>
      </c>
      <c r="D265" s="201" t="str">
        <f ca="1">IF($A265="","",VLOOKUP($A265,JOURNAL!$C$5:$I$1115,4,0))</f>
        <v>BLV</v>
      </c>
      <c r="E265" s="187">
        <f ca="1">IF($A265="","",VLOOKUP($A265,JOURNAL!$C$5:$I$1115,3,0))</f>
        <v>89.81</v>
      </c>
      <c r="F265" s="4"/>
      <c r="G265" s="187">
        <f ca="1">IF($A265="","",VLOOKUP($A265,JOURNAL!$C$5:$I$1115,3,0))</f>
        <v>89.81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2">
      <c r="A266" s="200">
        <f t="shared" ca="1" si="2"/>
        <v>178</v>
      </c>
      <c r="B266" s="201" t="str">
        <f ca="1">IF($A266="","",VLOOKUP($A266,JOURNAL!$C$5:$I$1115,5,0))</f>
        <v>Entrées SG</v>
      </c>
      <c r="C266" s="202">
        <f ca="1">IF($A266="","",VLOOKUP($A266,JOURNAL!$C$5:$I$1115,2,0))</f>
        <v>46072</v>
      </c>
      <c r="D266" s="201" t="str">
        <f ca="1">IF($A266="","",VLOOKUP($A266,JOURNAL!$C$5:$I$1115,4,0))</f>
        <v>BLV</v>
      </c>
      <c r="E266" s="187">
        <f ca="1">IF($A266="","",VLOOKUP($A266,JOURNAL!$C$5:$I$1115,3,0))</f>
        <v>75.97</v>
      </c>
      <c r="F266" s="4"/>
      <c r="G266" s="187">
        <f ca="1">IF($A266="","",VLOOKUP($A266,JOURNAL!$C$5:$I$1115,3,0))</f>
        <v>75.97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2">
      <c r="A267" s="200">
        <f t="shared" ca="1" si="2"/>
        <v>181</v>
      </c>
      <c r="B267" s="201" t="str">
        <f ca="1">IF($A267="","",VLOOKUP($A267,JOURNAL!$C$5:$I$1115,5,0))</f>
        <v xml:space="preserve">twint </v>
      </c>
      <c r="C267" s="202">
        <f ca="1">IF($A267="","",VLOOKUP($A267,JOURNAL!$C$5:$I$1115,2,0))</f>
        <v>46076</v>
      </c>
      <c r="D267" s="201" t="str">
        <f ca="1">IF($A267="","",VLOOKUP($A267,JOURNAL!$C$5:$I$1115,4,0))</f>
        <v>BLV</v>
      </c>
      <c r="E267" s="187">
        <f ca="1">IF($A267="","",VLOOKUP($A267,JOURNAL!$C$5:$I$1115,3,0))</f>
        <v>189.48</v>
      </c>
      <c r="F267" s="4"/>
      <c r="G267" s="187">
        <f ca="1">IF($A267="","",VLOOKUP($A267,JOURNAL!$C$5:$I$1115,3,0))</f>
        <v>189.48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2">
      <c r="A268" s="200">
        <f t="shared" ca="1" si="2"/>
        <v>182</v>
      </c>
      <c r="B268" s="201" t="str">
        <f ca="1">IF($A268="","",VLOOKUP($A268,JOURNAL!$C$5:$I$1115,5,0))</f>
        <v xml:space="preserve">twint </v>
      </c>
      <c r="C268" s="202">
        <f ca="1">IF($A268="","",VLOOKUP($A268,JOURNAL!$C$5:$I$1115,2,0))</f>
        <v>46076</v>
      </c>
      <c r="D268" s="201" t="str">
        <f ca="1">IF($A268="","",VLOOKUP($A268,JOURNAL!$C$5:$I$1115,4,0))</f>
        <v>BLV</v>
      </c>
      <c r="E268" s="187">
        <f ca="1">IF($A268="","",VLOOKUP($A268,JOURNAL!$C$5:$I$1115,3,0))</f>
        <v>0.99</v>
      </c>
      <c r="F268" s="4"/>
      <c r="G268" s="187">
        <f ca="1">IF($A268="","",VLOOKUP($A268,JOURNAL!$C$5:$I$1115,3,0))</f>
        <v>0.99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2">
      <c r="A269" s="200">
        <f t="shared" ca="1" si="2"/>
        <v>183</v>
      </c>
      <c r="B269" s="201" t="str">
        <f ca="1">IF($A269="","",VLOOKUP($A269,JOURNAL!$C$5:$I$1115,5,0))</f>
        <v xml:space="preserve">twint </v>
      </c>
      <c r="C269" s="202">
        <f ca="1">IF($A269="","",VLOOKUP($A269,JOURNAL!$C$5:$I$1115,2,0))</f>
        <v>46077</v>
      </c>
      <c r="D269" s="201" t="str">
        <f ca="1">IF($A269="","",VLOOKUP($A269,JOURNAL!$C$5:$I$1115,4,0))</f>
        <v>BLV</v>
      </c>
      <c r="E269" s="187">
        <f ca="1">IF($A269="","",VLOOKUP($A269,JOURNAL!$C$5:$I$1115,3,0))</f>
        <v>78.959999999999994</v>
      </c>
      <c r="F269" s="4"/>
      <c r="G269" s="187">
        <f ca="1">IF($A269="","",VLOOKUP($A269,JOURNAL!$C$5:$I$1115,3,0))</f>
        <v>78.959999999999994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2">
      <c r="A270" s="200">
        <f t="shared" ca="1" si="2"/>
        <v>184</v>
      </c>
      <c r="B270" s="201" t="str">
        <f ca="1">IF($A270="","",VLOOKUP($A270,JOURNAL!$C$5:$I$1115,5,0))</f>
        <v xml:space="preserve">twint </v>
      </c>
      <c r="C270" s="202">
        <f ca="1">IF($A270="","",VLOOKUP($A270,JOURNAL!$C$5:$I$1115,2,0))</f>
        <v>46077</v>
      </c>
      <c r="D270" s="201" t="str">
        <f ca="1">IF($A270="","",VLOOKUP($A270,JOURNAL!$C$5:$I$1115,4,0))</f>
        <v>BLV</v>
      </c>
      <c r="E270" s="187">
        <f ca="1">IF($A270="","",VLOOKUP($A270,JOURNAL!$C$5:$I$1115,3,0))</f>
        <v>34.549999999999997</v>
      </c>
      <c r="F270" s="4"/>
      <c r="G270" s="187">
        <f ca="1">IF($A270="","",VLOOKUP($A270,JOURNAL!$C$5:$I$1115,3,0))</f>
        <v>34.549999999999997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2">
      <c r="A271" s="200">
        <f t="shared" ca="1" si="2"/>
        <v>186</v>
      </c>
      <c r="B271" s="201" t="str">
        <f ca="1">IF($A271="","",VLOOKUP($A271,JOURNAL!$C$5:$I$1115,5,0))</f>
        <v xml:space="preserve">twint </v>
      </c>
      <c r="C271" s="202">
        <f ca="1">IF($A271="","",VLOOKUP($A271,JOURNAL!$C$5:$I$1115,2,0))</f>
        <v>46083</v>
      </c>
      <c r="D271" s="201" t="str">
        <f ca="1">IF($A271="","",VLOOKUP($A271,JOURNAL!$C$5:$I$1115,4,0))</f>
        <v>BLV</v>
      </c>
      <c r="E271" s="187">
        <f ca="1">IF($A271="","",VLOOKUP($A271,JOURNAL!$C$5:$I$1115,3,0))</f>
        <v>7.9</v>
      </c>
      <c r="F271" s="4"/>
      <c r="G271" s="187">
        <f ca="1">IF($A271="","",VLOOKUP($A271,JOURNAL!$C$5:$I$1115,3,0))</f>
        <v>7.9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2">
      <c r="A272" s="200">
        <f t="shared" ca="1" si="2"/>
        <v>187</v>
      </c>
      <c r="B272" s="201" t="str">
        <f ca="1">IF($A272="","",VLOOKUP($A272,JOURNAL!$C$5:$I$1115,5,0))</f>
        <v xml:space="preserve">twint </v>
      </c>
      <c r="C272" s="202">
        <f ca="1">IF($A272="","",VLOOKUP($A272,JOURNAL!$C$5:$I$1115,2,0))</f>
        <v>46084</v>
      </c>
      <c r="D272" s="201" t="str">
        <f ca="1">IF($A272="","",VLOOKUP($A272,JOURNAL!$C$5:$I$1115,4,0))</f>
        <v>BLV</v>
      </c>
      <c r="E272" s="187">
        <f ca="1">IF($A272="","",VLOOKUP($A272,JOURNAL!$C$5:$I$1115,3,0))</f>
        <v>3.95</v>
      </c>
      <c r="F272" s="4"/>
      <c r="G272" s="187">
        <f ca="1">IF($A272="","",VLOOKUP($A272,JOURNAL!$C$5:$I$1115,3,0))</f>
        <v>3.95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2">
      <c r="A273" s="200">
        <f t="shared" ca="1" si="2"/>
        <v>202</v>
      </c>
      <c r="B273" s="201" t="str">
        <f ca="1">IF($A273="","",VLOOKUP($A273,JOURNAL!$C$5:$I$1115,5,0))</f>
        <v>Entrées Crunch</v>
      </c>
      <c r="C273" s="202">
        <f ca="1">IF($A273="","",VLOOKUP($A273,JOURNAL!$C$5:$I$1115,2,0))</f>
        <v>46090</v>
      </c>
      <c r="D273" s="201" t="str">
        <f ca="1">IF($A273="","",VLOOKUP($A273,JOURNAL!$C$5:$I$1115,4,0))</f>
        <v>BLV</v>
      </c>
      <c r="E273" s="187">
        <f ca="1">IF($A273="","",VLOOKUP($A273,JOURNAL!$C$5:$I$1115,3,0))</f>
        <v>42.45</v>
      </c>
      <c r="F273" s="4"/>
      <c r="G273" s="187">
        <f ca="1">IF($A273="","",VLOOKUP($A273,JOURNAL!$C$5:$I$1115,3,0))</f>
        <v>42.45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 x14ac:dyDescent="0.2">
      <c r="A274" s="200">
        <f t="shared" ca="1" si="2"/>
        <v>204</v>
      </c>
      <c r="B274" s="201" t="str">
        <f ca="1">IF($A274="","",VLOOKUP($A274,JOURNAL!$C$5:$I$1115,5,0))</f>
        <v>twint</v>
      </c>
      <c r="C274" s="202">
        <f ca="1">IF($A274="","",VLOOKUP($A274,JOURNAL!$C$5:$I$1115,2,0))</f>
        <v>46090</v>
      </c>
      <c r="D274" s="201" t="str">
        <f ca="1">IF($A274="","",VLOOKUP($A274,JOURNAL!$C$5:$I$1115,4,0))</f>
        <v>BLV</v>
      </c>
      <c r="E274" s="187">
        <f ca="1">IF($A274="","",VLOOKUP($A274,JOURNAL!$C$5:$I$1115,3,0))</f>
        <v>65.14</v>
      </c>
      <c r="F274" s="4"/>
      <c r="G274" s="187">
        <f ca="1">IF($A274="","",VLOOKUP($A274,JOURNAL!$C$5:$I$1115,3,0))</f>
        <v>65.14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2">
      <c r="A275" s="200">
        <f t="shared" ca="1" si="2"/>
        <v>205</v>
      </c>
      <c r="B275" s="201" t="str">
        <f ca="1">IF($A275="","",VLOOKUP($A275,JOURNAL!$C$5:$I$1115,5,0))</f>
        <v>twint</v>
      </c>
      <c r="C275" s="202">
        <f ca="1">IF($A275="","",VLOOKUP($A275,JOURNAL!$C$5:$I$1115,2,0))</f>
        <v>46090</v>
      </c>
      <c r="D275" s="201" t="str">
        <f ca="1">IF($A275="","",VLOOKUP($A275,JOURNAL!$C$5:$I$1115,4,0))</f>
        <v>BLV</v>
      </c>
      <c r="E275" s="187">
        <f ca="1">IF($A275="","",VLOOKUP($A275,JOURNAL!$C$5:$I$1115,3,0))</f>
        <v>498.33</v>
      </c>
      <c r="F275" s="4"/>
      <c r="G275" s="187">
        <f ca="1">IF($A275="","",VLOOKUP($A275,JOURNAL!$C$5:$I$1115,3,0))</f>
        <v>498.33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2">
      <c r="A276" s="200">
        <f t="shared" ca="1" si="2"/>
        <v>206</v>
      </c>
      <c r="B276" s="201" t="str">
        <f ca="1">IF($A276="","",VLOOKUP($A276,JOURNAL!$C$5:$I$1115,5,0))</f>
        <v>twint</v>
      </c>
      <c r="C276" s="202">
        <f ca="1">IF($A276="","",VLOOKUP($A276,JOURNAL!$C$5:$I$1115,2,0))</f>
        <v>46091</v>
      </c>
      <c r="D276" s="201" t="str">
        <f ca="1">IF($A276="","",VLOOKUP($A276,JOURNAL!$C$5:$I$1115,4,0))</f>
        <v>BLV</v>
      </c>
      <c r="E276" s="187">
        <f ca="1">IF($A276="","",VLOOKUP($A276,JOURNAL!$C$5:$I$1115,3,0))</f>
        <v>20.72</v>
      </c>
      <c r="F276" s="4"/>
      <c r="G276" s="187">
        <f ca="1">IF($A276="","",VLOOKUP($A276,JOURNAL!$C$5:$I$1115,3,0))</f>
        <v>20.72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2">
      <c r="A277" s="200">
        <f t="shared" ca="1" si="2"/>
        <v>207</v>
      </c>
      <c r="B277" s="201" t="str">
        <f ca="1">IF($A277="","",VLOOKUP($A277,JOURNAL!$C$5:$I$1115,5,0))</f>
        <v>twint</v>
      </c>
      <c r="C277" s="202">
        <f ca="1">IF($A277="","",VLOOKUP($A277,JOURNAL!$C$5:$I$1115,2,0))</f>
        <v>46091</v>
      </c>
      <c r="D277" s="201" t="str">
        <f ca="1">IF($A277="","",VLOOKUP($A277,JOURNAL!$C$5:$I$1115,4,0))</f>
        <v>BLV</v>
      </c>
      <c r="E277" s="187">
        <f ca="1">IF($A277="","",VLOOKUP($A277,JOURNAL!$C$5:$I$1115,3,0))</f>
        <v>4.93</v>
      </c>
      <c r="F277" s="4"/>
      <c r="G277" s="187">
        <f ca="1">IF($A277="","",VLOOKUP($A277,JOURNAL!$C$5:$I$1115,3,0))</f>
        <v>4.93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2">
      <c r="A278" s="200">
        <f t="shared" ca="1" si="2"/>
        <v>208</v>
      </c>
      <c r="B278" s="201" t="str">
        <f ca="1">IF($A278="","",VLOOKUP($A278,JOURNAL!$C$5:$I$1115,5,0))</f>
        <v>twint</v>
      </c>
      <c r="C278" s="202">
        <f ca="1">IF($A278="","",VLOOKUP($A278,JOURNAL!$C$5:$I$1115,2,0))</f>
        <v>46092</v>
      </c>
      <c r="D278" s="201" t="str">
        <f ca="1">IF($A278="","",VLOOKUP($A278,JOURNAL!$C$5:$I$1115,4,0))</f>
        <v>BLV</v>
      </c>
      <c r="E278" s="187">
        <f ca="1">IF($A278="","",VLOOKUP($A278,JOURNAL!$C$5:$I$1115,3,0))</f>
        <v>33.56</v>
      </c>
      <c r="F278" s="4"/>
      <c r="G278" s="187">
        <f ca="1">IF($A278="","",VLOOKUP($A278,JOURNAL!$C$5:$I$1115,3,0))</f>
        <v>33.56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2">
      <c r="A279" s="200">
        <f t="shared" ca="1" si="2"/>
        <v>209</v>
      </c>
      <c r="B279" s="201" t="str">
        <f ca="1">IF($A279="","",VLOOKUP($A279,JOURNAL!$C$5:$I$1115,5,0))</f>
        <v>twint</v>
      </c>
      <c r="C279" s="202">
        <f ca="1">IF($A279="","",VLOOKUP($A279,JOURNAL!$C$5:$I$1115,2,0))</f>
        <v>46092</v>
      </c>
      <c r="D279" s="201" t="str">
        <f ca="1">IF($A279="","",VLOOKUP($A279,JOURNAL!$C$5:$I$1115,4,0))</f>
        <v>BLV</v>
      </c>
      <c r="E279" s="187">
        <f ca="1">IF($A279="","",VLOOKUP($A279,JOURNAL!$C$5:$I$1115,3,0))</f>
        <v>59.22</v>
      </c>
      <c r="F279" s="4"/>
      <c r="G279" s="187">
        <f ca="1">IF($A279="","",VLOOKUP($A279,JOURNAL!$C$5:$I$1115,3,0))</f>
        <v>59.22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 x14ac:dyDescent="0.2">
      <c r="A280" s="200">
        <f t="shared" ca="1" si="2"/>
        <v>210</v>
      </c>
      <c r="B280" s="201" t="str">
        <f ca="1">IF($A280="","",VLOOKUP($A280,JOURNAL!$C$5:$I$1115,5,0))</f>
        <v>twint</v>
      </c>
      <c r="C280" s="202">
        <f ca="1">IF($A280="","",VLOOKUP($A280,JOURNAL!$C$5:$I$1115,2,0))</f>
        <v>46093</v>
      </c>
      <c r="D280" s="201" t="str">
        <f ca="1">IF($A280="","",VLOOKUP($A280,JOURNAL!$C$5:$I$1115,4,0))</f>
        <v>BLV</v>
      </c>
      <c r="E280" s="187">
        <f ca="1">IF($A280="","",VLOOKUP($A280,JOURNAL!$C$5:$I$1115,3,0))</f>
        <v>17.77</v>
      </c>
      <c r="F280" s="4"/>
      <c r="G280" s="187">
        <v>155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 x14ac:dyDescent="0.2">
      <c r="A281" s="200">
        <f t="shared" ca="1" si="2"/>
        <v>211</v>
      </c>
      <c r="B281" s="201" t="str">
        <f ca="1">IF($A281="","",VLOOKUP($A281,JOURNAL!$C$5:$I$1115,5,0))</f>
        <v>twint</v>
      </c>
      <c r="C281" s="202">
        <f ca="1">IF($A281="","",VLOOKUP($A281,JOURNAL!$C$5:$I$1115,2,0))</f>
        <v>46093</v>
      </c>
      <c r="D281" s="201" t="str">
        <f ca="1">IF($A281="","",VLOOKUP($A281,JOURNAL!$C$5:$I$1115,4,0))</f>
        <v>BLV</v>
      </c>
      <c r="E281" s="187">
        <f ca="1">IF($A281="","",VLOOKUP($A281,JOURNAL!$C$5:$I$1115,3,0))</f>
        <v>89.82</v>
      </c>
      <c r="F281" s="4"/>
      <c r="G281" s="4">
        <v>444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 x14ac:dyDescent="0.2">
      <c r="A282" s="200">
        <f t="shared" ca="1" si="2"/>
        <v>212</v>
      </c>
      <c r="B282" s="201" t="str">
        <f ca="1">IF($A282="","",VLOOKUP($A282,JOURNAL!$C$5:$I$1115,5,0))</f>
        <v>twint</v>
      </c>
      <c r="C282" s="202">
        <f ca="1">IF($A282="","",VLOOKUP($A282,JOURNAL!$C$5:$I$1115,2,0))</f>
        <v>46093</v>
      </c>
      <c r="D282" s="201" t="str">
        <f ca="1">IF($A282="","",VLOOKUP($A282,JOURNAL!$C$5:$I$1115,4,0))</f>
        <v>BLV</v>
      </c>
      <c r="E282" s="187">
        <f ca="1">IF($A282="","",VLOOKUP($A282,JOURNAL!$C$5:$I$1115,3,0))</f>
        <v>88.83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 x14ac:dyDescent="0.2">
      <c r="A283" s="200">
        <f t="shared" ca="1" si="2"/>
        <v>213</v>
      </c>
      <c r="B283" s="201" t="str">
        <f ca="1">IF($A283="","",VLOOKUP($A283,JOURNAL!$C$5:$I$1115,5,0))</f>
        <v>twint</v>
      </c>
      <c r="C283" s="202">
        <f ca="1">IF($A283="","",VLOOKUP($A283,JOURNAL!$C$5:$I$1115,2,0))</f>
        <v>46094</v>
      </c>
      <c r="D283" s="201" t="str">
        <f ca="1">IF($A283="","",VLOOKUP($A283,JOURNAL!$C$5:$I$1115,4,0))</f>
        <v>BLV</v>
      </c>
      <c r="E283" s="187">
        <f ca="1">IF($A283="","",VLOOKUP($A283,JOURNAL!$C$5:$I$1115,3,0))</f>
        <v>223.07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 x14ac:dyDescent="0.2">
      <c r="A284" s="200">
        <f t="shared" ca="1" si="2"/>
        <v>214</v>
      </c>
      <c r="B284" s="201" t="str">
        <f ca="1">IF($A284="","",VLOOKUP($A284,JOURNAL!$C$5:$I$1115,5,0))</f>
        <v>twint</v>
      </c>
      <c r="C284" s="202">
        <f ca="1">IF($A284="","",VLOOKUP($A284,JOURNAL!$C$5:$I$1115,2,0))</f>
        <v>46094</v>
      </c>
      <c r="D284" s="201" t="str">
        <f ca="1">IF($A284="","",VLOOKUP($A284,JOURNAL!$C$5:$I$1115,4,0))</f>
        <v>BLV</v>
      </c>
      <c r="E284" s="187">
        <f ca="1">IF($A284="","",VLOOKUP($A284,JOURNAL!$C$5:$I$1115,3,0))</f>
        <v>549.83000000000004</v>
      </c>
      <c r="F284" s="4" t="s">
        <v>304</v>
      </c>
      <c r="G284" s="4">
        <v>23023.31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 x14ac:dyDescent="0.2">
      <c r="A285" s="200">
        <f t="shared" ca="1" si="2"/>
        <v>215</v>
      </c>
      <c r="B285" s="201" t="str">
        <f ca="1">IF($A285="","",VLOOKUP($A285,JOURNAL!$C$5:$I$1115,5,0))</f>
        <v>twint</v>
      </c>
      <c r="C285" s="202">
        <f ca="1">IF($A285="","",VLOOKUP($A285,JOURNAL!$C$5:$I$1115,2,0))</f>
        <v>46094</v>
      </c>
      <c r="D285" s="201" t="str">
        <f ca="1">IF($A285="","",VLOOKUP($A285,JOURNAL!$C$5:$I$1115,4,0))</f>
        <v>BLV</v>
      </c>
      <c r="E285" s="187">
        <f ca="1">IF($A285="","",VLOOKUP($A285,JOURNAL!$C$5:$I$1115,3,0))</f>
        <v>49.35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 x14ac:dyDescent="0.2">
      <c r="A286" s="200" t="str">
        <f t="shared" ca="1" si="2"/>
        <v/>
      </c>
      <c r="B286" s="201" t="str">
        <f ca="1">IF($A286="","",VLOOKUP($A286,JOURNAL!$C$5:$I$1115,5,0))</f>
        <v/>
      </c>
      <c r="C286" s="202" t="str">
        <f ca="1">IF($A286="","",VLOOKUP($A286,JOURNAL!$C$5:$I$1115,2,0))</f>
        <v/>
      </c>
      <c r="D286" s="201" t="str">
        <f ca="1">IF($A286="","",VLOOKUP($A286,JOURNAL!$C$5:$I$1115,4,0))</f>
        <v/>
      </c>
      <c r="E286" s="187" t="str">
        <f ca="1">IF($A286="","",VLOOKUP($A286,JOURNAL!$C$5:$I$1115,3,0))</f>
        <v/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 x14ac:dyDescent="0.2">
      <c r="A287" s="200" t="str">
        <f t="shared" ca="1" si="2"/>
        <v/>
      </c>
      <c r="B287" s="201" t="str">
        <f ca="1">IF($A287="","",VLOOKUP($A287,JOURNAL!$C$5:$I$1115,5,0))</f>
        <v/>
      </c>
      <c r="C287" s="202" t="str">
        <f ca="1">IF($A287="","",VLOOKUP($A287,JOURNAL!$C$5:$I$1115,2,0))</f>
        <v/>
      </c>
      <c r="D287" s="201" t="str">
        <f ca="1">IF($A287="","",VLOOKUP($A287,JOURNAL!$C$5:$I$1115,4,0))</f>
        <v/>
      </c>
      <c r="E287" s="187" t="str">
        <f ca="1">IF($A287="","",VLOOKUP($A287,JOURNAL!$C$5:$I$1115,3,0))</f>
        <v/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 x14ac:dyDescent="0.2">
      <c r="A288" s="200" t="str">
        <f t="shared" ca="1" si="2"/>
        <v/>
      </c>
      <c r="B288" s="201" t="str">
        <f ca="1">IF($A288="","",VLOOKUP($A288,JOURNAL!$C$5:$I$1115,5,0))</f>
        <v/>
      </c>
      <c r="C288" s="202" t="str">
        <f ca="1">IF($A288="","",VLOOKUP($A288,JOURNAL!$C$5:$I$1115,2,0))</f>
        <v/>
      </c>
      <c r="D288" s="201" t="str">
        <f ca="1">IF($A288="","",VLOOKUP($A288,JOURNAL!$C$5:$I$1115,4,0))</f>
        <v/>
      </c>
      <c r="E288" s="187" t="str">
        <f ca="1">IF($A288="","",VLOOKUP($A288,JOURNAL!$C$5:$I$1115,3,0))</f>
        <v/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 x14ac:dyDescent="0.2">
      <c r="A289" s="200" t="str">
        <f t="shared" ca="1" si="2"/>
        <v/>
      </c>
      <c r="B289" s="201" t="str">
        <f ca="1">IF($A289="","",VLOOKUP($A289,JOURNAL!$C$5:$I$1115,5,0))</f>
        <v/>
      </c>
      <c r="C289" s="202" t="str">
        <f ca="1">IF($A289="","",VLOOKUP($A289,JOURNAL!$C$5:$I$1115,2,0))</f>
        <v/>
      </c>
      <c r="D289" s="201" t="str">
        <f ca="1">IF($A289="","",VLOOKUP($A289,JOURNAL!$C$5:$I$1115,4,0))</f>
        <v/>
      </c>
      <c r="E289" s="187" t="str">
        <f ca="1">IF($A289="","",VLOOKUP($A289,JOURNAL!$C$5:$I$1115,3,0))</f>
        <v/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 x14ac:dyDescent="0.2">
      <c r="A290" s="200" t="str">
        <f t="shared" ca="1" si="2"/>
        <v/>
      </c>
      <c r="B290" s="201" t="str">
        <f ca="1">IF($A290="","",VLOOKUP($A290,JOURNAL!$C$5:$I$1115,5,0))</f>
        <v/>
      </c>
      <c r="C290" s="202" t="str">
        <f ca="1">IF($A290="","",VLOOKUP($A290,JOURNAL!$C$5:$I$1115,2,0))</f>
        <v/>
      </c>
      <c r="D290" s="201" t="str">
        <f ca="1">IF($A290="","",VLOOKUP($A290,JOURNAL!$C$5:$I$1115,4,0))</f>
        <v/>
      </c>
      <c r="E290" s="187" t="str">
        <f ca="1">IF($A290="","",VLOOKUP($A290,JOURNAL!$C$5:$I$1115,3,0))</f>
        <v/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 x14ac:dyDescent="0.2">
      <c r="A291" s="200" t="str">
        <f t="shared" ca="1" si="2"/>
        <v/>
      </c>
      <c r="B291" s="201" t="str">
        <f ca="1">IF($A291="","",VLOOKUP($A291,JOURNAL!$C$5:$I$1115,5,0))</f>
        <v/>
      </c>
      <c r="C291" s="202" t="str">
        <f ca="1">IF($A291="","",VLOOKUP($A291,JOURNAL!$C$5:$I$1115,2,0))</f>
        <v/>
      </c>
      <c r="D291" s="201" t="str">
        <f ca="1">IF($A291="","",VLOOKUP($A291,JOURNAL!$C$5:$I$1115,4,0))</f>
        <v/>
      </c>
      <c r="E291" s="187" t="str">
        <f ca="1">IF($A291="","",VLOOKUP($A291,JOURNAL!$C$5:$I$1115,3,0))</f>
        <v/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 x14ac:dyDescent="0.2">
      <c r="A292" s="200" t="str">
        <f t="shared" ca="1" si="2"/>
        <v/>
      </c>
      <c r="B292" s="201" t="str">
        <f ca="1">IF($A292="","",VLOOKUP($A292,JOURNAL!$C$5:$I$1115,5,0))</f>
        <v/>
      </c>
      <c r="C292" s="202" t="str">
        <f ca="1">IF($A292="","",VLOOKUP($A292,JOURNAL!$C$5:$I$1115,2,0))</f>
        <v/>
      </c>
      <c r="D292" s="201" t="str">
        <f ca="1">IF($A292="","",VLOOKUP($A292,JOURNAL!$C$5:$I$1115,4,0))</f>
        <v/>
      </c>
      <c r="E292" s="187" t="str">
        <f ca="1">IF($A292="","",VLOOKUP($A292,JOURNAL!$C$5:$I$1115,3,0))</f>
        <v/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 x14ac:dyDescent="0.2">
      <c r="A293" s="200" t="str">
        <f t="shared" ca="1" si="2"/>
        <v/>
      </c>
      <c r="B293" s="201" t="str">
        <f ca="1">IF($A293="","",VLOOKUP($A293,JOURNAL!$C$5:$I$1115,5,0))</f>
        <v/>
      </c>
      <c r="C293" s="202" t="str">
        <f ca="1">IF($A293="","",VLOOKUP($A293,JOURNAL!$C$5:$I$1115,2,0))</f>
        <v/>
      </c>
      <c r="D293" s="201" t="str">
        <f ca="1">IF($A293="","",VLOOKUP($A293,JOURNAL!$C$5:$I$1115,4,0))</f>
        <v/>
      </c>
      <c r="E293" s="187" t="str">
        <f ca="1">IF($A293="","",VLOOKUP($A293,JOURNAL!$C$5:$I$1115,3,0))</f>
        <v/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 x14ac:dyDescent="0.2">
      <c r="A294" s="200" t="str">
        <f t="shared" ca="1" si="2"/>
        <v/>
      </c>
      <c r="B294" s="201" t="str">
        <f ca="1">IF($A294="","",VLOOKUP($A294,JOURNAL!$C$5:$I$1115,5,0))</f>
        <v/>
      </c>
      <c r="C294" s="202" t="str">
        <f ca="1">IF($A294="","",VLOOKUP($A294,JOURNAL!$C$5:$I$1115,2,0))</f>
        <v/>
      </c>
      <c r="D294" s="201" t="str">
        <f ca="1">IF($A294="","",VLOOKUP($A294,JOURNAL!$C$5:$I$1115,4,0))</f>
        <v/>
      </c>
      <c r="E294" s="187" t="str">
        <f ca="1">IF($A294="","",VLOOKUP($A294,JOURNAL!$C$5:$I$1115,3,0))</f>
        <v/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 x14ac:dyDescent="0.2">
      <c r="A295" s="200" t="str">
        <f t="shared" ca="1" si="2"/>
        <v/>
      </c>
      <c r="B295" s="201" t="str">
        <f ca="1">IF($A295="","",VLOOKUP($A295,JOURNAL!$C$5:$I$1115,5,0))</f>
        <v/>
      </c>
      <c r="C295" s="202" t="str">
        <f ca="1">IF($A295="","",VLOOKUP($A295,JOURNAL!$C$5:$I$1115,2,0))</f>
        <v/>
      </c>
      <c r="D295" s="201" t="str">
        <f ca="1">IF($A295="","",VLOOKUP($A295,JOURNAL!$C$5:$I$1115,4,0))</f>
        <v/>
      </c>
      <c r="E295" s="187" t="str">
        <f ca="1">IF($A295="","",VLOOKUP($A295,JOURNAL!$C$5:$I$1115,3,0))</f>
        <v/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 x14ac:dyDescent="0.2">
      <c r="A296" s="200" t="str">
        <f t="shared" ca="1" si="2"/>
        <v/>
      </c>
      <c r="B296" s="201" t="str">
        <f ca="1">IF($A296="","",VLOOKUP($A296,JOURNAL!$C$5:$I$1115,5,0))</f>
        <v/>
      </c>
      <c r="C296" s="202" t="str">
        <f ca="1">IF($A296="","",VLOOKUP($A296,JOURNAL!$C$5:$I$1115,2,0))</f>
        <v/>
      </c>
      <c r="D296" s="201" t="str">
        <f ca="1">IF($A296="","",VLOOKUP($A296,JOURNAL!$C$5:$I$1115,4,0))</f>
        <v/>
      </c>
      <c r="E296" s="187" t="str">
        <f ca="1">IF($A296="","",VLOOKUP($A296,JOURNAL!$C$5:$I$1115,3,0))</f>
        <v/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 x14ac:dyDescent="0.2">
      <c r="A297" s="200" t="str">
        <f t="shared" ca="1" si="2"/>
        <v/>
      </c>
      <c r="B297" s="201" t="str">
        <f ca="1">IF($A297="","",VLOOKUP($A297,JOURNAL!$C$5:$I$1115,5,0))</f>
        <v/>
      </c>
      <c r="C297" s="202" t="str">
        <f ca="1">IF($A297="","",VLOOKUP($A297,JOURNAL!$C$5:$I$1115,2,0))</f>
        <v/>
      </c>
      <c r="D297" s="201" t="str">
        <f ca="1">IF($A297="","",VLOOKUP($A297,JOURNAL!$C$5:$I$1115,4,0))</f>
        <v/>
      </c>
      <c r="E297" s="187" t="str">
        <f ca="1">IF($A297="","",VLOOKUP($A297,JOURNAL!$C$5:$I$1115,3,0))</f>
        <v/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 x14ac:dyDescent="0.2">
      <c r="A298" s="200" t="str">
        <f t="shared" ca="1" si="2"/>
        <v/>
      </c>
      <c r="B298" s="201" t="str">
        <f ca="1">IF($A298="","",VLOOKUP($A298,JOURNAL!$C$5:$I$1115,5,0))</f>
        <v/>
      </c>
      <c r="C298" s="202" t="str">
        <f ca="1">IF($A298="","",VLOOKUP($A298,JOURNAL!$C$5:$I$1115,2,0))</f>
        <v/>
      </c>
      <c r="D298" s="201" t="str">
        <f ca="1">IF($A298="","",VLOOKUP($A298,JOURNAL!$C$5:$I$1115,4,0))</f>
        <v/>
      </c>
      <c r="E298" s="187" t="str">
        <f ca="1">IF($A298="","",VLOOKUP($A298,JOURNAL!$C$5:$I$1115,3,0))</f>
        <v/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 x14ac:dyDescent="0.2">
      <c r="A299" s="200" t="str">
        <f t="shared" ca="1" si="2"/>
        <v/>
      </c>
      <c r="B299" s="201" t="str">
        <f ca="1">IF($A299="","",VLOOKUP($A299,JOURNAL!$C$5:$I$1115,5,0))</f>
        <v/>
      </c>
      <c r="C299" s="202" t="str">
        <f ca="1">IF($A299="","",VLOOKUP($A299,JOURNAL!$C$5:$I$1115,2,0))</f>
        <v/>
      </c>
      <c r="D299" s="201" t="str">
        <f ca="1">IF($A299="","",VLOOKUP($A299,JOURNAL!$C$5:$I$1115,4,0))</f>
        <v/>
      </c>
      <c r="E299" s="187" t="str">
        <f ca="1">IF($A299="","",VLOOKUP($A299,JOURNAL!$C$5:$I$1115,3,0))</f>
        <v/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 x14ac:dyDescent="0.2">
      <c r="A300" s="200" t="str">
        <f t="shared" ca="1" si="2"/>
        <v/>
      </c>
      <c r="B300" s="201" t="str">
        <f ca="1">IF($A300="","",VLOOKUP($A300,JOURNAL!$C$5:$I$1115,5,0))</f>
        <v/>
      </c>
      <c r="C300" s="202" t="str">
        <f ca="1">IF($A300="","",VLOOKUP($A300,JOURNAL!$C$5:$I$1115,2,0))</f>
        <v/>
      </c>
      <c r="D300" s="201" t="str">
        <f ca="1">IF($A300="","",VLOOKUP($A300,JOURNAL!$C$5:$I$1115,4,0))</f>
        <v/>
      </c>
      <c r="E300" s="187" t="str">
        <f ca="1">IF($A300="","",VLOOKUP($A300,JOURNAL!$C$5:$I$1115,3,0))</f>
        <v/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 x14ac:dyDescent="0.2">
      <c r="A301" s="200" t="str">
        <f t="shared" ca="1" si="2"/>
        <v/>
      </c>
      <c r="B301" s="201" t="str">
        <f ca="1">IF($A301="","",VLOOKUP($A301,JOURNAL!$C$5:$I$1115,5,0))</f>
        <v/>
      </c>
      <c r="C301" s="202" t="str">
        <f ca="1">IF($A301="","",VLOOKUP($A301,JOURNAL!$C$5:$I$1115,2,0))</f>
        <v/>
      </c>
      <c r="D301" s="201" t="str">
        <f ca="1">IF($A301="","",VLOOKUP($A301,JOURNAL!$C$5:$I$1115,4,0))</f>
        <v/>
      </c>
      <c r="E301" s="187" t="str">
        <f ca="1">IF($A301="","",VLOOKUP($A301,JOURNAL!$C$5:$I$1115,3,0))</f>
        <v/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 x14ac:dyDescent="0.2">
      <c r="A302" s="200" t="str">
        <f t="shared" ca="1" si="2"/>
        <v/>
      </c>
      <c r="B302" s="201" t="str">
        <f ca="1">IF($A302="","",VLOOKUP($A302,JOURNAL!$C$5:$I$1115,5,0))</f>
        <v/>
      </c>
      <c r="C302" s="202" t="str">
        <f ca="1">IF($A302="","",VLOOKUP($A302,JOURNAL!$C$5:$I$1115,2,0))</f>
        <v/>
      </c>
      <c r="D302" s="201" t="str">
        <f ca="1">IF($A302="","",VLOOKUP($A302,JOURNAL!$C$5:$I$1115,4,0))</f>
        <v/>
      </c>
      <c r="E302" s="187" t="str">
        <f ca="1">IF($A302="","",VLOOKUP($A302,JOURNAL!$C$5:$I$1115,3,0))</f>
        <v/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 x14ac:dyDescent="0.2">
      <c r="A303" s="200" t="str">
        <f t="shared" ca="1" si="2"/>
        <v/>
      </c>
      <c r="B303" s="201" t="str">
        <f ca="1">IF($A303="","",VLOOKUP($A303,JOURNAL!$C$5:$I$1115,5,0))</f>
        <v/>
      </c>
      <c r="C303" s="202" t="str">
        <f ca="1">IF($A303="","",VLOOKUP($A303,JOURNAL!$C$5:$I$1115,2,0))</f>
        <v/>
      </c>
      <c r="D303" s="201" t="str">
        <f ca="1">IF($A303="","",VLOOKUP($A303,JOURNAL!$C$5:$I$1115,4,0))</f>
        <v/>
      </c>
      <c r="E303" s="187" t="str">
        <f ca="1">IF($A303="","",VLOOKUP($A303,JOURNAL!$C$5:$I$1115,3,0))</f>
        <v/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 x14ac:dyDescent="0.2">
      <c r="A304" s="200" t="str">
        <f t="shared" ca="1" si="2"/>
        <v/>
      </c>
      <c r="B304" s="201" t="str">
        <f ca="1">IF($A304="","",VLOOKUP($A304,JOURNAL!$C$5:$I$1115,5,0))</f>
        <v/>
      </c>
      <c r="C304" s="202" t="str">
        <f ca="1">IF($A304="","",VLOOKUP($A304,JOURNAL!$C$5:$I$1115,2,0))</f>
        <v/>
      </c>
      <c r="D304" s="201" t="str">
        <f ca="1">IF($A304="","",VLOOKUP($A304,JOURNAL!$C$5:$I$1115,4,0))</f>
        <v/>
      </c>
      <c r="E304" s="187" t="str">
        <f ca="1">IF($A304="","",VLOOKUP($A304,JOURNAL!$C$5:$I$1115,3,0))</f>
        <v/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 x14ac:dyDescent="0.2">
      <c r="A305" s="200" t="str">
        <f t="shared" ca="1" si="2"/>
        <v/>
      </c>
      <c r="B305" s="201" t="str">
        <f ca="1">IF($A305="","",VLOOKUP($A305,JOURNAL!$C$5:$I$1115,5,0))</f>
        <v/>
      </c>
      <c r="C305" s="202" t="str">
        <f ca="1">IF($A305="","",VLOOKUP($A305,JOURNAL!$C$5:$I$1115,2,0))</f>
        <v/>
      </c>
      <c r="D305" s="201" t="str">
        <f ca="1">IF($A305="","",VLOOKUP($A305,JOURNAL!$C$5:$I$1115,4,0))</f>
        <v/>
      </c>
      <c r="E305" s="187" t="str">
        <f ca="1">IF($A305="","",VLOOKUP($A305,JOURNAL!$C$5:$I$1115,3,0))</f>
        <v/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 x14ac:dyDescent="0.2">
      <c r="A306" s="200" t="str">
        <f t="shared" ca="1" si="2"/>
        <v/>
      </c>
      <c r="B306" s="201" t="str">
        <f ca="1">IF($A306="","",VLOOKUP($A306,JOURNAL!$C$5:$I$1115,5,0))</f>
        <v/>
      </c>
      <c r="C306" s="202" t="str">
        <f ca="1">IF($A306="","",VLOOKUP($A306,JOURNAL!$C$5:$I$1115,2,0))</f>
        <v/>
      </c>
      <c r="D306" s="201" t="str">
        <f ca="1">IF($A306="","",VLOOKUP($A306,JOURNAL!$C$5:$I$1115,4,0))</f>
        <v/>
      </c>
      <c r="E306" s="187" t="str">
        <f ca="1">IF($A306="","",VLOOKUP($A306,JOURNAL!$C$5:$I$1115,3,0))</f>
        <v/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 x14ac:dyDescent="0.2">
      <c r="A307" s="200" t="str">
        <f t="shared" ca="1" si="2"/>
        <v/>
      </c>
      <c r="B307" s="201" t="str">
        <f ca="1">IF($A307="","",VLOOKUP($A307,JOURNAL!$C$5:$I$1115,5,0))</f>
        <v/>
      </c>
      <c r="C307" s="202" t="str">
        <f ca="1">IF($A307="","",VLOOKUP($A307,JOURNAL!$C$5:$I$1115,2,0))</f>
        <v/>
      </c>
      <c r="D307" s="201" t="str">
        <f ca="1">IF($A307="","",VLOOKUP($A307,JOURNAL!$C$5:$I$1115,4,0))</f>
        <v/>
      </c>
      <c r="E307" s="187" t="str">
        <f ca="1">IF($A307="","",VLOOKUP($A307,JOURNAL!$C$5:$I$1115,3,0))</f>
        <v/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 x14ac:dyDescent="0.2">
      <c r="A308" s="200" t="str">
        <f t="shared" ca="1" si="2"/>
        <v/>
      </c>
      <c r="B308" s="201" t="str">
        <f ca="1">IF($A308="","",VLOOKUP($A308,JOURNAL!$C$5:$I$1115,5,0))</f>
        <v/>
      </c>
      <c r="C308" s="202" t="str">
        <f ca="1">IF($A308="","",VLOOKUP($A308,JOURNAL!$C$5:$I$1115,2,0))</f>
        <v/>
      </c>
      <c r="D308" s="201" t="str">
        <f ca="1">IF($A308="","",VLOOKUP($A308,JOURNAL!$C$5:$I$1115,4,0))</f>
        <v/>
      </c>
      <c r="E308" s="187" t="str">
        <f ca="1">IF($A308="","",VLOOKUP($A308,JOURNAL!$C$5:$I$1115,3,0))</f>
        <v/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 x14ac:dyDescent="0.2">
      <c r="A309" s="200" t="str">
        <f t="shared" ca="1" si="2"/>
        <v/>
      </c>
      <c r="B309" s="201" t="str">
        <f ca="1">IF($A309="","",VLOOKUP($A309,JOURNAL!$C$5:$I$1115,5,0))</f>
        <v/>
      </c>
      <c r="C309" s="202" t="str">
        <f ca="1">IF($A309="","",VLOOKUP($A309,JOURNAL!$C$5:$I$1115,2,0))</f>
        <v/>
      </c>
      <c r="D309" s="201" t="str">
        <f ca="1">IF($A309="","",VLOOKUP($A309,JOURNAL!$C$5:$I$1115,4,0))</f>
        <v/>
      </c>
      <c r="E309" s="187" t="str">
        <f ca="1">IF($A309="","",VLOOKUP($A309,JOURNAL!$C$5:$I$1115,3,0))</f>
        <v/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 x14ac:dyDescent="0.2">
      <c r="A310" s="200" t="str">
        <f t="shared" ca="1" si="2"/>
        <v/>
      </c>
      <c r="B310" s="201" t="str">
        <f ca="1">IF($A310="","",VLOOKUP($A310,JOURNAL!$C$5:$I$1115,5,0))</f>
        <v/>
      </c>
      <c r="C310" s="202" t="str">
        <f ca="1">IF($A310="","",VLOOKUP($A310,JOURNAL!$C$5:$I$1115,2,0))</f>
        <v/>
      </c>
      <c r="D310" s="201" t="str">
        <f ca="1">IF($A310="","",VLOOKUP($A310,JOURNAL!$C$5:$I$1115,4,0))</f>
        <v/>
      </c>
      <c r="E310" s="187" t="str">
        <f ca="1">IF($A310="","",VLOOKUP($A310,JOURNAL!$C$5:$I$1115,3,0))</f>
        <v/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 x14ac:dyDescent="0.2">
      <c r="A311" s="200" t="str">
        <f t="shared" ca="1" si="2"/>
        <v/>
      </c>
      <c r="B311" s="201" t="str">
        <f ca="1">IF($A311="","",VLOOKUP($A311,JOURNAL!$C$5:$I$1115,5,0))</f>
        <v/>
      </c>
      <c r="C311" s="202" t="str">
        <f ca="1">IF($A311="","",VLOOKUP($A311,JOURNAL!$C$5:$I$1115,2,0))</f>
        <v/>
      </c>
      <c r="D311" s="201" t="str">
        <f ca="1">IF($A311="","",VLOOKUP($A311,JOURNAL!$C$5:$I$1115,4,0))</f>
        <v/>
      </c>
      <c r="E311" s="187" t="str">
        <f ca="1">IF($A311="","",VLOOKUP($A311,JOURNAL!$C$5:$I$1115,3,0))</f>
        <v/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 x14ac:dyDescent="0.2">
      <c r="A312" s="200" t="str">
        <f t="shared" ca="1" si="2"/>
        <v/>
      </c>
      <c r="B312" s="201" t="str">
        <f ca="1">IF($A312="","",VLOOKUP($A312,JOURNAL!$C$5:$I$1115,5,0))</f>
        <v/>
      </c>
      <c r="C312" s="202" t="str">
        <f ca="1">IF($A312="","",VLOOKUP($A312,JOURNAL!$C$5:$I$1115,2,0))</f>
        <v/>
      </c>
      <c r="D312" s="201" t="str">
        <f ca="1">IF($A312="","",VLOOKUP($A312,JOURNAL!$C$5:$I$1115,4,0))</f>
        <v/>
      </c>
      <c r="E312" s="187" t="str">
        <f ca="1">IF($A312="","",VLOOKUP($A312,JOURNAL!$C$5:$I$1115,3,0))</f>
        <v/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 x14ac:dyDescent="0.2">
      <c r="A313" s="200" t="str">
        <f t="shared" ca="1" si="2"/>
        <v/>
      </c>
      <c r="B313" s="201" t="str">
        <f ca="1">IF($A313="","",VLOOKUP($A313,JOURNAL!$C$5:$I$1115,5,0))</f>
        <v/>
      </c>
      <c r="C313" s="202" t="str">
        <f ca="1">IF($A313="","",VLOOKUP($A313,JOURNAL!$C$5:$I$1115,2,0))</f>
        <v/>
      </c>
      <c r="D313" s="201" t="str">
        <f ca="1">IF($A313="","",VLOOKUP($A313,JOURNAL!$C$5:$I$1115,4,0))</f>
        <v/>
      </c>
      <c r="E313" s="187" t="str">
        <f ca="1">IF($A313="","",VLOOKUP($A313,JOURNAL!$C$5:$I$1115,3,0))</f>
        <v/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 x14ac:dyDescent="0.2">
      <c r="A314" s="200" t="str">
        <f t="shared" ca="1" si="2"/>
        <v/>
      </c>
      <c r="B314" s="201" t="str">
        <f ca="1">IF($A314="","",VLOOKUP($A314,JOURNAL!$C$5:$I$1115,5,0))</f>
        <v/>
      </c>
      <c r="C314" s="202" t="str">
        <f ca="1">IF($A314="","",VLOOKUP($A314,JOURNAL!$C$5:$I$1115,2,0))</f>
        <v/>
      </c>
      <c r="D314" s="201" t="str">
        <f ca="1">IF($A314="","",VLOOKUP($A314,JOURNAL!$C$5:$I$1115,4,0))</f>
        <v/>
      </c>
      <c r="E314" s="187" t="str">
        <f ca="1">IF($A314="","",VLOOKUP($A314,JOURNAL!$C$5:$I$1115,3,0))</f>
        <v/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 x14ac:dyDescent="0.2">
      <c r="A315" s="200" t="str">
        <f t="shared" ca="1" si="2"/>
        <v/>
      </c>
      <c r="B315" s="201" t="str">
        <f ca="1">IF($A315="","",VLOOKUP($A315,JOURNAL!$C$5:$I$1115,5,0))</f>
        <v/>
      </c>
      <c r="C315" s="202" t="str">
        <f ca="1">IF($A315="","",VLOOKUP($A315,JOURNAL!$C$5:$I$1115,2,0))</f>
        <v/>
      </c>
      <c r="D315" s="201" t="str">
        <f ca="1">IF($A315="","",VLOOKUP($A315,JOURNAL!$C$5:$I$1115,4,0))</f>
        <v/>
      </c>
      <c r="E315" s="187" t="str">
        <f ca="1">IF($A315="","",VLOOKUP($A315,JOURNAL!$C$5:$I$1115,3,0))</f>
        <v/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 x14ac:dyDescent="0.2">
      <c r="A316" s="200" t="str">
        <f t="shared" ca="1" si="2"/>
        <v/>
      </c>
      <c r="B316" s="201" t="str">
        <f ca="1">IF($A316="","",VLOOKUP($A316,JOURNAL!$C$5:$I$1115,5,0))</f>
        <v/>
      </c>
      <c r="C316" s="202" t="str">
        <f ca="1">IF($A316="","",VLOOKUP($A316,JOURNAL!$C$5:$I$1115,2,0))</f>
        <v/>
      </c>
      <c r="D316" s="201" t="str">
        <f ca="1">IF($A316="","",VLOOKUP($A316,JOURNAL!$C$5:$I$1115,4,0))</f>
        <v/>
      </c>
      <c r="E316" s="187" t="str">
        <f ca="1">IF($A316="","",VLOOKUP($A316,JOURNAL!$C$5:$I$1115,3,0))</f>
        <v/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 x14ac:dyDescent="0.2">
      <c r="A317" s="200" t="str">
        <f t="shared" ca="1" si="2"/>
        <v/>
      </c>
      <c r="B317" s="201" t="str">
        <f ca="1">IF($A317="","",VLOOKUP($A317,JOURNAL!$C$5:$I$1115,5,0))</f>
        <v/>
      </c>
      <c r="C317" s="202" t="str">
        <f ca="1">IF($A317="","",VLOOKUP($A317,JOURNAL!$C$5:$I$1115,2,0))</f>
        <v/>
      </c>
      <c r="D317" s="201" t="str">
        <f ca="1">IF($A317="","",VLOOKUP($A317,JOURNAL!$C$5:$I$1115,4,0))</f>
        <v/>
      </c>
      <c r="E317" s="187" t="str">
        <f ca="1">IF($A317="","",VLOOKUP($A317,JOURNAL!$C$5:$I$1115,3,0))</f>
        <v/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 x14ac:dyDescent="0.2">
      <c r="A318" s="200" t="str">
        <f t="shared" ca="1" si="2"/>
        <v/>
      </c>
      <c r="B318" s="201" t="str">
        <f ca="1">IF($A318="","",VLOOKUP($A318,JOURNAL!$C$5:$I$1115,5,0))</f>
        <v/>
      </c>
      <c r="C318" s="202" t="str">
        <f ca="1">IF($A318="","",VLOOKUP($A318,JOURNAL!$C$5:$I$1115,2,0))</f>
        <v/>
      </c>
      <c r="D318" s="201" t="str">
        <f ca="1">IF($A318="","",VLOOKUP($A318,JOURNAL!$C$5:$I$1115,4,0))</f>
        <v/>
      </c>
      <c r="E318" s="187" t="str">
        <f ca="1">IF($A318="","",VLOOKUP($A318,JOURNAL!$C$5:$I$1115,3,0))</f>
        <v/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 x14ac:dyDescent="0.2">
      <c r="A319" s="200" t="str">
        <f t="shared" ca="1" si="2"/>
        <v/>
      </c>
      <c r="B319" s="201" t="str">
        <f ca="1">IF($A319="","",VLOOKUP($A319,JOURNAL!$C$5:$I$1115,5,0))</f>
        <v/>
      </c>
      <c r="C319" s="202" t="str">
        <f ca="1">IF($A319="","",VLOOKUP($A319,JOURNAL!$C$5:$I$1115,2,0))</f>
        <v/>
      </c>
      <c r="D319" s="201" t="str">
        <f ca="1">IF($A319="","",VLOOKUP($A319,JOURNAL!$C$5:$I$1115,4,0))</f>
        <v/>
      </c>
      <c r="E319" s="187" t="str">
        <f ca="1">IF($A319="","",VLOOKUP($A319,JOURNAL!$C$5:$I$1115,3,0))</f>
        <v/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 x14ac:dyDescent="0.2">
      <c r="A320" s="200" t="str">
        <f t="shared" ca="1" si="2"/>
        <v/>
      </c>
      <c r="B320" s="201" t="str">
        <f ca="1">IF($A320="","",VLOOKUP($A320,JOURNAL!$C$5:$I$1115,5,0))</f>
        <v/>
      </c>
      <c r="C320" s="202" t="str">
        <f ca="1">IF($A320="","",VLOOKUP($A320,JOURNAL!$C$5:$I$1115,2,0))</f>
        <v/>
      </c>
      <c r="D320" s="201" t="str">
        <f ca="1">IF($A320="","",VLOOKUP($A320,JOURNAL!$C$5:$I$1115,4,0))</f>
        <v/>
      </c>
      <c r="E320" s="187" t="str">
        <f ca="1">IF($A320="","",VLOOKUP($A320,JOURNAL!$C$5:$I$1115,3,0))</f>
        <v/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 x14ac:dyDescent="0.2">
      <c r="A321" s="200" t="str">
        <f t="shared" ca="1" si="2"/>
        <v/>
      </c>
      <c r="B321" s="201" t="str">
        <f ca="1">IF($A321="","",VLOOKUP($A321,JOURNAL!$C$5:$I$1115,5,0))</f>
        <v/>
      </c>
      <c r="C321" s="202" t="str">
        <f ca="1">IF($A321="","",VLOOKUP($A321,JOURNAL!$C$5:$I$1115,2,0))</f>
        <v/>
      </c>
      <c r="D321" s="201" t="str">
        <f ca="1">IF($A321="","",VLOOKUP($A321,JOURNAL!$C$5:$I$1115,4,0))</f>
        <v/>
      </c>
      <c r="E321" s="187" t="str">
        <f ca="1">IF($A321="","",VLOOKUP($A321,JOURNAL!$C$5:$I$1115,3,0))</f>
        <v/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 x14ac:dyDescent="0.2">
      <c r="A322" s="200" t="str">
        <f t="shared" ca="1" si="2"/>
        <v/>
      </c>
      <c r="B322" s="201" t="str">
        <f ca="1">IF($A322="","",VLOOKUP($A322,JOURNAL!$C$5:$I$1115,5,0))</f>
        <v/>
      </c>
      <c r="C322" s="202" t="str">
        <f ca="1">IF($A322="","",VLOOKUP($A322,JOURNAL!$C$5:$I$1115,2,0))</f>
        <v/>
      </c>
      <c r="D322" s="201" t="str">
        <f ca="1">IF($A322="","",VLOOKUP($A322,JOURNAL!$C$5:$I$1115,4,0))</f>
        <v/>
      </c>
      <c r="E322" s="187" t="str">
        <f ca="1">IF($A322="","",VLOOKUP($A322,JOURNAL!$C$5:$I$1115,3,0))</f>
        <v/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 x14ac:dyDescent="0.2">
      <c r="A323" s="200" t="str">
        <f t="shared" ca="1" si="2"/>
        <v/>
      </c>
      <c r="B323" s="201" t="str">
        <f ca="1">IF($A323="","",VLOOKUP($A323,JOURNAL!$C$5:$I$1115,5,0))</f>
        <v/>
      </c>
      <c r="C323" s="202" t="str">
        <f ca="1">IF($A323="","",VLOOKUP($A323,JOURNAL!$C$5:$I$1115,2,0))</f>
        <v/>
      </c>
      <c r="D323" s="201" t="str">
        <f ca="1">IF($A323="","",VLOOKUP($A323,JOURNAL!$C$5:$I$1115,4,0))</f>
        <v/>
      </c>
      <c r="E323" s="187" t="str">
        <f ca="1">IF($A323="","",VLOOKUP($A323,JOURNAL!$C$5:$I$1115,3,0))</f>
        <v/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 x14ac:dyDescent="0.2">
      <c r="A324" s="200" t="str">
        <f t="shared" ca="1" si="2"/>
        <v/>
      </c>
      <c r="B324" s="201" t="str">
        <f ca="1">IF($A324="","",VLOOKUP($A324,JOURNAL!$C$5:$I$1115,5,0))</f>
        <v/>
      </c>
      <c r="C324" s="202" t="str">
        <f ca="1">IF($A324="","",VLOOKUP($A324,JOURNAL!$C$5:$I$1115,2,0))</f>
        <v/>
      </c>
      <c r="D324" s="201" t="str">
        <f ca="1">IF($A324="","",VLOOKUP($A324,JOURNAL!$C$5:$I$1115,4,0))</f>
        <v/>
      </c>
      <c r="E324" s="187" t="str">
        <f ca="1">IF($A324="","",VLOOKUP($A324,JOURNAL!$C$5:$I$1115,3,0))</f>
        <v/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 x14ac:dyDescent="0.2">
      <c r="A325" s="200" t="str">
        <f t="shared" ca="1" si="2"/>
        <v/>
      </c>
      <c r="B325" s="201" t="str">
        <f ca="1">IF($A325="","",VLOOKUP($A325,JOURNAL!$C$5:$I$1115,5,0))</f>
        <v/>
      </c>
      <c r="C325" s="202" t="str">
        <f ca="1">IF($A325="","",VLOOKUP($A325,JOURNAL!$C$5:$I$1115,2,0))</f>
        <v/>
      </c>
      <c r="D325" s="201" t="str">
        <f ca="1">IF($A325="","",VLOOKUP($A325,JOURNAL!$C$5:$I$1115,4,0))</f>
        <v/>
      </c>
      <c r="E325" s="187" t="str">
        <f ca="1">IF($A325="","",VLOOKUP($A325,JOURNAL!$C$5:$I$1115,3,0))</f>
        <v/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 x14ac:dyDescent="0.2">
      <c r="A326" s="200" t="str">
        <f t="shared" ca="1" si="2"/>
        <v/>
      </c>
      <c r="B326" s="201" t="str">
        <f ca="1">IF($A326="","",VLOOKUP($A326,JOURNAL!$C$5:$I$1115,5,0))</f>
        <v/>
      </c>
      <c r="C326" s="202" t="str">
        <f ca="1">IF($A326="","",VLOOKUP($A326,JOURNAL!$C$5:$I$1115,2,0))</f>
        <v/>
      </c>
      <c r="D326" s="201" t="str">
        <f ca="1">IF($A326="","",VLOOKUP($A326,JOURNAL!$C$5:$I$1115,4,0))</f>
        <v/>
      </c>
      <c r="E326" s="187" t="str">
        <f ca="1">IF($A326="","",VLOOKUP($A326,JOURNAL!$C$5:$I$1115,3,0))</f>
        <v/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 x14ac:dyDescent="0.2">
      <c r="A327" s="200" t="str">
        <f t="shared" ca="1" si="2"/>
        <v/>
      </c>
      <c r="B327" s="201" t="str">
        <f ca="1">IF($A327="","",VLOOKUP($A327,JOURNAL!$C$5:$I$1115,5,0))</f>
        <v/>
      </c>
      <c r="C327" s="202" t="str">
        <f ca="1">IF($A327="","",VLOOKUP($A327,JOURNAL!$C$5:$I$1115,2,0))</f>
        <v/>
      </c>
      <c r="D327" s="201" t="str">
        <f ca="1">IF($A327="","",VLOOKUP($A327,JOURNAL!$C$5:$I$1115,4,0))</f>
        <v/>
      </c>
      <c r="E327" s="187" t="str">
        <f ca="1">IF($A327="","",VLOOKUP($A327,JOURNAL!$C$5:$I$1115,3,0))</f>
        <v/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 x14ac:dyDescent="0.2">
      <c r="A328" s="200" t="str">
        <f t="shared" ca="1" si="2"/>
        <v/>
      </c>
      <c r="B328" s="201" t="str">
        <f ca="1">IF($A328="","",VLOOKUP($A328,JOURNAL!$C$5:$I$1115,5,0))</f>
        <v/>
      </c>
      <c r="C328" s="202" t="str">
        <f ca="1">IF($A328="","",VLOOKUP($A328,JOURNAL!$C$5:$I$1115,2,0))</f>
        <v/>
      </c>
      <c r="D328" s="201" t="str">
        <f ca="1">IF($A328="","",VLOOKUP($A328,JOURNAL!$C$5:$I$1115,4,0))</f>
        <v/>
      </c>
      <c r="E328" s="187" t="str">
        <f ca="1">IF($A328="","",VLOOKUP($A328,JOURNAL!$C$5:$I$1115,3,0))</f>
        <v/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 x14ac:dyDescent="0.2">
      <c r="A329" s="200" t="str">
        <f t="shared" ca="1" si="2"/>
        <v/>
      </c>
      <c r="B329" s="201" t="str">
        <f ca="1">IF($A329="","",VLOOKUP($A329,JOURNAL!$C$5:$I$1115,5,0))</f>
        <v/>
      </c>
      <c r="C329" s="202" t="str">
        <f ca="1">IF($A329="","",VLOOKUP($A329,JOURNAL!$C$5:$I$1115,2,0))</f>
        <v/>
      </c>
      <c r="D329" s="201" t="str">
        <f ca="1">IF($A329="","",VLOOKUP($A329,JOURNAL!$C$5:$I$1115,4,0))</f>
        <v/>
      </c>
      <c r="E329" s="187" t="str">
        <f ca="1">IF($A329="","",VLOOKUP($A329,JOURNAL!$C$5:$I$1115,3,0))</f>
        <v/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 x14ac:dyDescent="0.2">
      <c r="A330" s="200" t="str">
        <f t="shared" ca="1" si="2"/>
        <v/>
      </c>
      <c r="B330" s="201" t="str">
        <f ca="1">IF($A330="","",VLOOKUP($A330,JOURNAL!$C$5:$I$1115,5,0))</f>
        <v/>
      </c>
      <c r="C330" s="202" t="str">
        <f ca="1">IF($A330="","",VLOOKUP($A330,JOURNAL!$C$5:$I$1115,2,0))</f>
        <v/>
      </c>
      <c r="D330" s="201" t="str">
        <f ca="1">IF($A330="","",VLOOKUP($A330,JOURNAL!$C$5:$I$1115,4,0))</f>
        <v/>
      </c>
      <c r="E330" s="187" t="str">
        <f ca="1">IF($A330="","",VLOOKUP($A330,JOURNAL!$C$5:$I$1115,3,0))</f>
        <v/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 x14ac:dyDescent="0.2">
      <c r="A331" s="200" t="str">
        <f t="shared" ca="1" si="2"/>
        <v/>
      </c>
      <c r="B331" s="201" t="str">
        <f ca="1">IF($A331="","",VLOOKUP($A331,JOURNAL!$C$5:$I$1115,5,0))</f>
        <v/>
      </c>
      <c r="C331" s="202" t="str">
        <f ca="1">IF($A331="","",VLOOKUP($A331,JOURNAL!$C$5:$I$1115,2,0))</f>
        <v/>
      </c>
      <c r="D331" s="201" t="str">
        <f ca="1">IF($A331="","",VLOOKUP($A331,JOURNAL!$C$5:$I$1115,4,0))</f>
        <v/>
      </c>
      <c r="E331" s="187" t="str">
        <f ca="1">IF($A331="","",VLOOKUP($A331,JOURNAL!$C$5:$I$1115,3,0))</f>
        <v/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 x14ac:dyDescent="0.2">
      <c r="A332" s="200" t="str">
        <f t="shared" ca="1" si="2"/>
        <v/>
      </c>
      <c r="B332" s="201" t="str">
        <f ca="1">IF($A332="","",VLOOKUP($A332,JOURNAL!$C$5:$I$1115,5,0))</f>
        <v/>
      </c>
      <c r="C332" s="202" t="str">
        <f ca="1">IF($A332="","",VLOOKUP($A332,JOURNAL!$C$5:$I$1115,2,0))</f>
        <v/>
      </c>
      <c r="D332" s="201" t="str">
        <f ca="1">IF($A332="","",VLOOKUP($A332,JOURNAL!$C$5:$I$1115,4,0))</f>
        <v/>
      </c>
      <c r="E332" s="187" t="str">
        <f ca="1">IF($A332="","",VLOOKUP($A332,JOURNAL!$C$5:$I$1115,3,0))</f>
        <v/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 x14ac:dyDescent="0.2">
      <c r="A333" s="200" t="str">
        <f t="shared" ca="1" si="2"/>
        <v/>
      </c>
      <c r="B333" s="201" t="str">
        <f ca="1">IF($A333="","",VLOOKUP($A333,JOURNAL!$C$5:$I$1115,5,0))</f>
        <v/>
      </c>
      <c r="C333" s="202" t="str">
        <f ca="1">IF($A333="","",VLOOKUP($A333,JOURNAL!$C$5:$I$1115,2,0))</f>
        <v/>
      </c>
      <c r="D333" s="201" t="str">
        <f ca="1">IF($A333="","",VLOOKUP($A333,JOURNAL!$C$5:$I$1115,4,0))</f>
        <v/>
      </c>
      <c r="E333" s="187" t="str">
        <f ca="1">IF($A333="","",VLOOKUP($A333,JOURNAL!$C$5:$I$1115,3,0))</f>
        <v/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 x14ac:dyDescent="0.2">
      <c r="A334" s="200" t="str">
        <f t="shared" ca="1" si="2"/>
        <v/>
      </c>
      <c r="B334" s="201" t="str">
        <f ca="1">IF($A334="","",VLOOKUP($A334,JOURNAL!$C$5:$I$1115,5,0))</f>
        <v/>
      </c>
      <c r="C334" s="202" t="str">
        <f ca="1">IF($A334="","",VLOOKUP($A334,JOURNAL!$C$5:$I$1115,2,0))</f>
        <v/>
      </c>
      <c r="D334" s="201" t="str">
        <f ca="1">IF($A334="","",VLOOKUP($A334,JOURNAL!$C$5:$I$1115,4,0))</f>
        <v/>
      </c>
      <c r="E334" s="187" t="str">
        <f ca="1">IF($A334="","",VLOOKUP($A334,JOURNAL!$C$5:$I$1115,3,0))</f>
        <v/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 x14ac:dyDescent="0.2">
      <c r="A335" s="200" t="str">
        <f t="shared" ca="1" si="2"/>
        <v/>
      </c>
      <c r="B335" s="201" t="str">
        <f ca="1">IF($A335="","",VLOOKUP($A335,JOURNAL!$C$5:$I$1115,5,0))</f>
        <v/>
      </c>
      <c r="C335" s="202" t="str">
        <f ca="1">IF($A335="","",VLOOKUP($A335,JOURNAL!$C$5:$I$1115,2,0))</f>
        <v/>
      </c>
      <c r="D335" s="201" t="str">
        <f ca="1">IF($A335="","",VLOOKUP($A335,JOURNAL!$C$5:$I$1115,4,0))</f>
        <v/>
      </c>
      <c r="E335" s="187" t="str">
        <f ca="1">IF($A335="","",VLOOKUP($A335,JOURNAL!$C$5:$I$1115,3,0))</f>
        <v/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 x14ac:dyDescent="0.2">
      <c r="A336" s="200" t="str">
        <f t="shared" ca="1" si="2"/>
        <v/>
      </c>
      <c r="B336" s="201" t="str">
        <f ca="1">IF($A336="","",VLOOKUP($A336,JOURNAL!$C$5:$I$1115,5,0))</f>
        <v/>
      </c>
      <c r="C336" s="202" t="str">
        <f ca="1">IF($A336="","",VLOOKUP($A336,JOURNAL!$C$5:$I$1115,2,0))</f>
        <v/>
      </c>
      <c r="D336" s="201" t="str">
        <f ca="1">IF($A336="","",VLOOKUP($A336,JOURNAL!$C$5:$I$1115,4,0))</f>
        <v/>
      </c>
      <c r="E336" s="187" t="str">
        <f ca="1">IF($A336="","",VLOOKUP($A336,JOURNAL!$C$5:$I$1115,3,0))</f>
        <v/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 x14ac:dyDescent="0.2">
      <c r="A337" s="200" t="str">
        <f t="shared" ca="1" si="2"/>
        <v/>
      </c>
      <c r="B337" s="201" t="str">
        <f ca="1">IF($A337="","",VLOOKUP($A337,JOURNAL!$C$5:$I$1115,5,0))</f>
        <v/>
      </c>
      <c r="C337" s="202" t="str">
        <f ca="1">IF($A337="","",VLOOKUP($A337,JOURNAL!$C$5:$I$1115,2,0))</f>
        <v/>
      </c>
      <c r="D337" s="201" t="str">
        <f ca="1">IF($A337="","",VLOOKUP($A337,JOURNAL!$C$5:$I$1115,4,0))</f>
        <v/>
      </c>
      <c r="E337" s="187" t="str">
        <f ca="1">IF($A337="","",VLOOKUP($A337,JOURNAL!$C$5:$I$1115,3,0))</f>
        <v/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 x14ac:dyDescent="0.2">
      <c r="A338" s="200" t="str">
        <f t="shared" ca="1" si="2"/>
        <v/>
      </c>
      <c r="B338" s="201" t="str">
        <f ca="1">IF($A338="","",VLOOKUP($A338,JOURNAL!$C$5:$I$1115,5,0))</f>
        <v/>
      </c>
      <c r="C338" s="202" t="str">
        <f ca="1">IF($A338="","",VLOOKUP($A338,JOURNAL!$C$5:$I$1115,2,0))</f>
        <v/>
      </c>
      <c r="D338" s="201" t="str">
        <f ca="1">IF($A338="","",VLOOKUP($A338,JOURNAL!$C$5:$I$1115,4,0))</f>
        <v/>
      </c>
      <c r="E338" s="187" t="str">
        <f ca="1">IF($A338="","",VLOOKUP($A338,JOURNAL!$C$5:$I$1115,3,0))</f>
        <v/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 x14ac:dyDescent="0.2">
      <c r="A339" s="200" t="str">
        <f t="shared" ca="1" si="2"/>
        <v/>
      </c>
      <c r="B339" s="201" t="str">
        <f ca="1">IF($A339="","",VLOOKUP($A339,JOURNAL!$C$5:$I$1115,5,0))</f>
        <v/>
      </c>
      <c r="C339" s="202" t="str">
        <f ca="1">IF($A339="","",VLOOKUP($A339,JOURNAL!$C$5:$I$1115,2,0))</f>
        <v/>
      </c>
      <c r="D339" s="201" t="str">
        <f ca="1">IF($A339="","",VLOOKUP($A339,JOURNAL!$C$5:$I$1115,4,0))</f>
        <v/>
      </c>
      <c r="E339" s="187" t="str">
        <f ca="1">IF($A339="","",VLOOKUP($A339,JOURNAL!$C$5:$I$1115,3,0))</f>
        <v/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 x14ac:dyDescent="0.2">
      <c r="A340" s="200" t="str">
        <f t="shared" ca="1" si="2"/>
        <v/>
      </c>
      <c r="B340" s="201" t="str">
        <f ca="1">IF($A340="","",VLOOKUP($A340,JOURNAL!$C$5:$I$1115,5,0))</f>
        <v/>
      </c>
      <c r="C340" s="202" t="str">
        <f ca="1">IF($A340="","",VLOOKUP($A340,JOURNAL!$C$5:$I$1115,2,0))</f>
        <v/>
      </c>
      <c r="D340" s="201" t="str">
        <f ca="1">IF($A340="","",VLOOKUP($A340,JOURNAL!$C$5:$I$1115,4,0))</f>
        <v/>
      </c>
      <c r="E340" s="187" t="str">
        <f ca="1">IF($A340="","",VLOOKUP($A340,JOURNAL!$C$5:$I$1115,3,0))</f>
        <v/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 x14ac:dyDescent="0.2">
      <c r="A341" s="200" t="str">
        <f t="shared" ca="1" si="2"/>
        <v/>
      </c>
      <c r="B341" s="201" t="str">
        <f ca="1">IF($A341="","",VLOOKUP($A341,JOURNAL!$C$5:$I$1115,5,0))</f>
        <v/>
      </c>
      <c r="C341" s="202" t="str">
        <f ca="1">IF($A341="","",VLOOKUP($A341,JOURNAL!$C$5:$I$1115,2,0))</f>
        <v/>
      </c>
      <c r="D341" s="201" t="str">
        <f ca="1">IF($A341="","",VLOOKUP($A341,JOURNAL!$C$5:$I$1115,4,0))</f>
        <v/>
      </c>
      <c r="E341" s="187" t="str">
        <f ca="1">IF($A341="","",VLOOKUP($A341,JOURNAL!$C$5:$I$1115,3,0))</f>
        <v/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 x14ac:dyDescent="0.2">
      <c r="A342" s="200" t="str">
        <f t="shared" ca="1" si="2"/>
        <v/>
      </c>
      <c r="B342" s="201" t="str">
        <f ca="1">IF($A342="","",VLOOKUP($A342,JOURNAL!$C$5:$I$1115,5,0))</f>
        <v/>
      </c>
      <c r="C342" s="202" t="str">
        <f ca="1">IF($A342="","",VLOOKUP($A342,JOURNAL!$C$5:$I$1115,2,0))</f>
        <v/>
      </c>
      <c r="D342" s="201" t="str">
        <f ca="1">IF($A342="","",VLOOKUP($A342,JOURNAL!$C$5:$I$1115,4,0))</f>
        <v/>
      </c>
      <c r="E342" s="187" t="str">
        <f ca="1">IF($A342="","",VLOOKUP($A342,JOURNAL!$C$5:$I$1115,3,0))</f>
        <v/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 x14ac:dyDescent="0.2">
      <c r="A343" s="200" t="str">
        <f t="shared" ca="1" si="2"/>
        <v/>
      </c>
      <c r="B343" s="201" t="str">
        <f ca="1">IF($A343="","",VLOOKUP($A343,JOURNAL!$C$5:$I$1115,5,0))</f>
        <v/>
      </c>
      <c r="C343" s="202" t="str">
        <f ca="1">IF($A343="","",VLOOKUP($A343,JOURNAL!$C$5:$I$1115,2,0))</f>
        <v/>
      </c>
      <c r="D343" s="201" t="str">
        <f ca="1">IF($A343="","",VLOOKUP($A343,JOURNAL!$C$5:$I$1115,4,0))</f>
        <v/>
      </c>
      <c r="E343" s="187" t="str">
        <f ca="1">IF($A343="","",VLOOKUP($A343,JOURNAL!$C$5:$I$1115,3,0))</f>
        <v/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 x14ac:dyDescent="0.2">
      <c r="A344" s="200" t="str">
        <f t="shared" ca="1" si="2"/>
        <v/>
      </c>
      <c r="B344" s="201" t="str">
        <f ca="1">IF($A344="","",VLOOKUP($A344,JOURNAL!$C$5:$I$1115,5,0))</f>
        <v/>
      </c>
      <c r="C344" s="202" t="str">
        <f ca="1">IF($A344="","",VLOOKUP($A344,JOURNAL!$C$5:$I$1115,2,0))</f>
        <v/>
      </c>
      <c r="D344" s="201" t="str">
        <f ca="1">IF($A344="","",VLOOKUP($A344,JOURNAL!$C$5:$I$1115,4,0))</f>
        <v/>
      </c>
      <c r="E344" s="187" t="str">
        <f ca="1">IF($A344="","",VLOOKUP($A344,JOURNAL!$C$5:$I$1115,3,0))</f>
        <v/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 x14ac:dyDescent="0.2">
      <c r="A345" s="200" t="str">
        <f t="shared" ca="1" si="2"/>
        <v/>
      </c>
      <c r="B345" s="201" t="str">
        <f ca="1">IF($A345="","",VLOOKUP($A345,JOURNAL!$C$5:$I$1115,5,0))</f>
        <v/>
      </c>
      <c r="C345" s="202" t="str">
        <f ca="1">IF($A345="","",VLOOKUP($A345,JOURNAL!$C$5:$I$1115,2,0))</f>
        <v/>
      </c>
      <c r="D345" s="201" t="str">
        <f ca="1">IF($A345="","",VLOOKUP($A345,JOURNAL!$C$5:$I$1115,4,0))</f>
        <v/>
      </c>
      <c r="E345" s="187" t="str">
        <f ca="1">IF($A345="","",VLOOKUP($A345,JOURNAL!$C$5:$I$1115,3,0))</f>
        <v/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 x14ac:dyDescent="0.2">
      <c r="A346" s="200" t="str">
        <f t="shared" ca="1" si="2"/>
        <v/>
      </c>
      <c r="B346" s="201" t="str">
        <f ca="1">IF($A346="","",VLOOKUP($A346,JOURNAL!$C$5:$I$1115,5,0))</f>
        <v/>
      </c>
      <c r="C346" s="202" t="str">
        <f ca="1">IF($A346="","",VLOOKUP($A346,JOURNAL!$C$5:$I$1115,2,0))</f>
        <v/>
      </c>
      <c r="D346" s="201" t="str">
        <f ca="1">IF($A346="","",VLOOKUP($A346,JOURNAL!$C$5:$I$1115,4,0))</f>
        <v/>
      </c>
      <c r="E346" s="187" t="str">
        <f ca="1">IF($A346="","",VLOOKUP($A346,JOURNAL!$C$5:$I$1115,3,0))</f>
        <v/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 x14ac:dyDescent="0.2">
      <c r="A347" s="200" t="str">
        <f t="shared" ca="1" si="2"/>
        <v/>
      </c>
      <c r="B347" s="201" t="str">
        <f ca="1">IF($A347="","",VLOOKUP($A347,JOURNAL!$C$5:$I$1115,5,0))</f>
        <v/>
      </c>
      <c r="C347" s="202" t="str">
        <f ca="1">IF($A347="","",VLOOKUP($A347,JOURNAL!$C$5:$I$1115,2,0))</f>
        <v/>
      </c>
      <c r="D347" s="201" t="str">
        <f ca="1">IF($A347="","",VLOOKUP($A347,JOURNAL!$C$5:$I$1115,4,0))</f>
        <v/>
      </c>
      <c r="E347" s="187" t="str">
        <f ca="1">IF($A347="","",VLOOKUP($A347,JOURNAL!$C$5:$I$1115,3,0))</f>
        <v/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 x14ac:dyDescent="0.2">
      <c r="A348" s="200" t="str">
        <f t="shared" ca="1" si="2"/>
        <v/>
      </c>
      <c r="B348" s="201" t="str">
        <f ca="1">IF($A348="","",VLOOKUP($A348,JOURNAL!$C$5:$I$1115,5,0))</f>
        <v/>
      </c>
      <c r="C348" s="202" t="str">
        <f ca="1">IF($A348="","",VLOOKUP($A348,JOURNAL!$C$5:$I$1115,2,0))</f>
        <v/>
      </c>
      <c r="D348" s="201" t="str">
        <f ca="1">IF($A348="","",VLOOKUP($A348,JOURNAL!$C$5:$I$1115,4,0))</f>
        <v/>
      </c>
      <c r="E348" s="187" t="str">
        <f ca="1">IF($A348="","",VLOOKUP($A348,JOURNAL!$C$5:$I$1115,3,0))</f>
        <v/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 x14ac:dyDescent="0.2">
      <c r="A349" s="200" t="str">
        <f t="shared" ca="1" si="2"/>
        <v/>
      </c>
      <c r="B349" s="201" t="str">
        <f ca="1">IF($A349="","",VLOOKUP($A349,JOURNAL!$C$5:$I$1115,5,0))</f>
        <v/>
      </c>
      <c r="C349" s="202" t="str">
        <f ca="1">IF($A349="","",VLOOKUP($A349,JOURNAL!$C$5:$I$1115,2,0))</f>
        <v/>
      </c>
      <c r="D349" s="201" t="str">
        <f ca="1">IF($A349="","",VLOOKUP($A349,JOURNAL!$C$5:$I$1115,4,0))</f>
        <v/>
      </c>
      <c r="E349" s="187" t="str">
        <f ca="1">IF($A349="","",VLOOKUP($A349,JOURNAL!$C$5:$I$1115,3,0))</f>
        <v/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 x14ac:dyDescent="0.2">
      <c r="A350" s="200" t="str">
        <f t="shared" ca="1" si="2"/>
        <v/>
      </c>
      <c r="B350" s="201" t="str">
        <f ca="1">IF($A350="","",VLOOKUP($A350,JOURNAL!$C$5:$I$1115,5,0))</f>
        <v/>
      </c>
      <c r="C350" s="202" t="str">
        <f ca="1">IF($A350="","",VLOOKUP($A350,JOURNAL!$C$5:$I$1115,2,0))</f>
        <v/>
      </c>
      <c r="D350" s="201" t="str">
        <f ca="1">IF($A350="","",VLOOKUP($A350,JOURNAL!$C$5:$I$1115,4,0))</f>
        <v/>
      </c>
      <c r="E350" s="187" t="str">
        <f ca="1">IF($A350="","",VLOOKUP($A350,JOURNAL!$C$5:$I$1115,3,0))</f>
        <v/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 x14ac:dyDescent="0.2">
      <c r="A351" s="200" t="str">
        <f t="shared" ca="1" si="2"/>
        <v/>
      </c>
      <c r="B351" s="201" t="str">
        <f ca="1">IF($A351="","",VLOOKUP($A351,JOURNAL!$C$5:$I$1115,5,0))</f>
        <v/>
      </c>
      <c r="C351" s="202" t="str">
        <f ca="1">IF($A351="","",VLOOKUP($A351,JOURNAL!$C$5:$I$1115,2,0))</f>
        <v/>
      </c>
      <c r="D351" s="201" t="str">
        <f ca="1">IF($A351="","",VLOOKUP($A351,JOURNAL!$C$5:$I$1115,4,0))</f>
        <v/>
      </c>
      <c r="E351" s="187" t="str">
        <f ca="1">IF($A351="","",VLOOKUP($A351,JOURNAL!$C$5:$I$1115,3,0))</f>
        <v/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 x14ac:dyDescent="0.2">
      <c r="A352" s="200" t="str">
        <f t="shared" ca="1" si="2"/>
        <v/>
      </c>
      <c r="B352" s="201" t="str">
        <f ca="1">IF($A352="","",VLOOKUP($A352,JOURNAL!$C$5:$I$1115,5,0))</f>
        <v/>
      </c>
      <c r="C352" s="202" t="str">
        <f ca="1">IF($A352="","",VLOOKUP($A352,JOURNAL!$C$5:$I$1115,2,0))</f>
        <v/>
      </c>
      <c r="D352" s="201" t="str">
        <f ca="1">IF($A352="","",VLOOKUP($A352,JOURNAL!$C$5:$I$1115,4,0))</f>
        <v/>
      </c>
      <c r="E352" s="187" t="str">
        <f ca="1">IF($A352="","",VLOOKUP($A352,JOURNAL!$C$5:$I$1115,3,0))</f>
        <v/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 x14ac:dyDescent="0.2">
      <c r="A353" s="200" t="str">
        <f t="shared" ca="1" si="2"/>
        <v/>
      </c>
      <c r="B353" s="201" t="str">
        <f ca="1">IF($A353="","",VLOOKUP($A353,JOURNAL!$C$5:$I$1115,5,0))</f>
        <v/>
      </c>
      <c r="C353" s="202" t="str">
        <f ca="1">IF($A353="","",VLOOKUP($A353,JOURNAL!$C$5:$I$1115,2,0))</f>
        <v/>
      </c>
      <c r="D353" s="201" t="str">
        <f ca="1">IF($A353="","",VLOOKUP($A353,JOURNAL!$C$5:$I$1115,4,0))</f>
        <v/>
      </c>
      <c r="E353" s="187" t="str">
        <f ca="1">IF($A353="","",VLOOKUP($A353,JOURNAL!$C$5:$I$1115,3,0))</f>
        <v/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 x14ac:dyDescent="0.2">
      <c r="A354" s="200" t="str">
        <f t="shared" ca="1" si="2"/>
        <v/>
      </c>
      <c r="B354" s="201" t="str">
        <f ca="1">IF($A354="","",VLOOKUP($A354,JOURNAL!$C$5:$I$1115,5,0))</f>
        <v/>
      </c>
      <c r="C354" s="202" t="str">
        <f ca="1">IF($A354="","",VLOOKUP($A354,JOURNAL!$C$5:$I$1115,2,0))</f>
        <v/>
      </c>
      <c r="D354" s="201" t="str">
        <f ca="1">IF($A354="","",VLOOKUP($A354,JOURNAL!$C$5:$I$1115,4,0))</f>
        <v/>
      </c>
      <c r="E354" s="187" t="str">
        <f ca="1">IF($A354="","",VLOOKUP($A354,JOURNAL!$C$5:$I$1115,3,0))</f>
        <v/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 x14ac:dyDescent="0.2">
      <c r="A355" s="200" t="str">
        <f t="shared" ca="1" si="2"/>
        <v/>
      </c>
      <c r="B355" s="201" t="str">
        <f ca="1">IF($A355="","",VLOOKUP($A355,JOURNAL!$C$5:$I$1115,5,0))</f>
        <v/>
      </c>
      <c r="C355" s="202" t="str">
        <f ca="1">IF($A355="","",VLOOKUP($A355,JOURNAL!$C$5:$I$1115,2,0))</f>
        <v/>
      </c>
      <c r="D355" s="201" t="str">
        <f ca="1">IF($A355="","",VLOOKUP($A355,JOURNAL!$C$5:$I$1115,4,0))</f>
        <v/>
      </c>
      <c r="E355" s="187" t="str">
        <f ca="1">IF($A355="","",VLOOKUP($A355,JOURNAL!$C$5:$I$1115,3,0))</f>
        <v/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 x14ac:dyDescent="0.2">
      <c r="A356" s="200" t="str">
        <f t="shared" ca="1" si="2"/>
        <v/>
      </c>
      <c r="B356" s="201" t="str">
        <f ca="1">IF($A356="","",VLOOKUP($A356,JOURNAL!$C$5:$I$1115,5,0))</f>
        <v/>
      </c>
      <c r="C356" s="202" t="str">
        <f ca="1">IF($A356="","",VLOOKUP($A356,JOURNAL!$C$5:$I$1115,2,0))</f>
        <v/>
      </c>
      <c r="D356" s="201" t="str">
        <f ca="1">IF($A356="","",VLOOKUP($A356,JOURNAL!$C$5:$I$1115,4,0))</f>
        <v/>
      </c>
      <c r="E356" s="187" t="str">
        <f ca="1">IF($A356="","",VLOOKUP($A356,JOURNAL!$C$5:$I$1115,3,0))</f>
        <v/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 x14ac:dyDescent="0.2">
      <c r="A357" s="200" t="str">
        <f t="shared" ca="1" si="2"/>
        <v/>
      </c>
      <c r="B357" s="201" t="str">
        <f ca="1">IF($A357="","",VLOOKUP($A357,JOURNAL!$C$5:$I$1115,5,0))</f>
        <v/>
      </c>
      <c r="C357" s="202" t="str">
        <f ca="1">IF($A357="","",VLOOKUP($A357,JOURNAL!$C$5:$I$1115,2,0))</f>
        <v/>
      </c>
      <c r="D357" s="201" t="str">
        <f ca="1">IF($A357="","",VLOOKUP($A357,JOURNAL!$C$5:$I$1115,4,0))</f>
        <v/>
      </c>
      <c r="E357" s="187" t="str">
        <f ca="1">IF($A357="","",VLOOKUP($A357,JOURNAL!$C$5:$I$1115,3,0))</f>
        <v/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 x14ac:dyDescent="0.2">
      <c r="A358" s="200" t="str">
        <f t="shared" ca="1" si="2"/>
        <v/>
      </c>
      <c r="B358" s="201" t="str">
        <f ca="1">IF($A358="","",VLOOKUP($A358,JOURNAL!$C$5:$I$1115,5,0))</f>
        <v/>
      </c>
      <c r="C358" s="202" t="str">
        <f ca="1">IF($A358="","",VLOOKUP($A358,JOURNAL!$C$5:$I$1115,2,0))</f>
        <v/>
      </c>
      <c r="D358" s="201" t="str">
        <f ca="1">IF($A358="","",VLOOKUP($A358,JOURNAL!$C$5:$I$1115,4,0))</f>
        <v/>
      </c>
      <c r="E358" s="187" t="str">
        <f ca="1">IF($A358="","",VLOOKUP($A358,JOURNAL!$C$5:$I$1115,3,0))</f>
        <v/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 x14ac:dyDescent="0.2">
      <c r="A359" s="200" t="str">
        <f t="shared" ca="1" si="2"/>
        <v/>
      </c>
      <c r="B359" s="201" t="str">
        <f ca="1">IF($A359="","",VLOOKUP($A359,JOURNAL!$C$5:$I$1115,5,0))</f>
        <v/>
      </c>
      <c r="C359" s="202" t="str">
        <f ca="1">IF($A359="","",VLOOKUP($A359,JOURNAL!$C$5:$I$1115,2,0))</f>
        <v/>
      </c>
      <c r="D359" s="201" t="str">
        <f ca="1">IF($A359="","",VLOOKUP($A359,JOURNAL!$C$5:$I$1115,4,0))</f>
        <v/>
      </c>
      <c r="E359" s="187" t="str">
        <f ca="1">IF($A359="","",VLOOKUP($A359,JOURNAL!$C$5:$I$1115,3,0))</f>
        <v/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 x14ac:dyDescent="0.2">
      <c r="A360" s="200" t="str">
        <f t="shared" ca="1" si="2"/>
        <v/>
      </c>
      <c r="B360" s="201" t="str">
        <f ca="1">IF($A360="","",VLOOKUP($A360,JOURNAL!$C$5:$I$1115,5,0))</f>
        <v/>
      </c>
      <c r="C360" s="202" t="str">
        <f ca="1">IF($A360="","",VLOOKUP($A360,JOURNAL!$C$5:$I$1115,2,0))</f>
        <v/>
      </c>
      <c r="D360" s="201" t="str">
        <f ca="1">IF($A360="","",VLOOKUP($A360,JOURNAL!$C$5:$I$1115,4,0))</f>
        <v/>
      </c>
      <c r="E360" s="187" t="str">
        <f ca="1">IF($A360="","",VLOOKUP($A360,JOURNAL!$C$5:$I$1115,3,0))</f>
        <v/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 x14ac:dyDescent="0.2">
      <c r="A361" s="200" t="str">
        <f t="shared" ca="1" si="2"/>
        <v/>
      </c>
      <c r="B361" s="201" t="str">
        <f ca="1">IF($A361="","",VLOOKUP($A361,JOURNAL!$C$5:$I$1115,5,0))</f>
        <v/>
      </c>
      <c r="C361" s="202" t="str">
        <f ca="1">IF($A361="","",VLOOKUP($A361,JOURNAL!$C$5:$I$1115,2,0))</f>
        <v/>
      </c>
      <c r="D361" s="201" t="str">
        <f ca="1">IF($A361="","",VLOOKUP($A361,JOURNAL!$C$5:$I$1115,4,0))</f>
        <v/>
      </c>
      <c r="E361" s="187" t="str">
        <f ca="1">IF($A361="","",VLOOKUP($A361,JOURNAL!$C$5:$I$1115,3,0))</f>
        <v/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 x14ac:dyDescent="0.2">
      <c r="A362" s="200" t="str">
        <f t="shared" ca="1" si="2"/>
        <v/>
      </c>
      <c r="B362" s="201" t="str">
        <f ca="1">IF($A362="","",VLOOKUP($A362,JOURNAL!$C$5:$I$1115,5,0))</f>
        <v/>
      </c>
      <c r="C362" s="202" t="str">
        <f ca="1">IF($A362="","",VLOOKUP($A362,JOURNAL!$C$5:$I$1115,2,0))</f>
        <v/>
      </c>
      <c r="D362" s="201" t="str">
        <f ca="1">IF($A362="","",VLOOKUP($A362,JOURNAL!$C$5:$I$1115,4,0))</f>
        <v/>
      </c>
      <c r="E362" s="187" t="str">
        <f ca="1">IF($A362="","",VLOOKUP($A362,JOURNAL!$C$5:$I$1115,3,0))</f>
        <v/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 x14ac:dyDescent="0.2">
      <c r="A363" s="200" t="str">
        <f t="shared" ca="1" si="2"/>
        <v/>
      </c>
      <c r="B363" s="201" t="str">
        <f ca="1">IF($A363="","",VLOOKUP($A363,JOURNAL!$C$5:$I$1115,5,0))</f>
        <v/>
      </c>
      <c r="C363" s="202" t="str">
        <f ca="1">IF($A363="","",VLOOKUP($A363,JOURNAL!$C$5:$I$1115,2,0))</f>
        <v/>
      </c>
      <c r="D363" s="201" t="str">
        <f ca="1">IF($A363="","",VLOOKUP($A363,JOURNAL!$C$5:$I$1115,4,0))</f>
        <v/>
      </c>
      <c r="E363" s="187" t="str">
        <f ca="1">IF($A363="","",VLOOKUP($A363,JOURNAL!$C$5:$I$1115,3,0))</f>
        <v/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 x14ac:dyDescent="0.2">
      <c r="A364" s="200" t="str">
        <f t="shared" ca="1" si="2"/>
        <v/>
      </c>
      <c r="B364" s="201" t="str">
        <f ca="1">IF($A364="","",VLOOKUP($A364,JOURNAL!$C$5:$I$1115,5,0))</f>
        <v/>
      </c>
      <c r="C364" s="202" t="str">
        <f ca="1">IF($A364="","",VLOOKUP($A364,JOURNAL!$C$5:$I$1115,2,0))</f>
        <v/>
      </c>
      <c r="D364" s="201" t="str">
        <f ca="1">IF($A364="","",VLOOKUP($A364,JOURNAL!$C$5:$I$1115,4,0))</f>
        <v/>
      </c>
      <c r="E364" s="187" t="str">
        <f ca="1">IF($A364="","",VLOOKUP($A364,JOURNAL!$C$5:$I$1115,3,0))</f>
        <v/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 x14ac:dyDescent="0.2">
      <c r="A365" s="200" t="str">
        <f t="shared" ca="1" si="2"/>
        <v/>
      </c>
      <c r="B365" s="201" t="str">
        <f ca="1">IF($A365="","",VLOOKUP($A365,JOURNAL!$C$5:$I$1115,5,0))</f>
        <v/>
      </c>
      <c r="C365" s="202" t="str">
        <f ca="1">IF($A365="","",VLOOKUP($A365,JOURNAL!$C$5:$I$1115,2,0))</f>
        <v/>
      </c>
      <c r="D365" s="201" t="str">
        <f ca="1">IF($A365="","",VLOOKUP($A365,JOURNAL!$C$5:$I$1115,4,0))</f>
        <v/>
      </c>
      <c r="E365" s="187" t="str">
        <f ca="1">IF($A365="","",VLOOKUP($A365,JOURNAL!$C$5:$I$1115,3,0))</f>
        <v/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 x14ac:dyDescent="0.2">
      <c r="A366" s="200" t="str">
        <f t="shared" ca="1" si="2"/>
        <v/>
      </c>
      <c r="B366" s="201" t="str">
        <f ca="1">IF($A366="","",VLOOKUP($A366,JOURNAL!$C$5:$I$1115,5,0))</f>
        <v/>
      </c>
      <c r="C366" s="202" t="str">
        <f ca="1">IF($A366="","",VLOOKUP($A366,JOURNAL!$C$5:$I$1115,2,0))</f>
        <v/>
      </c>
      <c r="D366" s="201" t="str">
        <f ca="1">IF($A366="","",VLOOKUP($A366,JOURNAL!$C$5:$I$1115,4,0))</f>
        <v/>
      </c>
      <c r="E366" s="187" t="str">
        <f ca="1">IF($A366="","",VLOOKUP($A366,JOURNAL!$C$5:$I$1115,3,0))</f>
        <v/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 x14ac:dyDescent="0.2">
      <c r="A367" s="200" t="str">
        <f t="shared" ca="1" si="2"/>
        <v/>
      </c>
      <c r="B367" s="201" t="str">
        <f ca="1">IF($A367="","",VLOOKUP($A367,JOURNAL!$C$5:$I$1115,5,0))</f>
        <v/>
      </c>
      <c r="C367" s="202" t="str">
        <f ca="1">IF($A367="","",VLOOKUP($A367,JOURNAL!$C$5:$I$1115,2,0))</f>
        <v/>
      </c>
      <c r="D367" s="201" t="str">
        <f ca="1">IF($A367="","",VLOOKUP($A367,JOURNAL!$C$5:$I$1115,4,0))</f>
        <v/>
      </c>
      <c r="E367" s="187" t="str">
        <f ca="1">IF($A367="","",VLOOKUP($A367,JOURNAL!$C$5:$I$1115,3,0))</f>
        <v/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 x14ac:dyDescent="0.2">
      <c r="A368" s="200" t="str">
        <f t="shared" ca="1" si="2"/>
        <v/>
      </c>
      <c r="B368" s="201" t="str">
        <f ca="1">IF($A368="","",VLOOKUP($A368,JOURNAL!$C$5:$I$1115,5,0))</f>
        <v/>
      </c>
      <c r="C368" s="202" t="str">
        <f ca="1">IF($A368="","",VLOOKUP($A368,JOURNAL!$C$5:$I$1115,2,0))</f>
        <v/>
      </c>
      <c r="D368" s="201" t="str">
        <f ca="1">IF($A368="","",VLOOKUP($A368,JOURNAL!$C$5:$I$1115,4,0))</f>
        <v/>
      </c>
      <c r="E368" s="187" t="str">
        <f ca="1">IF($A368="","",VLOOKUP($A368,JOURNAL!$C$5:$I$1115,3,0))</f>
        <v/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 x14ac:dyDescent="0.2">
      <c r="A369" s="200" t="str">
        <f t="shared" ca="1" si="2"/>
        <v/>
      </c>
      <c r="B369" s="201" t="str">
        <f ca="1">IF($A369="","",VLOOKUP($A369,JOURNAL!$C$5:$I$1115,5,0))</f>
        <v/>
      </c>
      <c r="C369" s="202" t="str">
        <f ca="1">IF($A369="","",VLOOKUP($A369,JOURNAL!$C$5:$I$1115,2,0))</f>
        <v/>
      </c>
      <c r="D369" s="201" t="str">
        <f ca="1">IF($A369="","",VLOOKUP($A369,JOURNAL!$C$5:$I$1115,4,0))</f>
        <v/>
      </c>
      <c r="E369" s="187" t="str">
        <f ca="1">IF($A369="","",VLOOKUP($A369,JOURNAL!$C$5:$I$1115,3,0))</f>
        <v/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 x14ac:dyDescent="0.2">
      <c r="A370" s="200" t="str">
        <f t="shared" ca="1" si="2"/>
        <v/>
      </c>
      <c r="B370" s="201" t="str">
        <f ca="1">IF($A370="","",VLOOKUP($A370,JOURNAL!$C$5:$I$1115,5,0))</f>
        <v/>
      </c>
      <c r="C370" s="202" t="str">
        <f ca="1">IF($A370="","",VLOOKUP($A370,JOURNAL!$C$5:$I$1115,2,0))</f>
        <v/>
      </c>
      <c r="D370" s="201" t="str">
        <f ca="1">IF($A370="","",VLOOKUP($A370,JOURNAL!$C$5:$I$1115,4,0))</f>
        <v/>
      </c>
      <c r="E370" s="187" t="str">
        <f ca="1">IF($A370="","",VLOOKUP($A370,JOURNAL!$C$5:$I$1115,3,0))</f>
        <v/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 x14ac:dyDescent="0.2">
      <c r="A371" s="200" t="str">
        <f t="shared" ca="1" si="2"/>
        <v/>
      </c>
      <c r="B371" s="201" t="str">
        <f ca="1">IF($A371="","",VLOOKUP($A371,JOURNAL!$C$5:$I$1115,5,0))</f>
        <v/>
      </c>
      <c r="C371" s="202" t="str">
        <f ca="1">IF($A371="","",VLOOKUP($A371,JOURNAL!$C$5:$I$1115,2,0))</f>
        <v/>
      </c>
      <c r="D371" s="201" t="str">
        <f ca="1">IF($A371="","",VLOOKUP($A371,JOURNAL!$C$5:$I$1115,4,0))</f>
        <v/>
      </c>
      <c r="E371" s="187" t="str">
        <f ca="1">IF($A371="","",VLOOKUP($A371,JOURNAL!$C$5:$I$1115,3,0))</f>
        <v/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 x14ac:dyDescent="0.2">
      <c r="A372" s="200" t="str">
        <f t="shared" ca="1" si="2"/>
        <v/>
      </c>
      <c r="B372" s="201" t="str">
        <f ca="1">IF($A372="","",VLOOKUP($A372,JOURNAL!$C$5:$I$1115,5,0))</f>
        <v/>
      </c>
      <c r="C372" s="202" t="str">
        <f ca="1">IF($A372="","",VLOOKUP($A372,JOURNAL!$C$5:$I$1115,2,0))</f>
        <v/>
      </c>
      <c r="D372" s="201" t="str">
        <f ca="1">IF($A372="","",VLOOKUP($A372,JOURNAL!$C$5:$I$1115,4,0))</f>
        <v/>
      </c>
      <c r="E372" s="187" t="str">
        <f ca="1">IF($A372="","",VLOOKUP($A372,JOURNAL!$C$5:$I$1115,3,0))</f>
        <v/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 x14ac:dyDescent="0.2">
      <c r="A373" s="200" t="str">
        <f t="shared" ca="1" si="2"/>
        <v/>
      </c>
      <c r="B373" s="201" t="str">
        <f ca="1">IF($A373="","",VLOOKUP($A373,JOURNAL!$C$5:$I$1115,5,0))</f>
        <v/>
      </c>
      <c r="C373" s="202" t="str">
        <f ca="1">IF($A373="","",VLOOKUP($A373,JOURNAL!$C$5:$I$1115,2,0))</f>
        <v/>
      </c>
      <c r="D373" s="201" t="str">
        <f ca="1">IF($A373="","",VLOOKUP($A373,JOURNAL!$C$5:$I$1115,4,0))</f>
        <v/>
      </c>
      <c r="E373" s="187" t="str">
        <f ca="1">IF($A373="","",VLOOKUP($A373,JOURNAL!$C$5:$I$1115,3,0))</f>
        <v/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 x14ac:dyDescent="0.2">
      <c r="A374" s="200" t="str">
        <f t="shared" ca="1" si="2"/>
        <v/>
      </c>
      <c r="B374" s="201" t="str">
        <f ca="1">IF($A374="","",VLOOKUP($A374,JOURNAL!$C$5:$I$1115,5,0))</f>
        <v/>
      </c>
      <c r="C374" s="202" t="str">
        <f ca="1">IF($A374="","",VLOOKUP($A374,JOURNAL!$C$5:$I$1115,2,0))</f>
        <v/>
      </c>
      <c r="D374" s="201" t="str">
        <f ca="1">IF($A374="","",VLOOKUP($A374,JOURNAL!$C$5:$I$1115,4,0))</f>
        <v/>
      </c>
      <c r="E374" s="187" t="str">
        <f ca="1">IF($A374="","",VLOOKUP($A374,JOURNAL!$C$5:$I$1115,3,0))</f>
        <v/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 x14ac:dyDescent="0.2">
      <c r="A375" s="200" t="str">
        <f t="shared" ca="1" si="2"/>
        <v/>
      </c>
      <c r="B375" s="201" t="str">
        <f ca="1">IF($A375="","",VLOOKUP($A375,JOURNAL!$C$5:$I$1115,5,0))</f>
        <v/>
      </c>
      <c r="C375" s="202" t="str">
        <f ca="1">IF($A375="","",VLOOKUP($A375,JOURNAL!$C$5:$I$1115,2,0))</f>
        <v/>
      </c>
      <c r="D375" s="201" t="str">
        <f ca="1">IF($A375="","",VLOOKUP($A375,JOURNAL!$C$5:$I$1115,4,0))</f>
        <v/>
      </c>
      <c r="E375" s="187" t="str">
        <f ca="1">IF($A375="","",VLOOKUP($A375,JOURNAL!$C$5:$I$1115,3,0))</f>
        <v/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 x14ac:dyDescent="0.2">
      <c r="A376" s="200" t="str">
        <f t="shared" ca="1" si="2"/>
        <v/>
      </c>
      <c r="B376" s="201" t="str">
        <f ca="1">IF($A376="","",VLOOKUP($A376,JOURNAL!$C$5:$I$1115,5,0))</f>
        <v/>
      </c>
      <c r="C376" s="202" t="str">
        <f ca="1">IF($A376="","",VLOOKUP($A376,JOURNAL!$C$5:$I$1115,2,0))</f>
        <v/>
      </c>
      <c r="D376" s="201" t="str">
        <f ca="1">IF($A376="","",VLOOKUP($A376,JOURNAL!$C$5:$I$1115,4,0))</f>
        <v/>
      </c>
      <c r="E376" s="187" t="str">
        <f ca="1">IF($A376="","",VLOOKUP($A376,JOURNAL!$C$5:$I$1115,3,0))</f>
        <v/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 x14ac:dyDescent="0.2">
      <c r="A377" s="200" t="str">
        <f t="shared" ca="1" si="2"/>
        <v/>
      </c>
      <c r="B377" s="201" t="str">
        <f ca="1">IF($A377="","",VLOOKUP($A377,JOURNAL!$C$5:$I$1115,5,0))</f>
        <v/>
      </c>
      <c r="C377" s="202" t="str">
        <f ca="1">IF($A377="","",VLOOKUP($A377,JOURNAL!$C$5:$I$1115,2,0))</f>
        <v/>
      </c>
      <c r="D377" s="201" t="str">
        <f ca="1">IF($A377="","",VLOOKUP($A377,JOURNAL!$C$5:$I$1115,4,0))</f>
        <v/>
      </c>
      <c r="E377" s="187" t="str">
        <f ca="1">IF($A377="","",VLOOKUP($A377,JOURNAL!$C$5:$I$1115,3,0))</f>
        <v/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 x14ac:dyDescent="0.2">
      <c r="A378" s="200" t="str">
        <f t="shared" ca="1" si="2"/>
        <v/>
      </c>
      <c r="B378" s="201" t="str">
        <f ca="1">IF($A378="","",VLOOKUP($A378,JOURNAL!$C$5:$I$1115,5,0))</f>
        <v/>
      </c>
      <c r="C378" s="202" t="str">
        <f ca="1">IF($A378="","",VLOOKUP($A378,JOURNAL!$C$5:$I$1115,2,0))</f>
        <v/>
      </c>
      <c r="D378" s="201" t="str">
        <f ca="1">IF($A378="","",VLOOKUP($A378,JOURNAL!$C$5:$I$1115,4,0))</f>
        <v/>
      </c>
      <c r="E378" s="187" t="str">
        <f ca="1">IF($A378="","",VLOOKUP($A378,JOURNAL!$C$5:$I$1115,3,0))</f>
        <v/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 x14ac:dyDescent="0.2">
      <c r="A379" s="200" t="str">
        <f t="shared" ca="1" si="2"/>
        <v/>
      </c>
      <c r="B379" s="201" t="str">
        <f ca="1">IF($A379="","",VLOOKUP($A379,JOURNAL!$C$5:$I$1115,5,0))</f>
        <v/>
      </c>
      <c r="C379" s="202" t="str">
        <f ca="1">IF($A379="","",VLOOKUP($A379,JOURNAL!$C$5:$I$1115,2,0))</f>
        <v/>
      </c>
      <c r="D379" s="201" t="str">
        <f ca="1">IF($A379="","",VLOOKUP($A379,JOURNAL!$C$5:$I$1115,4,0))</f>
        <v/>
      </c>
      <c r="E379" s="187" t="str">
        <f ca="1">IF($A379="","",VLOOKUP($A379,JOURNAL!$C$5:$I$1115,3,0))</f>
        <v/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 x14ac:dyDescent="0.2">
      <c r="A380" s="200" t="str">
        <f t="shared" ca="1" si="2"/>
        <v/>
      </c>
      <c r="B380" s="201" t="str">
        <f ca="1">IF($A380="","",VLOOKUP($A380,JOURNAL!$C$5:$I$1115,5,0))</f>
        <v/>
      </c>
      <c r="C380" s="202" t="str">
        <f ca="1">IF($A380="","",VLOOKUP($A380,JOURNAL!$C$5:$I$1115,2,0))</f>
        <v/>
      </c>
      <c r="D380" s="201" t="str">
        <f ca="1">IF($A380="","",VLOOKUP($A380,JOURNAL!$C$5:$I$1115,4,0))</f>
        <v/>
      </c>
      <c r="E380" s="187" t="str">
        <f ca="1">IF($A380="","",VLOOKUP($A380,JOURNAL!$C$5:$I$1115,3,0))</f>
        <v/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 x14ac:dyDescent="0.2">
      <c r="A381" s="200" t="str">
        <f t="shared" ca="1" si="2"/>
        <v/>
      </c>
      <c r="B381" s="201" t="str">
        <f ca="1">IF($A381="","",VLOOKUP($A381,JOURNAL!$C$5:$I$1115,5,0))</f>
        <v/>
      </c>
      <c r="C381" s="202" t="str">
        <f ca="1">IF($A381="","",VLOOKUP($A381,JOURNAL!$C$5:$I$1115,2,0))</f>
        <v/>
      </c>
      <c r="D381" s="201" t="str">
        <f ca="1">IF($A381="","",VLOOKUP($A381,JOURNAL!$C$5:$I$1115,4,0))</f>
        <v/>
      </c>
      <c r="E381" s="187" t="str">
        <f ca="1">IF($A381="","",VLOOKUP($A381,JOURNAL!$C$5:$I$1115,3,0))</f>
        <v/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 x14ac:dyDescent="0.2">
      <c r="A382" s="200" t="str">
        <f t="shared" ca="1" si="2"/>
        <v/>
      </c>
      <c r="B382" s="201" t="str">
        <f ca="1">IF($A382="","",VLOOKUP($A382,JOURNAL!$C$5:$I$1115,5,0))</f>
        <v/>
      </c>
      <c r="C382" s="202" t="str">
        <f ca="1">IF($A382="","",VLOOKUP($A382,JOURNAL!$C$5:$I$1115,2,0))</f>
        <v/>
      </c>
      <c r="D382" s="201" t="str">
        <f ca="1">IF($A382="","",VLOOKUP($A382,JOURNAL!$C$5:$I$1115,4,0))</f>
        <v/>
      </c>
      <c r="E382" s="187" t="str">
        <f ca="1">IF($A382="","",VLOOKUP($A382,JOURNAL!$C$5:$I$1115,3,0))</f>
        <v/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 x14ac:dyDescent="0.2">
      <c r="A383" s="200" t="str">
        <f t="shared" ca="1" si="2"/>
        <v/>
      </c>
      <c r="B383" s="201" t="str">
        <f ca="1">IF($A383="","",VLOOKUP($A383,JOURNAL!$C$5:$I$1115,5,0))</f>
        <v/>
      </c>
      <c r="C383" s="202" t="str">
        <f ca="1">IF($A383="","",VLOOKUP($A383,JOURNAL!$C$5:$I$1115,2,0))</f>
        <v/>
      </c>
      <c r="D383" s="201" t="str">
        <f ca="1">IF($A383="","",VLOOKUP($A383,JOURNAL!$C$5:$I$1115,4,0))</f>
        <v/>
      </c>
      <c r="E383" s="187" t="str">
        <f ca="1">IF($A383="","",VLOOKUP($A383,JOURNAL!$C$5:$I$1115,3,0))</f>
        <v/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 x14ac:dyDescent="0.2">
      <c r="A384" s="200" t="str">
        <f t="shared" ca="1" si="2"/>
        <v/>
      </c>
      <c r="B384" s="201" t="str">
        <f ca="1">IF($A384="","",VLOOKUP($A384,JOURNAL!$C$5:$I$1115,5,0))</f>
        <v/>
      </c>
      <c r="C384" s="202" t="str">
        <f ca="1">IF($A384="","",VLOOKUP($A384,JOURNAL!$C$5:$I$1115,2,0))</f>
        <v/>
      </c>
      <c r="D384" s="201" t="str">
        <f ca="1">IF($A384="","",VLOOKUP($A384,JOURNAL!$C$5:$I$1115,4,0))</f>
        <v/>
      </c>
      <c r="E384" s="187" t="str">
        <f ca="1">IF($A384="","",VLOOKUP($A384,JOURNAL!$C$5:$I$1115,3,0))</f>
        <v/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 x14ac:dyDescent="0.2">
      <c r="A385" s="200" t="str">
        <f t="shared" ca="1" si="2"/>
        <v/>
      </c>
      <c r="B385" s="201" t="str">
        <f ca="1">IF($A385="","",VLOOKUP($A385,JOURNAL!$C$5:$I$1115,5,0))</f>
        <v/>
      </c>
      <c r="C385" s="202" t="str">
        <f ca="1">IF($A385="","",VLOOKUP($A385,JOURNAL!$C$5:$I$1115,2,0))</f>
        <v/>
      </c>
      <c r="D385" s="201" t="str">
        <f ca="1">IF($A385="","",VLOOKUP($A385,JOURNAL!$C$5:$I$1115,4,0))</f>
        <v/>
      </c>
      <c r="E385" s="187" t="str">
        <f ca="1">IF($A385="","",VLOOKUP($A385,JOURNAL!$C$5:$I$1115,3,0))</f>
        <v/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 x14ac:dyDescent="0.2">
      <c r="A386" s="200" t="str">
        <f t="shared" ca="1" si="2"/>
        <v/>
      </c>
      <c r="B386" s="201" t="str">
        <f ca="1">IF($A386="","",VLOOKUP($A386,JOURNAL!$C$5:$I$1115,5,0))</f>
        <v/>
      </c>
      <c r="C386" s="202" t="str">
        <f ca="1">IF($A386="","",VLOOKUP($A386,JOURNAL!$C$5:$I$1115,2,0))</f>
        <v/>
      </c>
      <c r="D386" s="201" t="str">
        <f ca="1">IF($A386="","",VLOOKUP($A386,JOURNAL!$C$5:$I$1115,4,0))</f>
        <v/>
      </c>
      <c r="E386" s="187" t="str">
        <f ca="1">IF($A386="","",VLOOKUP($A386,JOURNAL!$C$5:$I$1115,3,0))</f>
        <v/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 x14ac:dyDescent="0.2">
      <c r="A387" s="200" t="str">
        <f t="shared" ca="1" si="2"/>
        <v/>
      </c>
      <c r="B387" s="201" t="str">
        <f ca="1">IF($A387="","",VLOOKUP($A387,JOURNAL!$C$5:$I$1115,5,0))</f>
        <v/>
      </c>
      <c r="C387" s="202" t="str">
        <f ca="1">IF($A387="","",VLOOKUP($A387,JOURNAL!$C$5:$I$1115,2,0))</f>
        <v/>
      </c>
      <c r="D387" s="201" t="str">
        <f ca="1">IF($A387="","",VLOOKUP($A387,JOURNAL!$C$5:$I$1115,4,0))</f>
        <v/>
      </c>
      <c r="E387" s="187" t="str">
        <f ca="1">IF($A387="","",VLOOKUP($A387,JOURNAL!$C$5:$I$1115,3,0))</f>
        <v/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 x14ac:dyDescent="0.2">
      <c r="A388" s="200" t="str">
        <f t="shared" ca="1" si="2"/>
        <v/>
      </c>
      <c r="B388" s="201" t="str">
        <f ca="1">IF($A388="","",VLOOKUP($A388,JOURNAL!$C$5:$I$1115,5,0))</f>
        <v/>
      </c>
      <c r="C388" s="202" t="str">
        <f ca="1">IF($A388="","",VLOOKUP($A388,JOURNAL!$C$5:$I$1115,2,0))</f>
        <v/>
      </c>
      <c r="D388" s="201" t="str">
        <f ca="1">IF($A388="","",VLOOKUP($A388,JOURNAL!$C$5:$I$1115,4,0))</f>
        <v/>
      </c>
      <c r="E388" s="187" t="str">
        <f ca="1">IF($A388="","",VLOOKUP($A388,JOURNAL!$C$5:$I$1115,3,0))</f>
        <v/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 x14ac:dyDescent="0.2">
      <c r="A389" s="200" t="str">
        <f t="shared" ca="1" si="2"/>
        <v/>
      </c>
      <c r="B389" s="201" t="str">
        <f ca="1">IF($A389="","",VLOOKUP($A389,JOURNAL!$C$5:$I$1115,5,0))</f>
        <v/>
      </c>
      <c r="C389" s="202" t="str">
        <f ca="1">IF($A389="","",VLOOKUP($A389,JOURNAL!$C$5:$I$1115,2,0))</f>
        <v/>
      </c>
      <c r="D389" s="201" t="str">
        <f ca="1">IF($A389="","",VLOOKUP($A389,JOURNAL!$C$5:$I$1115,4,0))</f>
        <v/>
      </c>
      <c r="E389" s="187" t="str">
        <f ca="1">IF($A389="","",VLOOKUP($A389,JOURNAL!$C$5:$I$1115,3,0))</f>
        <v/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 x14ac:dyDescent="0.2">
      <c r="A390" s="200" t="str">
        <f t="shared" ca="1" si="2"/>
        <v/>
      </c>
      <c r="B390" s="201" t="str">
        <f ca="1">IF($A390="","",VLOOKUP($A390,JOURNAL!$C$5:$I$1115,5,0))</f>
        <v/>
      </c>
      <c r="C390" s="202" t="str">
        <f ca="1">IF($A390="","",VLOOKUP($A390,JOURNAL!$C$5:$I$1115,2,0))</f>
        <v/>
      </c>
      <c r="D390" s="201" t="str">
        <f ca="1">IF($A390="","",VLOOKUP($A390,JOURNAL!$C$5:$I$1115,4,0))</f>
        <v/>
      </c>
      <c r="E390" s="187" t="str">
        <f ca="1">IF($A390="","",VLOOKUP($A390,JOURNAL!$C$5:$I$1115,3,0))</f>
        <v/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 x14ac:dyDescent="0.2">
      <c r="A391" s="200" t="str">
        <f t="shared" ca="1" si="2"/>
        <v/>
      </c>
      <c r="B391" s="201" t="str">
        <f ca="1">IF($A391="","",VLOOKUP($A391,JOURNAL!$C$5:$I$1115,5,0))</f>
        <v/>
      </c>
      <c r="C391" s="202" t="str">
        <f ca="1">IF($A391="","",VLOOKUP($A391,JOURNAL!$C$5:$I$1115,2,0))</f>
        <v/>
      </c>
      <c r="D391" s="201" t="str">
        <f ca="1">IF($A391="","",VLOOKUP($A391,JOURNAL!$C$5:$I$1115,4,0))</f>
        <v/>
      </c>
      <c r="E391" s="187" t="str">
        <f ca="1">IF($A391="","",VLOOKUP($A391,JOURNAL!$C$5:$I$1115,3,0))</f>
        <v/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 x14ac:dyDescent="0.2">
      <c r="A392" s="200" t="str">
        <f t="shared" ca="1" si="2"/>
        <v/>
      </c>
      <c r="B392" s="201" t="str">
        <f ca="1">IF($A392="","",VLOOKUP($A392,JOURNAL!$C$5:$I$1115,5,0))</f>
        <v/>
      </c>
      <c r="C392" s="202" t="str">
        <f ca="1">IF($A392="","",VLOOKUP($A392,JOURNAL!$C$5:$I$1115,2,0))</f>
        <v/>
      </c>
      <c r="D392" s="201" t="str">
        <f ca="1">IF($A392="","",VLOOKUP($A392,JOURNAL!$C$5:$I$1115,4,0))</f>
        <v/>
      </c>
      <c r="E392" s="187" t="str">
        <f ca="1">IF($A392="","",VLOOKUP($A392,JOURNAL!$C$5:$I$1115,3,0))</f>
        <v/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 x14ac:dyDescent="0.2">
      <c r="A393" s="200" t="str">
        <f t="shared" ca="1" si="2"/>
        <v/>
      </c>
      <c r="B393" s="201" t="str">
        <f ca="1">IF($A393="","",VLOOKUP($A393,JOURNAL!$C$5:$I$1115,5,0))</f>
        <v/>
      </c>
      <c r="C393" s="202" t="str">
        <f ca="1">IF($A393="","",VLOOKUP($A393,JOURNAL!$C$5:$I$1115,2,0))</f>
        <v/>
      </c>
      <c r="D393" s="201" t="str">
        <f ca="1">IF($A393="","",VLOOKUP($A393,JOURNAL!$C$5:$I$1115,4,0))</f>
        <v/>
      </c>
      <c r="E393" s="187" t="str">
        <f ca="1">IF($A393="","",VLOOKUP($A393,JOURNAL!$C$5:$I$1115,3,0))</f>
        <v/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 x14ac:dyDescent="0.2">
      <c r="A394" s="200" t="str">
        <f t="shared" ca="1" si="2"/>
        <v/>
      </c>
      <c r="B394" s="201" t="str">
        <f ca="1">IF($A394="","",VLOOKUP($A394,JOURNAL!$C$5:$I$1115,5,0))</f>
        <v/>
      </c>
      <c r="C394" s="202" t="str">
        <f ca="1">IF($A394="","",VLOOKUP($A394,JOURNAL!$C$5:$I$1115,2,0))</f>
        <v/>
      </c>
      <c r="D394" s="201" t="str">
        <f ca="1">IF($A394="","",VLOOKUP($A394,JOURNAL!$C$5:$I$1115,4,0))</f>
        <v/>
      </c>
      <c r="E394" s="187" t="str">
        <f ca="1">IF($A394="","",VLOOKUP($A394,JOURNAL!$C$5:$I$1115,3,0))</f>
        <v/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 x14ac:dyDescent="0.2">
      <c r="A395" s="200" t="str">
        <f t="shared" ca="1" si="2"/>
        <v/>
      </c>
      <c r="B395" s="201" t="str">
        <f ca="1">IF($A395="","",VLOOKUP($A395,JOURNAL!$C$5:$I$1115,5,0))</f>
        <v/>
      </c>
      <c r="C395" s="202" t="str">
        <f ca="1">IF($A395="","",VLOOKUP($A395,JOURNAL!$C$5:$I$1115,2,0))</f>
        <v/>
      </c>
      <c r="D395" s="201" t="str">
        <f ca="1">IF($A395="","",VLOOKUP($A395,JOURNAL!$C$5:$I$1115,4,0))</f>
        <v/>
      </c>
      <c r="E395" s="187" t="str">
        <f ca="1">IF($A395="","",VLOOKUP($A395,JOURNAL!$C$5:$I$1115,3,0))</f>
        <v/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 x14ac:dyDescent="0.2">
      <c r="A396" s="200" t="str">
        <f t="shared" ca="1" si="2"/>
        <v/>
      </c>
      <c r="B396" s="201" t="str">
        <f ca="1">IF($A396="","",VLOOKUP($A396,JOURNAL!$C$5:$I$1115,5,0))</f>
        <v/>
      </c>
      <c r="C396" s="202" t="str">
        <f ca="1">IF($A396="","",VLOOKUP($A396,JOURNAL!$C$5:$I$1115,2,0))</f>
        <v/>
      </c>
      <c r="D396" s="201" t="str">
        <f ca="1">IF($A396="","",VLOOKUP($A396,JOURNAL!$C$5:$I$1115,4,0))</f>
        <v/>
      </c>
      <c r="E396" s="187" t="str">
        <f ca="1">IF($A396="","",VLOOKUP($A396,JOURNAL!$C$5:$I$1115,3,0))</f>
        <v/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 x14ac:dyDescent="0.2">
      <c r="A397" s="200" t="str">
        <f t="shared" ca="1" si="2"/>
        <v/>
      </c>
      <c r="B397" s="201" t="str">
        <f ca="1">IF($A397="","",VLOOKUP($A397,JOURNAL!$C$5:$I$1115,5,0))</f>
        <v/>
      </c>
      <c r="C397" s="202" t="str">
        <f ca="1">IF($A397="","",VLOOKUP($A397,JOURNAL!$C$5:$I$1115,2,0))</f>
        <v/>
      </c>
      <c r="D397" s="201" t="str">
        <f ca="1">IF($A397="","",VLOOKUP($A397,JOURNAL!$C$5:$I$1115,4,0))</f>
        <v/>
      </c>
      <c r="E397" s="187" t="str">
        <f ca="1">IF($A397="","",VLOOKUP($A397,JOURNAL!$C$5:$I$1115,3,0))</f>
        <v/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 x14ac:dyDescent="0.2">
      <c r="A398" s="200" t="str">
        <f t="shared" ca="1" si="2"/>
        <v/>
      </c>
      <c r="B398" s="201" t="str">
        <f ca="1">IF($A398="","",VLOOKUP($A398,JOURNAL!$C$5:$I$1115,5,0))</f>
        <v/>
      </c>
      <c r="C398" s="202" t="str">
        <f ca="1">IF($A398="","",VLOOKUP($A398,JOURNAL!$C$5:$I$1115,2,0))</f>
        <v/>
      </c>
      <c r="D398" s="201" t="str">
        <f ca="1">IF($A398="","",VLOOKUP($A398,JOURNAL!$C$5:$I$1115,4,0))</f>
        <v/>
      </c>
      <c r="E398" s="187" t="str">
        <f ca="1">IF($A398="","",VLOOKUP($A398,JOURNAL!$C$5:$I$1115,3,0))</f>
        <v/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 x14ac:dyDescent="0.2">
      <c r="A399" s="200" t="str">
        <f t="shared" ca="1" si="2"/>
        <v/>
      </c>
      <c r="B399" s="201" t="str">
        <f ca="1">IF($A399="","",VLOOKUP($A399,JOURNAL!$C$5:$I$1115,5,0))</f>
        <v/>
      </c>
      <c r="C399" s="202" t="str">
        <f ca="1">IF($A399="","",VLOOKUP($A399,JOURNAL!$C$5:$I$1115,2,0))</f>
        <v/>
      </c>
      <c r="D399" s="201" t="str">
        <f ca="1">IF($A399="","",VLOOKUP($A399,JOURNAL!$C$5:$I$1115,4,0))</f>
        <v/>
      </c>
      <c r="E399" s="187" t="str">
        <f ca="1">IF($A399="","",VLOOKUP($A399,JOURNAL!$C$5:$I$1115,3,0))</f>
        <v/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 x14ac:dyDescent="0.2">
      <c r="A400" s="200" t="str">
        <f t="shared" ca="1" si="2"/>
        <v/>
      </c>
      <c r="B400" s="201" t="str">
        <f ca="1">IF($A400="","",VLOOKUP($A400,JOURNAL!$C$5:$I$1115,5,0))</f>
        <v/>
      </c>
      <c r="C400" s="202" t="str">
        <f ca="1">IF($A400="","",VLOOKUP($A400,JOURNAL!$C$5:$I$1115,2,0))</f>
        <v/>
      </c>
      <c r="D400" s="201" t="str">
        <f ca="1">IF($A400="","",VLOOKUP($A400,JOURNAL!$C$5:$I$1115,4,0))</f>
        <v/>
      </c>
      <c r="E400" s="187" t="str">
        <f ca="1">IF($A400="","",VLOOKUP($A400,JOURNAL!$C$5:$I$1115,3,0))</f>
        <v/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 x14ac:dyDescent="0.2">
      <c r="A401" s="200" t="str">
        <f t="shared" ca="1" si="2"/>
        <v/>
      </c>
      <c r="B401" s="201" t="str">
        <f ca="1">IF($A401="","",VLOOKUP($A401,JOURNAL!$C$5:$I$1115,5,0))</f>
        <v/>
      </c>
      <c r="C401" s="202" t="str">
        <f ca="1">IF($A401="","",VLOOKUP($A401,JOURNAL!$C$5:$I$1115,2,0))</f>
        <v/>
      </c>
      <c r="D401" s="201" t="str">
        <f ca="1">IF($A401="","",VLOOKUP($A401,JOURNAL!$C$5:$I$1115,4,0))</f>
        <v/>
      </c>
      <c r="E401" s="187" t="str">
        <f ca="1">IF($A401="","",VLOOKUP($A401,JOURNAL!$C$5:$I$1115,3,0))</f>
        <v/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 x14ac:dyDescent="0.2">
      <c r="A402" s="200" t="str">
        <f t="shared" ca="1" si="2"/>
        <v/>
      </c>
      <c r="B402" s="201" t="str">
        <f ca="1">IF($A402="","",VLOOKUP($A402,JOURNAL!$C$5:$I$1115,5,0))</f>
        <v/>
      </c>
      <c r="C402" s="202" t="str">
        <f ca="1">IF($A402="","",VLOOKUP($A402,JOURNAL!$C$5:$I$1115,2,0))</f>
        <v/>
      </c>
      <c r="D402" s="201" t="str">
        <f ca="1">IF($A402="","",VLOOKUP($A402,JOURNAL!$C$5:$I$1115,4,0))</f>
        <v/>
      </c>
      <c r="E402" s="187" t="str">
        <f ca="1">IF($A402="","",VLOOKUP($A402,JOURNAL!$C$5:$I$1115,3,0))</f>
        <v/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 x14ac:dyDescent="0.2">
      <c r="A403" s="200" t="str">
        <f t="shared" ca="1" si="2"/>
        <v/>
      </c>
      <c r="B403" s="201" t="str">
        <f ca="1">IF($A403="","",VLOOKUP($A403,JOURNAL!$C$5:$I$1115,5,0))</f>
        <v/>
      </c>
      <c r="C403" s="202" t="str">
        <f ca="1">IF($A403="","",VLOOKUP($A403,JOURNAL!$C$5:$I$1115,2,0))</f>
        <v/>
      </c>
      <c r="D403" s="201" t="str">
        <f ca="1">IF($A403="","",VLOOKUP($A403,JOURNAL!$C$5:$I$1115,4,0))</f>
        <v/>
      </c>
      <c r="E403" s="187" t="str">
        <f ca="1">IF($A403="","",VLOOKUP($A403,JOURNAL!$C$5:$I$1115,3,0))</f>
        <v/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 x14ac:dyDescent="0.2">
      <c r="A404" s="200" t="str">
        <f t="shared" ca="1" si="2"/>
        <v/>
      </c>
      <c r="B404" s="201" t="str">
        <f ca="1">IF($A404="","",VLOOKUP($A404,JOURNAL!$C$5:$I$1115,5,0))</f>
        <v/>
      </c>
      <c r="C404" s="202" t="str">
        <f ca="1">IF($A404="","",VLOOKUP($A404,JOURNAL!$C$5:$I$1115,2,0))</f>
        <v/>
      </c>
      <c r="D404" s="201" t="str">
        <f ca="1">IF($A404="","",VLOOKUP($A404,JOURNAL!$C$5:$I$1115,4,0))</f>
        <v/>
      </c>
      <c r="E404" s="187" t="str">
        <f ca="1">IF($A404="","",VLOOKUP($A404,JOURNAL!$C$5:$I$1115,3,0))</f>
        <v/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 x14ac:dyDescent="0.2">
      <c r="A405" s="200" t="str">
        <f t="shared" ca="1" si="2"/>
        <v/>
      </c>
      <c r="B405" s="201" t="str">
        <f ca="1">IF($A405="","",VLOOKUP($A405,JOURNAL!$C$5:$I$1115,5,0))</f>
        <v/>
      </c>
      <c r="C405" s="202" t="str">
        <f ca="1">IF($A405="","",VLOOKUP($A405,JOURNAL!$C$5:$I$1115,2,0))</f>
        <v/>
      </c>
      <c r="D405" s="201" t="str">
        <f ca="1">IF($A405="","",VLOOKUP($A405,JOURNAL!$C$5:$I$1115,4,0))</f>
        <v/>
      </c>
      <c r="E405" s="187" t="str">
        <f ca="1">IF($A405="","",VLOOKUP($A405,JOURNAL!$C$5:$I$1115,3,0))</f>
        <v/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 x14ac:dyDescent="0.2">
      <c r="A406" s="200" t="str">
        <f t="shared" ca="1" si="2"/>
        <v/>
      </c>
      <c r="B406" s="201" t="str">
        <f ca="1">IF($A406="","",VLOOKUP($A406,JOURNAL!$C$5:$I$1115,5,0))</f>
        <v/>
      </c>
      <c r="C406" s="202" t="str">
        <f ca="1">IF($A406="","",VLOOKUP($A406,JOURNAL!$C$5:$I$1115,2,0))</f>
        <v/>
      </c>
      <c r="D406" s="201" t="str">
        <f ca="1">IF($A406="","",VLOOKUP($A406,JOURNAL!$C$5:$I$1115,4,0))</f>
        <v/>
      </c>
      <c r="E406" s="187" t="str">
        <f ca="1">IF($A406="","",VLOOKUP($A406,JOURNAL!$C$5:$I$1115,3,0))</f>
        <v/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 x14ac:dyDescent="0.2">
      <c r="A407" s="200" t="str">
        <f t="shared" ca="1" si="2"/>
        <v/>
      </c>
      <c r="B407" s="201" t="str">
        <f ca="1">IF($A407="","",VLOOKUP($A407,JOURNAL!$C$5:$I$1115,5,0))</f>
        <v/>
      </c>
      <c r="C407" s="202" t="str">
        <f ca="1">IF($A407="","",VLOOKUP($A407,JOURNAL!$C$5:$I$1115,2,0))</f>
        <v/>
      </c>
      <c r="D407" s="201" t="str">
        <f ca="1">IF($A407="","",VLOOKUP($A407,JOURNAL!$C$5:$I$1115,4,0))</f>
        <v/>
      </c>
      <c r="E407" s="187" t="str">
        <f ca="1">IF($A407="","",VLOOKUP($A407,JOURNAL!$C$5:$I$1115,3,0))</f>
        <v/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 x14ac:dyDescent="0.2">
      <c r="A408" s="200" t="str">
        <f t="shared" ca="1" si="2"/>
        <v/>
      </c>
      <c r="B408" s="201" t="str">
        <f ca="1">IF($A408="","",VLOOKUP($A408,JOURNAL!$C$5:$I$1115,5,0))</f>
        <v/>
      </c>
      <c r="C408" s="202" t="str">
        <f ca="1">IF($A408="","",VLOOKUP($A408,JOURNAL!$C$5:$I$1115,2,0))</f>
        <v/>
      </c>
      <c r="D408" s="201" t="str">
        <f ca="1">IF($A408="","",VLOOKUP($A408,JOURNAL!$C$5:$I$1115,4,0))</f>
        <v/>
      </c>
      <c r="E408" s="187" t="str">
        <f ca="1">IF($A408="","",VLOOKUP($A408,JOURNAL!$C$5:$I$1115,3,0))</f>
        <v/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 x14ac:dyDescent="0.2">
      <c r="A409" s="200" t="str">
        <f t="shared" ca="1" si="2"/>
        <v/>
      </c>
      <c r="B409" s="201" t="str">
        <f ca="1">IF($A409="","",VLOOKUP($A409,JOURNAL!$C$5:$I$1115,5,0))</f>
        <v/>
      </c>
      <c r="C409" s="202" t="str">
        <f ca="1">IF($A409="","",VLOOKUP($A409,JOURNAL!$C$5:$I$1115,2,0))</f>
        <v/>
      </c>
      <c r="D409" s="201" t="str">
        <f ca="1">IF($A409="","",VLOOKUP($A409,JOURNAL!$C$5:$I$1115,4,0))</f>
        <v/>
      </c>
      <c r="E409" s="187" t="str">
        <f ca="1">IF($A409="","",VLOOKUP($A409,JOURNAL!$C$5:$I$1115,3,0))</f>
        <v/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 x14ac:dyDescent="0.2">
      <c r="A410" s="200" t="str">
        <f t="shared" ca="1" si="2"/>
        <v/>
      </c>
      <c r="B410" s="201" t="str">
        <f ca="1">IF($A410="","",VLOOKUP($A410,JOURNAL!$C$5:$I$1115,5,0))</f>
        <v/>
      </c>
      <c r="C410" s="202" t="str">
        <f ca="1">IF($A410="","",VLOOKUP($A410,JOURNAL!$C$5:$I$1115,2,0))</f>
        <v/>
      </c>
      <c r="D410" s="201" t="str">
        <f ca="1">IF($A410="","",VLOOKUP($A410,JOURNAL!$C$5:$I$1115,4,0))</f>
        <v/>
      </c>
      <c r="E410" s="187" t="str">
        <f ca="1">IF($A410="","",VLOOKUP($A410,JOURNAL!$C$5:$I$1115,3,0))</f>
        <v/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 x14ac:dyDescent="0.2">
      <c r="A411" s="200" t="str">
        <f t="shared" ca="1" si="2"/>
        <v/>
      </c>
      <c r="B411" s="201" t="str">
        <f ca="1">IF($A411="","",VLOOKUP($A411,JOURNAL!$C$5:$I$1115,5,0))</f>
        <v/>
      </c>
      <c r="C411" s="202" t="str">
        <f ca="1">IF($A411="","",VLOOKUP($A411,JOURNAL!$C$5:$I$1115,2,0))</f>
        <v/>
      </c>
      <c r="D411" s="201" t="str">
        <f ca="1">IF($A411="","",VLOOKUP($A411,JOURNAL!$C$5:$I$1115,4,0))</f>
        <v/>
      </c>
      <c r="E411" s="187" t="str">
        <f ca="1">IF($A411="","",VLOOKUP($A411,JOURNAL!$C$5:$I$1115,3,0))</f>
        <v/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 x14ac:dyDescent="0.2">
      <c r="A412" s="200" t="str">
        <f t="shared" ca="1" si="2"/>
        <v/>
      </c>
      <c r="B412" s="201" t="str">
        <f ca="1">IF($A412="","",VLOOKUP($A412,JOURNAL!$C$5:$I$1115,5,0))</f>
        <v/>
      </c>
      <c r="C412" s="202" t="str">
        <f ca="1">IF($A412="","",VLOOKUP($A412,JOURNAL!$C$5:$I$1115,2,0))</f>
        <v/>
      </c>
      <c r="D412" s="201" t="str">
        <f ca="1">IF($A412="","",VLOOKUP($A412,JOURNAL!$C$5:$I$1115,4,0))</f>
        <v/>
      </c>
      <c r="E412" s="187" t="str">
        <f ca="1">IF($A412="","",VLOOKUP($A412,JOURNAL!$C$5:$I$1115,3,0))</f>
        <v/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 x14ac:dyDescent="0.2">
      <c r="A413" s="200" t="str">
        <f t="shared" ca="1" si="2"/>
        <v/>
      </c>
      <c r="B413" s="201" t="str">
        <f ca="1">IF($A413="","",VLOOKUP($A413,JOURNAL!$C$5:$I$1115,5,0))</f>
        <v/>
      </c>
      <c r="C413" s="202" t="str">
        <f ca="1">IF($A413="","",VLOOKUP($A413,JOURNAL!$C$5:$I$1115,2,0))</f>
        <v/>
      </c>
      <c r="D413" s="201" t="str">
        <f ca="1">IF($A413="","",VLOOKUP($A413,JOURNAL!$C$5:$I$1115,4,0))</f>
        <v/>
      </c>
      <c r="E413" s="187" t="str">
        <f ca="1">IF($A413="","",VLOOKUP($A413,JOURNAL!$C$5:$I$1115,3,0))</f>
        <v/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 x14ac:dyDescent="0.2">
      <c r="A414" s="200" t="str">
        <f t="shared" ca="1" si="2"/>
        <v/>
      </c>
      <c r="B414" s="201" t="str">
        <f ca="1">IF($A414="","",VLOOKUP($A414,JOURNAL!$C$5:$I$1115,5,0))</f>
        <v/>
      </c>
      <c r="C414" s="202" t="str">
        <f ca="1">IF($A414="","",VLOOKUP($A414,JOURNAL!$C$5:$I$1115,2,0))</f>
        <v/>
      </c>
      <c r="D414" s="201" t="str">
        <f ca="1">IF($A414="","",VLOOKUP($A414,JOURNAL!$C$5:$I$1115,4,0))</f>
        <v/>
      </c>
      <c r="E414" s="187" t="str">
        <f ca="1">IF($A414="","",VLOOKUP($A414,JOURNAL!$C$5:$I$1115,3,0))</f>
        <v/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 x14ac:dyDescent="0.2">
      <c r="A415" s="200" t="str">
        <f t="shared" ca="1" si="2"/>
        <v/>
      </c>
      <c r="B415" s="201" t="str">
        <f ca="1">IF($A415="","",VLOOKUP($A415,JOURNAL!$C$5:$I$1115,5,0))</f>
        <v/>
      </c>
      <c r="C415" s="202" t="str">
        <f ca="1">IF($A415="","",VLOOKUP($A415,JOURNAL!$C$5:$I$1115,2,0))</f>
        <v/>
      </c>
      <c r="D415" s="201" t="str">
        <f ca="1">IF($A415="","",VLOOKUP($A415,JOURNAL!$C$5:$I$1115,4,0))</f>
        <v/>
      </c>
      <c r="E415" s="187" t="str">
        <f ca="1">IF($A415="","",VLOOKUP($A415,JOURNAL!$C$5:$I$1115,3,0))</f>
        <v/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 x14ac:dyDescent="0.2">
      <c r="A416" s="200" t="str">
        <f t="shared" ca="1" si="2"/>
        <v/>
      </c>
      <c r="B416" s="201" t="str">
        <f ca="1">IF($A416="","",VLOOKUP($A416,JOURNAL!$C$5:$I$1115,5,0))</f>
        <v/>
      </c>
      <c r="C416" s="202" t="str">
        <f ca="1">IF($A416="","",VLOOKUP($A416,JOURNAL!$C$5:$I$1115,2,0))</f>
        <v/>
      </c>
      <c r="D416" s="201" t="str">
        <f ca="1">IF($A416="","",VLOOKUP($A416,JOURNAL!$C$5:$I$1115,4,0))</f>
        <v/>
      </c>
      <c r="E416" s="187" t="str">
        <f ca="1">IF($A416="","",VLOOKUP($A416,JOURNAL!$C$5:$I$1115,3,0))</f>
        <v/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 x14ac:dyDescent="0.2">
      <c r="A417" s="200" t="str">
        <f t="shared" ca="1" si="2"/>
        <v/>
      </c>
      <c r="B417" s="201" t="str">
        <f ca="1">IF($A417="","",VLOOKUP($A417,JOURNAL!$C$5:$I$1115,5,0))</f>
        <v/>
      </c>
      <c r="C417" s="202" t="str">
        <f ca="1">IF($A417="","",VLOOKUP($A417,JOURNAL!$C$5:$I$1115,2,0))</f>
        <v/>
      </c>
      <c r="D417" s="201" t="str">
        <f ca="1">IF($A417="","",VLOOKUP($A417,JOURNAL!$C$5:$I$1115,4,0))</f>
        <v/>
      </c>
      <c r="E417" s="187" t="str">
        <f ca="1">IF($A417="","",VLOOKUP($A417,JOURNAL!$C$5:$I$1115,3,0))</f>
        <v/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 x14ac:dyDescent="0.2">
      <c r="A418" s="200" t="str">
        <f t="shared" ca="1" si="2"/>
        <v/>
      </c>
      <c r="B418" s="201" t="str">
        <f ca="1">IF($A418="","",VLOOKUP($A418,JOURNAL!$C$5:$I$1115,5,0))</f>
        <v/>
      </c>
      <c r="C418" s="202" t="str">
        <f ca="1">IF($A418="","",VLOOKUP($A418,JOURNAL!$C$5:$I$1115,2,0))</f>
        <v/>
      </c>
      <c r="D418" s="201" t="str">
        <f ca="1">IF($A418="","",VLOOKUP($A418,JOURNAL!$C$5:$I$1115,4,0))</f>
        <v/>
      </c>
      <c r="E418" s="187" t="str">
        <f ca="1">IF($A418="","",VLOOKUP($A418,JOURNAL!$C$5:$I$1115,3,0))</f>
        <v/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 x14ac:dyDescent="0.2">
      <c r="A419" s="200" t="str">
        <f t="shared" ca="1" si="2"/>
        <v/>
      </c>
      <c r="B419" s="201" t="str">
        <f ca="1">IF($A419="","",VLOOKUP($A419,JOURNAL!$C$5:$I$1115,5,0))</f>
        <v/>
      </c>
      <c r="C419" s="202" t="str">
        <f ca="1">IF($A419="","",VLOOKUP($A419,JOURNAL!$C$5:$I$1115,2,0))</f>
        <v/>
      </c>
      <c r="D419" s="201" t="str">
        <f ca="1">IF($A419="","",VLOOKUP($A419,JOURNAL!$C$5:$I$1115,4,0))</f>
        <v/>
      </c>
      <c r="E419" s="187" t="str">
        <f ca="1">IF($A419="","",VLOOKUP($A419,JOURNAL!$C$5:$I$1115,3,0))</f>
        <v/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 x14ac:dyDescent="0.2">
      <c r="A420" s="200" t="str">
        <f t="shared" ca="1" si="2"/>
        <v/>
      </c>
      <c r="B420" s="201" t="str">
        <f ca="1">IF($A420="","",VLOOKUP($A420,JOURNAL!$C$5:$I$1115,5,0))</f>
        <v/>
      </c>
      <c r="C420" s="202" t="str">
        <f ca="1">IF($A420="","",VLOOKUP($A420,JOURNAL!$C$5:$I$1115,2,0))</f>
        <v/>
      </c>
      <c r="D420" s="201" t="str">
        <f ca="1">IF($A420="","",VLOOKUP($A420,JOURNAL!$C$5:$I$1115,4,0))</f>
        <v/>
      </c>
      <c r="E420" s="187" t="str">
        <f ca="1">IF($A420="","",VLOOKUP($A420,JOURNAL!$C$5:$I$1115,3,0))</f>
        <v/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 x14ac:dyDescent="0.2">
      <c r="A421" s="200" t="str">
        <f t="shared" ca="1" si="2"/>
        <v/>
      </c>
      <c r="B421" s="201" t="str">
        <f ca="1">IF($A421="","",VLOOKUP($A421,JOURNAL!$C$5:$I$1115,5,0))</f>
        <v/>
      </c>
      <c r="C421" s="202" t="str">
        <f ca="1">IF($A421="","",VLOOKUP($A421,JOURNAL!$C$5:$I$1115,2,0))</f>
        <v/>
      </c>
      <c r="D421" s="201" t="str">
        <f ca="1">IF($A421="","",VLOOKUP($A421,JOURNAL!$C$5:$I$1115,4,0))</f>
        <v/>
      </c>
      <c r="E421" s="187" t="str">
        <f ca="1">IF($A421="","",VLOOKUP($A421,JOURNAL!$C$5:$I$1115,3,0))</f>
        <v/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 x14ac:dyDescent="0.2">
      <c r="A422" s="200" t="str">
        <f t="shared" ca="1" si="2"/>
        <v/>
      </c>
      <c r="B422" s="201" t="str">
        <f ca="1">IF($A422="","",VLOOKUP($A422,JOURNAL!$C$5:$I$1115,5,0))</f>
        <v/>
      </c>
      <c r="C422" s="202" t="str">
        <f ca="1">IF($A422="","",VLOOKUP($A422,JOURNAL!$C$5:$I$1115,2,0))</f>
        <v/>
      </c>
      <c r="D422" s="201" t="str">
        <f ca="1">IF($A422="","",VLOOKUP($A422,JOURNAL!$C$5:$I$1115,4,0))</f>
        <v/>
      </c>
      <c r="E422" s="187" t="str">
        <f ca="1">IF($A422="","",VLOOKUP($A422,JOURNAL!$C$5:$I$1115,3,0))</f>
        <v/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 x14ac:dyDescent="0.2">
      <c r="A423" s="200" t="str">
        <f t="shared" ca="1" si="2"/>
        <v/>
      </c>
      <c r="B423" s="201" t="str">
        <f ca="1">IF($A423="","",VLOOKUP($A423,JOURNAL!$C$5:$I$1115,5,0))</f>
        <v/>
      </c>
      <c r="C423" s="202" t="str">
        <f ca="1">IF($A423="","",VLOOKUP($A423,JOURNAL!$C$5:$I$1115,2,0))</f>
        <v/>
      </c>
      <c r="D423" s="201" t="str">
        <f ca="1">IF($A423="","",VLOOKUP($A423,JOURNAL!$C$5:$I$1115,4,0))</f>
        <v/>
      </c>
      <c r="E423" s="187" t="str">
        <f ca="1">IF($A423="","",VLOOKUP($A423,JOURNAL!$C$5:$I$1115,3,0))</f>
        <v/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 x14ac:dyDescent="0.2">
      <c r="A424" s="200" t="str">
        <f t="shared" ca="1" si="2"/>
        <v/>
      </c>
      <c r="B424" s="201" t="str">
        <f ca="1">IF($A424="","",VLOOKUP($A424,JOURNAL!$C$5:$I$1115,5,0))</f>
        <v/>
      </c>
      <c r="C424" s="202" t="str">
        <f ca="1">IF($A424="","",VLOOKUP($A424,JOURNAL!$C$5:$I$1115,2,0))</f>
        <v/>
      </c>
      <c r="D424" s="201" t="str">
        <f ca="1">IF($A424="","",VLOOKUP($A424,JOURNAL!$C$5:$I$1115,4,0))</f>
        <v/>
      </c>
      <c r="E424" s="187" t="str">
        <f ca="1">IF($A424="","",VLOOKUP($A424,JOURNAL!$C$5:$I$1115,3,0))</f>
        <v/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 x14ac:dyDescent="0.2">
      <c r="A425" s="200" t="str">
        <f t="shared" ca="1" si="2"/>
        <v/>
      </c>
      <c r="B425" s="201" t="str">
        <f ca="1">IF($A425="","",VLOOKUP($A425,JOURNAL!$C$5:$I$1115,5,0))</f>
        <v/>
      </c>
      <c r="C425" s="202" t="str">
        <f ca="1">IF($A425="","",VLOOKUP($A425,JOURNAL!$C$5:$I$1115,2,0))</f>
        <v/>
      </c>
      <c r="D425" s="201" t="str">
        <f ca="1">IF($A425="","",VLOOKUP($A425,JOURNAL!$C$5:$I$1115,4,0))</f>
        <v/>
      </c>
      <c r="E425" s="187" t="str">
        <f ca="1">IF($A425="","",VLOOKUP($A425,JOURNAL!$C$5:$I$1115,3,0))</f>
        <v/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 x14ac:dyDescent="0.2">
      <c r="A426" s="200" t="str">
        <f t="shared" ca="1" si="2"/>
        <v/>
      </c>
      <c r="B426" s="201" t="str">
        <f ca="1">IF($A426="","",VLOOKUP($A426,JOURNAL!$C$5:$I$1115,5,0))</f>
        <v/>
      </c>
      <c r="C426" s="202" t="str">
        <f ca="1">IF($A426="","",VLOOKUP($A426,JOURNAL!$C$5:$I$1115,2,0))</f>
        <v/>
      </c>
      <c r="D426" s="201" t="str">
        <f ca="1">IF($A426="","",VLOOKUP($A426,JOURNAL!$C$5:$I$1115,4,0))</f>
        <v/>
      </c>
      <c r="E426" s="187" t="str">
        <f ca="1">IF($A426="","",VLOOKUP($A426,JOURNAL!$C$5:$I$1115,3,0))</f>
        <v/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 x14ac:dyDescent="0.2">
      <c r="A427" s="200" t="str">
        <f t="shared" ca="1" si="2"/>
        <v/>
      </c>
      <c r="B427" s="201" t="str">
        <f ca="1">IF($A427="","",VLOOKUP($A427,JOURNAL!$C$5:$I$1115,5,0))</f>
        <v/>
      </c>
      <c r="C427" s="202" t="str">
        <f ca="1">IF($A427="","",VLOOKUP($A427,JOURNAL!$C$5:$I$1115,2,0))</f>
        <v/>
      </c>
      <c r="D427" s="201" t="str">
        <f ca="1">IF($A427="","",VLOOKUP($A427,JOURNAL!$C$5:$I$1115,4,0))</f>
        <v/>
      </c>
      <c r="E427" s="187" t="str">
        <f ca="1">IF($A427="","",VLOOKUP($A427,JOURNAL!$C$5:$I$1115,3,0))</f>
        <v/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 x14ac:dyDescent="0.2">
      <c r="A428" s="200" t="str">
        <f t="shared" ca="1" si="2"/>
        <v/>
      </c>
      <c r="B428" s="201" t="str">
        <f ca="1">IF($A428="","",VLOOKUP($A428,JOURNAL!$C$5:$I$1115,5,0))</f>
        <v/>
      </c>
      <c r="C428" s="202" t="str">
        <f ca="1">IF($A428="","",VLOOKUP($A428,JOURNAL!$C$5:$I$1115,2,0))</f>
        <v/>
      </c>
      <c r="D428" s="201" t="str">
        <f ca="1">IF($A428="","",VLOOKUP($A428,JOURNAL!$C$5:$I$1115,4,0))</f>
        <v/>
      </c>
      <c r="E428" s="187" t="str">
        <f ca="1">IF($A428="","",VLOOKUP($A428,JOURNAL!$C$5:$I$1115,3,0))</f>
        <v/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 x14ac:dyDescent="0.2">
      <c r="A429" s="200" t="str">
        <f t="shared" ca="1" si="2"/>
        <v/>
      </c>
      <c r="B429" s="201" t="str">
        <f ca="1">IF($A429="","",VLOOKUP($A429,JOURNAL!$C$5:$I$1115,5,0))</f>
        <v/>
      </c>
      <c r="C429" s="202" t="str">
        <f ca="1">IF($A429="","",VLOOKUP($A429,JOURNAL!$C$5:$I$1115,2,0))</f>
        <v/>
      </c>
      <c r="D429" s="201" t="str">
        <f ca="1">IF($A429="","",VLOOKUP($A429,JOURNAL!$C$5:$I$1115,4,0))</f>
        <v/>
      </c>
      <c r="E429" s="187" t="str">
        <f ca="1">IF($A429="","",VLOOKUP($A429,JOURNAL!$C$5:$I$1115,3,0))</f>
        <v/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 x14ac:dyDescent="0.2">
      <c r="A430" s="200" t="str">
        <f t="shared" ca="1" si="2"/>
        <v/>
      </c>
      <c r="B430" s="201" t="str">
        <f ca="1">IF($A430="","",VLOOKUP($A430,JOURNAL!$C$5:$I$1115,5,0))</f>
        <v/>
      </c>
      <c r="C430" s="202" t="str">
        <f ca="1">IF($A430="","",VLOOKUP($A430,JOURNAL!$C$5:$I$1115,2,0))</f>
        <v/>
      </c>
      <c r="D430" s="201" t="str">
        <f ca="1">IF($A430="","",VLOOKUP($A430,JOURNAL!$C$5:$I$1115,4,0))</f>
        <v/>
      </c>
      <c r="E430" s="187" t="str">
        <f ca="1">IF($A430="","",VLOOKUP($A430,JOURNAL!$C$5:$I$1115,3,0))</f>
        <v/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 x14ac:dyDescent="0.2">
      <c r="A431" s="200" t="str">
        <f t="shared" ca="1" si="2"/>
        <v/>
      </c>
      <c r="B431" s="201" t="str">
        <f ca="1">IF($A431="","",VLOOKUP($A431,JOURNAL!$C$5:$I$1115,5,0))</f>
        <v/>
      </c>
      <c r="C431" s="202" t="str">
        <f ca="1">IF($A431="","",VLOOKUP($A431,JOURNAL!$C$5:$I$1115,2,0))</f>
        <v/>
      </c>
      <c r="D431" s="201" t="str">
        <f ca="1">IF($A431="","",VLOOKUP($A431,JOURNAL!$C$5:$I$1115,4,0))</f>
        <v/>
      </c>
      <c r="E431" s="187" t="str">
        <f ca="1">IF($A431="","",VLOOKUP($A431,JOURNAL!$C$5:$I$1115,3,0))</f>
        <v/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 x14ac:dyDescent="0.2">
      <c r="A432" s="200" t="str">
        <f t="shared" ca="1" si="2"/>
        <v/>
      </c>
      <c r="B432" s="201" t="str">
        <f ca="1">IF($A432="","",VLOOKUP($A432,JOURNAL!$C$5:$I$1115,5,0))</f>
        <v/>
      </c>
      <c r="C432" s="202" t="str">
        <f ca="1">IF($A432="","",VLOOKUP($A432,JOURNAL!$C$5:$I$1115,2,0))</f>
        <v/>
      </c>
      <c r="D432" s="201" t="str">
        <f ca="1">IF($A432="","",VLOOKUP($A432,JOURNAL!$C$5:$I$1115,4,0))</f>
        <v/>
      </c>
      <c r="E432" s="187" t="str">
        <f ca="1">IF($A432="","",VLOOKUP($A432,JOURNAL!$C$5:$I$1115,3,0))</f>
        <v/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 x14ac:dyDescent="0.2">
      <c r="A433" s="200" t="str">
        <f t="shared" ca="1" si="2"/>
        <v/>
      </c>
      <c r="B433" s="201" t="str">
        <f ca="1">IF($A433="","",VLOOKUP($A433,JOURNAL!$C$5:$I$1115,5,0))</f>
        <v/>
      </c>
      <c r="C433" s="202" t="str">
        <f ca="1">IF($A433="","",VLOOKUP($A433,JOURNAL!$C$5:$I$1115,2,0))</f>
        <v/>
      </c>
      <c r="D433" s="201" t="str">
        <f ca="1">IF($A433="","",VLOOKUP($A433,JOURNAL!$C$5:$I$1115,4,0))</f>
        <v/>
      </c>
      <c r="E433" s="187" t="str">
        <f ca="1">IF($A433="","",VLOOKUP($A433,JOURNAL!$C$5:$I$1115,3,0))</f>
        <v/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 x14ac:dyDescent="0.2">
      <c r="A434" s="200" t="str">
        <f t="shared" ref="A434:A449" ca="1" si="3">IF(A433="","",IF(ISNA(VLOOKUP($A$1&amp;" / "&amp;$A$176,INDIRECT(ADDRESS(A433+5,2,1,,"JOURNAL")&amp;":G700"),2,0)),"",VLOOKUP($A$1&amp;" / "&amp;$A$176,INDIRECT(ADDRESS(A433+5,2,1,,"JOURNAL")&amp;":G700"),2,0)))</f>
        <v/>
      </c>
      <c r="B434" s="201" t="str">
        <f ca="1">IF($A434="","",VLOOKUP($A434,JOURNAL!$C$5:$I$1115,5,0))</f>
        <v/>
      </c>
      <c r="C434" s="202" t="str">
        <f ca="1">IF($A434="","",VLOOKUP($A434,JOURNAL!$C$5:$I$1115,2,0))</f>
        <v/>
      </c>
      <c r="D434" s="201" t="str">
        <f ca="1">IF($A434="","",VLOOKUP($A434,JOURNAL!$C$5:$I$1115,4,0))</f>
        <v/>
      </c>
      <c r="E434" s="187" t="str">
        <f ca="1">IF($A434="","",VLOOKUP($A434,JOURNAL!$C$5:$I$1115,3,0))</f>
        <v/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 x14ac:dyDescent="0.2">
      <c r="A435" s="200" t="str">
        <f t="shared" ca="1" si="3"/>
        <v/>
      </c>
      <c r="B435" s="201" t="str">
        <f ca="1">IF($A435="","",VLOOKUP($A435,JOURNAL!$C$5:$I$1115,5,0))</f>
        <v/>
      </c>
      <c r="C435" s="202" t="str">
        <f ca="1">IF($A435="","",VLOOKUP($A435,JOURNAL!$C$5:$I$1115,2,0))</f>
        <v/>
      </c>
      <c r="D435" s="201" t="str">
        <f ca="1">IF($A435="","",VLOOKUP($A435,JOURNAL!$C$5:$I$1115,4,0))</f>
        <v/>
      </c>
      <c r="E435" s="187" t="str">
        <f ca="1">IF($A435="","",VLOOKUP($A435,JOURNAL!$C$5:$I$1115,3,0))</f>
        <v/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 x14ac:dyDescent="0.2">
      <c r="A436" s="200" t="str">
        <f t="shared" ca="1" si="3"/>
        <v/>
      </c>
      <c r="B436" s="201" t="str">
        <f ca="1">IF($A436="","",VLOOKUP($A436,JOURNAL!$C$5:$I$1115,5,0))</f>
        <v/>
      </c>
      <c r="C436" s="202" t="str">
        <f ca="1">IF($A436="","",VLOOKUP($A436,JOURNAL!$C$5:$I$1115,2,0))</f>
        <v/>
      </c>
      <c r="D436" s="201" t="str">
        <f ca="1">IF($A436="","",VLOOKUP($A436,JOURNAL!$C$5:$I$1115,4,0))</f>
        <v/>
      </c>
      <c r="E436" s="187" t="str">
        <f ca="1">IF($A436="","",VLOOKUP($A436,JOURNAL!$C$5:$I$1115,3,0))</f>
        <v/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 x14ac:dyDescent="0.2">
      <c r="A437" s="200" t="str">
        <f t="shared" ca="1" si="3"/>
        <v/>
      </c>
      <c r="B437" s="201" t="str">
        <f ca="1">IF($A437="","",VLOOKUP($A437,JOURNAL!$C$5:$I$1115,5,0))</f>
        <v/>
      </c>
      <c r="C437" s="202" t="str">
        <f ca="1">IF($A437="","",VLOOKUP($A437,JOURNAL!$C$5:$I$1115,2,0))</f>
        <v/>
      </c>
      <c r="D437" s="201" t="str">
        <f ca="1">IF($A437="","",VLOOKUP($A437,JOURNAL!$C$5:$I$1115,4,0))</f>
        <v/>
      </c>
      <c r="E437" s="187" t="str">
        <f ca="1">IF($A437="","",VLOOKUP($A437,JOURNAL!$C$5:$I$1115,3,0))</f>
        <v/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 x14ac:dyDescent="0.2">
      <c r="A438" s="200" t="str">
        <f t="shared" ca="1" si="3"/>
        <v/>
      </c>
      <c r="B438" s="201" t="str">
        <f ca="1">IF($A438="","",VLOOKUP($A438,JOURNAL!$C$5:$I$1115,5,0))</f>
        <v/>
      </c>
      <c r="C438" s="202" t="str">
        <f ca="1">IF($A438="","",VLOOKUP($A438,JOURNAL!$C$5:$I$1115,2,0))</f>
        <v/>
      </c>
      <c r="D438" s="201" t="str">
        <f ca="1">IF($A438="","",VLOOKUP($A438,JOURNAL!$C$5:$I$1115,4,0))</f>
        <v/>
      </c>
      <c r="E438" s="187" t="str">
        <f ca="1">IF($A438="","",VLOOKUP($A438,JOURNAL!$C$5:$I$1115,3,0))</f>
        <v/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 x14ac:dyDescent="0.2">
      <c r="A439" s="200" t="str">
        <f t="shared" ca="1" si="3"/>
        <v/>
      </c>
      <c r="B439" s="201" t="str">
        <f ca="1">IF($A439="","",VLOOKUP($A439,JOURNAL!$C$5:$I$1115,5,0))</f>
        <v/>
      </c>
      <c r="C439" s="202" t="str">
        <f ca="1">IF($A439="","",VLOOKUP($A439,JOURNAL!$C$5:$I$1115,2,0))</f>
        <v/>
      </c>
      <c r="D439" s="201" t="str">
        <f ca="1">IF($A439="","",VLOOKUP($A439,JOURNAL!$C$5:$I$1115,4,0))</f>
        <v/>
      </c>
      <c r="E439" s="187" t="str">
        <f ca="1">IF($A439="","",VLOOKUP($A439,JOURNAL!$C$5:$I$1115,3,0))</f>
        <v/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 x14ac:dyDescent="0.2">
      <c r="A440" s="200" t="str">
        <f t="shared" ca="1" si="3"/>
        <v/>
      </c>
      <c r="B440" s="201" t="str">
        <f ca="1">IF($A440="","",VLOOKUP($A440,JOURNAL!$C$5:$I$1115,5,0))</f>
        <v/>
      </c>
      <c r="C440" s="202" t="str">
        <f ca="1">IF($A440="","",VLOOKUP($A440,JOURNAL!$C$5:$I$1115,2,0))</f>
        <v/>
      </c>
      <c r="D440" s="201" t="str">
        <f ca="1">IF($A440="","",VLOOKUP($A440,JOURNAL!$C$5:$I$1115,4,0))</f>
        <v/>
      </c>
      <c r="E440" s="187" t="str">
        <f ca="1">IF($A440="","",VLOOKUP($A440,JOURNAL!$C$5:$I$1115,3,0))</f>
        <v/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 x14ac:dyDescent="0.2">
      <c r="A441" s="200" t="str">
        <f t="shared" ca="1" si="3"/>
        <v/>
      </c>
      <c r="B441" s="201" t="str">
        <f ca="1">IF($A441="","",VLOOKUP($A441,JOURNAL!$C$5:$I$1115,5,0))</f>
        <v/>
      </c>
      <c r="C441" s="202" t="str">
        <f ca="1">IF($A441="","",VLOOKUP($A441,JOURNAL!$C$5:$I$1115,2,0))</f>
        <v/>
      </c>
      <c r="D441" s="201" t="str">
        <f ca="1">IF($A441="","",VLOOKUP($A441,JOURNAL!$C$5:$I$1115,4,0))</f>
        <v/>
      </c>
      <c r="E441" s="187" t="str">
        <f ca="1">IF($A441="","",VLOOKUP($A441,JOURNAL!$C$5:$I$1115,3,0))</f>
        <v/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 x14ac:dyDescent="0.2">
      <c r="A442" s="200" t="str">
        <f t="shared" ca="1" si="3"/>
        <v/>
      </c>
      <c r="B442" s="201" t="str">
        <f ca="1">IF($A442="","",VLOOKUP($A442,JOURNAL!$C$5:$I$1115,5,0))</f>
        <v/>
      </c>
      <c r="C442" s="202" t="str">
        <f ca="1">IF($A442="","",VLOOKUP($A442,JOURNAL!$C$5:$I$1115,2,0))</f>
        <v/>
      </c>
      <c r="D442" s="201" t="str">
        <f ca="1">IF($A442="","",VLOOKUP($A442,JOURNAL!$C$5:$I$1115,4,0))</f>
        <v/>
      </c>
      <c r="E442" s="187" t="str">
        <f ca="1">IF($A442="","",VLOOKUP($A442,JOURNAL!$C$5:$I$1115,3,0))</f>
        <v/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 x14ac:dyDescent="0.2">
      <c r="A443" s="200" t="str">
        <f t="shared" ca="1" si="3"/>
        <v/>
      </c>
      <c r="B443" s="201" t="str">
        <f ca="1">IF($A443="","",VLOOKUP($A443,JOURNAL!$C$5:$I$1115,5,0))</f>
        <v/>
      </c>
      <c r="C443" s="202" t="str">
        <f ca="1">IF($A443="","",VLOOKUP($A443,JOURNAL!$C$5:$I$1115,2,0))</f>
        <v/>
      </c>
      <c r="D443" s="201" t="str">
        <f ca="1">IF($A443="","",VLOOKUP($A443,JOURNAL!$C$5:$I$1115,4,0))</f>
        <v/>
      </c>
      <c r="E443" s="187" t="str">
        <f ca="1">IF($A443="","",VLOOKUP($A443,JOURNAL!$C$5:$I$1115,3,0))</f>
        <v/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 x14ac:dyDescent="0.2">
      <c r="A444" s="200" t="str">
        <f t="shared" ca="1" si="3"/>
        <v/>
      </c>
      <c r="B444" s="201" t="str">
        <f ca="1">IF($A444="","",VLOOKUP($A444,JOURNAL!$C$5:$I$1115,5,0))</f>
        <v/>
      </c>
      <c r="C444" s="202" t="str">
        <f ca="1">IF($A444="","",VLOOKUP($A444,JOURNAL!$C$5:$I$1115,2,0))</f>
        <v/>
      </c>
      <c r="D444" s="201" t="str">
        <f ca="1">IF($A444="","",VLOOKUP($A444,JOURNAL!$C$5:$I$1115,4,0))</f>
        <v/>
      </c>
      <c r="E444" s="187" t="str">
        <f ca="1">IF($A444="","",VLOOKUP($A444,JOURNAL!$C$5:$I$1115,3,0))</f>
        <v/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 x14ac:dyDescent="0.2">
      <c r="A445" s="200" t="str">
        <f t="shared" ca="1" si="3"/>
        <v/>
      </c>
      <c r="B445" s="201" t="str">
        <f ca="1">IF($A445="","",VLOOKUP($A445,JOURNAL!$C$5:$I$1115,5,0))</f>
        <v/>
      </c>
      <c r="C445" s="202" t="str">
        <f ca="1">IF($A445="","",VLOOKUP($A445,JOURNAL!$C$5:$I$1115,2,0))</f>
        <v/>
      </c>
      <c r="D445" s="201" t="str">
        <f ca="1">IF($A445="","",VLOOKUP($A445,JOURNAL!$C$5:$I$1115,4,0))</f>
        <v/>
      </c>
      <c r="E445" s="187" t="str">
        <f ca="1">IF($A445="","",VLOOKUP($A445,JOURNAL!$C$5:$I$1115,3,0))</f>
        <v/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 x14ac:dyDescent="0.2">
      <c r="A446" s="200" t="str">
        <f t="shared" ca="1" si="3"/>
        <v/>
      </c>
      <c r="B446" s="201" t="str">
        <f ca="1">IF($A446="","",VLOOKUP($A446,JOURNAL!$C$5:$I$1115,5,0))</f>
        <v/>
      </c>
      <c r="C446" s="202" t="str">
        <f ca="1">IF($A446="","",VLOOKUP($A446,JOURNAL!$C$5:$I$1115,2,0))</f>
        <v/>
      </c>
      <c r="D446" s="201" t="str">
        <f ca="1">IF($A446="","",VLOOKUP($A446,JOURNAL!$C$5:$I$1115,4,0))</f>
        <v/>
      </c>
      <c r="E446" s="187" t="str">
        <f ca="1">IF($A446="","",VLOOKUP($A446,JOURNAL!$C$5:$I$1115,3,0))</f>
        <v/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 x14ac:dyDescent="0.2">
      <c r="A447" s="200" t="str">
        <f t="shared" ca="1" si="3"/>
        <v/>
      </c>
      <c r="B447" s="201" t="str">
        <f ca="1">IF($A447="","",VLOOKUP($A447,JOURNAL!$C$5:$I$1115,5,0))</f>
        <v/>
      </c>
      <c r="C447" s="202" t="str">
        <f ca="1">IF($A447="","",VLOOKUP($A447,JOURNAL!$C$5:$I$1115,2,0))</f>
        <v/>
      </c>
      <c r="D447" s="201" t="str">
        <f ca="1">IF($A447="","",VLOOKUP($A447,JOURNAL!$C$5:$I$1115,4,0))</f>
        <v/>
      </c>
      <c r="E447" s="187" t="str">
        <f ca="1">IF($A447="","",VLOOKUP($A447,JOURNAL!$C$5:$I$1115,3,0))</f>
        <v/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 x14ac:dyDescent="0.2">
      <c r="A448" s="200" t="str">
        <f t="shared" ca="1" si="3"/>
        <v/>
      </c>
      <c r="B448" s="201" t="str">
        <f ca="1">IF($A448="","",VLOOKUP($A448,JOURNAL!$C$5:$I$1115,5,0))</f>
        <v/>
      </c>
      <c r="C448" s="202" t="str">
        <f ca="1">IF($A448="","",VLOOKUP($A448,JOURNAL!$C$5:$I$1115,2,0))</f>
        <v/>
      </c>
      <c r="D448" s="201" t="str">
        <f ca="1">IF($A448="","",VLOOKUP($A448,JOURNAL!$C$5:$I$1115,4,0))</f>
        <v/>
      </c>
      <c r="E448" s="187" t="str">
        <f ca="1">IF($A448="","",VLOOKUP($A448,JOURNAL!$C$5:$I$1115,3,0))</f>
        <v/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 x14ac:dyDescent="0.2">
      <c r="A449" s="200" t="str">
        <f t="shared" ca="1" si="3"/>
        <v/>
      </c>
      <c r="B449" s="201" t="str">
        <f ca="1">IF($A449="","",VLOOKUP($A449,JOURNAL!$C$5:$I$1115,5,0))</f>
        <v/>
      </c>
      <c r="C449" s="202" t="str">
        <f ca="1">IF($A449="","",VLOOKUP($A449,JOURNAL!$C$5:$I$1115,2,0))</f>
        <v/>
      </c>
      <c r="D449" s="201" t="str">
        <f ca="1">IF($A449="","",VLOOKUP($A449,JOURNAL!$C$5:$I$1115,4,0))</f>
        <v/>
      </c>
      <c r="E449" s="187" t="str">
        <f ca="1">IF($A449="","",VLOOKUP($A449,JOURNAL!$C$5:$I$1115,3,0))</f>
        <v/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 x14ac:dyDescent="0.2">
      <c r="A450" s="178" t="s">
        <v>16</v>
      </c>
      <c r="B450" s="179"/>
      <c r="C450" s="180"/>
      <c r="D450" s="181"/>
      <c r="E450" s="182">
        <f ca="1">SUM(E178:E449)</f>
        <v>19903.950000000015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 x14ac:dyDescent="0.2">
      <c r="A451" s="51"/>
      <c r="B451" s="4"/>
      <c r="C451" s="149"/>
      <c r="D451" s="4"/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 x14ac:dyDescent="0.2">
      <c r="A452" s="51"/>
      <c r="B452" s="4"/>
      <c r="C452" s="149"/>
      <c r="D452" s="4"/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 x14ac:dyDescent="0.2">
      <c r="A453" s="51"/>
      <c r="B453" s="4"/>
      <c r="C453" s="149"/>
      <c r="D453" s="4"/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 x14ac:dyDescent="0.2">
      <c r="A454" s="51"/>
      <c r="B454" s="4"/>
      <c r="C454" s="149"/>
      <c r="D454" s="4"/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 x14ac:dyDescent="0.2">
      <c r="A455" s="51"/>
      <c r="B455" s="4"/>
      <c r="C455" s="149"/>
      <c r="D455" s="4"/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 x14ac:dyDescent="0.2">
      <c r="A456" s="51"/>
      <c r="B456" s="4"/>
      <c r="C456" s="149"/>
      <c r="D456" s="4"/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 x14ac:dyDescent="0.2">
      <c r="A457" s="51"/>
      <c r="B457" s="4"/>
      <c r="C457" s="149"/>
      <c r="D457" s="4"/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 x14ac:dyDescent="0.2">
      <c r="A458" s="51"/>
      <c r="B458" s="4"/>
      <c r="C458" s="149"/>
      <c r="D458" s="4"/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 x14ac:dyDescent="0.2">
      <c r="A459" s="51"/>
      <c r="B459" s="4"/>
      <c r="C459" s="149"/>
      <c r="D459" s="4"/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 x14ac:dyDescent="0.2">
      <c r="A460" s="51"/>
      <c r="B460" s="4"/>
      <c r="C460" s="149"/>
      <c r="D460" s="4"/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 x14ac:dyDescent="0.2">
      <c r="A461" s="51"/>
      <c r="B461" s="4"/>
      <c r="C461" s="149"/>
      <c r="D461" s="4"/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 x14ac:dyDescent="0.2">
      <c r="A462" s="51"/>
      <c r="B462" s="4"/>
      <c r="C462" s="149"/>
      <c r="D462" s="4"/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 x14ac:dyDescent="0.2">
      <c r="A463" s="51"/>
      <c r="B463" s="4"/>
      <c r="C463" s="149"/>
      <c r="D463" s="4"/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 x14ac:dyDescent="0.2">
      <c r="A464" s="51"/>
      <c r="B464" s="4"/>
      <c r="C464" s="149"/>
      <c r="D464" s="4"/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 x14ac:dyDescent="0.2">
      <c r="A465" s="51"/>
      <c r="B465" s="4"/>
      <c r="C465" s="149"/>
      <c r="D465" s="4"/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 x14ac:dyDescent="0.2">
      <c r="A466" s="51"/>
      <c r="B466" s="4"/>
      <c r="C466" s="149"/>
      <c r="D466" s="4"/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 x14ac:dyDescent="0.2">
      <c r="A467" s="51"/>
      <c r="B467" s="4"/>
      <c r="C467" s="149"/>
      <c r="D467" s="4"/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 x14ac:dyDescent="0.2">
      <c r="A468" s="51"/>
      <c r="B468" s="4"/>
      <c r="C468" s="149"/>
      <c r="D468" s="4"/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 x14ac:dyDescent="0.2">
      <c r="A469" s="51"/>
      <c r="B469" s="4"/>
      <c r="C469" s="149"/>
      <c r="D469" s="4"/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 x14ac:dyDescent="0.2">
      <c r="A470" s="51"/>
      <c r="B470" s="4"/>
      <c r="C470" s="149"/>
      <c r="D470" s="4"/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 x14ac:dyDescent="0.2">
      <c r="A471" s="51"/>
      <c r="B471" s="4"/>
      <c r="C471" s="149"/>
      <c r="D471" s="4"/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 x14ac:dyDescent="0.2">
      <c r="A472" s="51"/>
      <c r="B472" s="4"/>
      <c r="C472" s="149"/>
      <c r="D472" s="4"/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 x14ac:dyDescent="0.2">
      <c r="A473" s="51"/>
      <c r="B473" s="4"/>
      <c r="C473" s="149"/>
      <c r="D473" s="4"/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 x14ac:dyDescent="0.2">
      <c r="A474" s="51"/>
      <c r="B474" s="4"/>
      <c r="C474" s="149"/>
      <c r="D474" s="4"/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 x14ac:dyDescent="0.2">
      <c r="A475" s="51"/>
      <c r="B475" s="4"/>
      <c r="C475" s="149"/>
      <c r="D475" s="4"/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 x14ac:dyDescent="0.2">
      <c r="A476" s="51"/>
      <c r="B476" s="4"/>
      <c r="C476" s="149"/>
      <c r="D476" s="4"/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 x14ac:dyDescent="0.2">
      <c r="A477" s="51"/>
      <c r="B477" s="4"/>
      <c r="C477" s="149"/>
      <c r="D477" s="4"/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 x14ac:dyDescent="0.2">
      <c r="A478" s="51"/>
      <c r="B478" s="4"/>
      <c r="C478" s="149"/>
      <c r="D478" s="4"/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 x14ac:dyDescent="0.2">
      <c r="A479" s="51"/>
      <c r="B479" s="4"/>
      <c r="C479" s="149"/>
      <c r="D479" s="4"/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 x14ac:dyDescent="0.2">
      <c r="A480" s="51"/>
      <c r="B480" s="4"/>
      <c r="C480" s="149"/>
      <c r="D480" s="4"/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 x14ac:dyDescent="0.2">
      <c r="A481" s="51"/>
      <c r="B481" s="4"/>
      <c r="C481" s="149"/>
      <c r="D481" s="4"/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 x14ac:dyDescent="0.2">
      <c r="A482" s="51"/>
      <c r="B482" s="4"/>
      <c r="C482" s="149"/>
      <c r="D482" s="4"/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 x14ac:dyDescent="0.2">
      <c r="A483" s="51"/>
      <c r="B483" s="4"/>
      <c r="C483" s="149"/>
      <c r="D483" s="4"/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 x14ac:dyDescent="0.2">
      <c r="A484" s="51"/>
      <c r="B484" s="4"/>
      <c r="C484" s="149"/>
      <c r="D484" s="4"/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 x14ac:dyDescent="0.2">
      <c r="A485" s="51"/>
      <c r="B485" s="4"/>
      <c r="C485" s="149"/>
      <c r="D485" s="4"/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 x14ac:dyDescent="0.2">
      <c r="A486" s="51"/>
      <c r="B486" s="4"/>
      <c r="C486" s="149"/>
      <c r="D486" s="4"/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 x14ac:dyDescent="0.2">
      <c r="A487" s="51"/>
      <c r="B487" s="4"/>
      <c r="C487" s="149"/>
      <c r="D487" s="4"/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 x14ac:dyDescent="0.2">
      <c r="A488" s="51"/>
      <c r="B488" s="4"/>
      <c r="C488" s="149"/>
      <c r="D488" s="4"/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 x14ac:dyDescent="0.2">
      <c r="A489" s="51"/>
      <c r="B489" s="4"/>
      <c r="C489" s="149"/>
      <c r="D489" s="4"/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 x14ac:dyDescent="0.2">
      <c r="A490" s="51"/>
      <c r="B490" s="4"/>
      <c r="C490" s="149"/>
      <c r="D490" s="4"/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 x14ac:dyDescent="0.2">
      <c r="A491" s="51"/>
      <c r="B491" s="4"/>
      <c r="C491" s="149"/>
      <c r="D491" s="4"/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 x14ac:dyDescent="0.2">
      <c r="A492" s="51"/>
      <c r="B492" s="4"/>
      <c r="C492" s="149"/>
      <c r="D492" s="4"/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 x14ac:dyDescent="0.2">
      <c r="A493" s="51"/>
      <c r="B493" s="4"/>
      <c r="C493" s="149"/>
      <c r="D493" s="4"/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 x14ac:dyDescent="0.2">
      <c r="A494" s="51"/>
      <c r="B494" s="4"/>
      <c r="C494" s="149"/>
      <c r="D494" s="4"/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 x14ac:dyDescent="0.2">
      <c r="A495" s="51"/>
      <c r="B495" s="4"/>
      <c r="C495" s="149"/>
      <c r="D495" s="4"/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 x14ac:dyDescent="0.2">
      <c r="A496" s="51"/>
      <c r="B496" s="4"/>
      <c r="C496" s="149"/>
      <c r="D496" s="4"/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 x14ac:dyDescent="0.2">
      <c r="A497" s="51"/>
      <c r="B497" s="4"/>
      <c r="C497" s="149"/>
      <c r="D497" s="4"/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 x14ac:dyDescent="0.2">
      <c r="A498" s="51"/>
      <c r="B498" s="4"/>
      <c r="C498" s="149"/>
      <c r="D498" s="4"/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 x14ac:dyDescent="0.2">
      <c r="A499" s="51"/>
      <c r="B499" s="4"/>
      <c r="C499" s="149"/>
      <c r="D499" s="4"/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 x14ac:dyDescent="0.2">
      <c r="A500" s="51"/>
      <c r="B500" s="4"/>
      <c r="C500" s="149"/>
      <c r="D500" s="4"/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 x14ac:dyDescent="0.2">
      <c r="A501" s="51"/>
      <c r="B501" s="4"/>
      <c r="C501" s="149"/>
      <c r="D501" s="4"/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 x14ac:dyDescent="0.2">
      <c r="A502" s="51"/>
      <c r="B502" s="4"/>
      <c r="C502" s="149"/>
      <c r="D502" s="4"/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 x14ac:dyDescent="0.2">
      <c r="A503" s="51"/>
      <c r="B503" s="4"/>
      <c r="C503" s="149"/>
      <c r="D503" s="4"/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 x14ac:dyDescent="0.2">
      <c r="A504" s="51"/>
      <c r="B504" s="4"/>
      <c r="C504" s="149"/>
      <c r="D504" s="4"/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 x14ac:dyDescent="0.2">
      <c r="A505" s="51"/>
      <c r="B505" s="4"/>
      <c r="C505" s="149"/>
      <c r="D505" s="4"/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 x14ac:dyDescent="0.2">
      <c r="A506" s="51"/>
      <c r="B506" s="4"/>
      <c r="C506" s="149"/>
      <c r="D506" s="4"/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 x14ac:dyDescent="0.2">
      <c r="A507" s="51"/>
      <c r="B507" s="4"/>
      <c r="C507" s="149"/>
      <c r="D507" s="4"/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 x14ac:dyDescent="0.2">
      <c r="A508" s="51"/>
      <c r="B508" s="4"/>
      <c r="C508" s="149"/>
      <c r="D508" s="4"/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 x14ac:dyDescent="0.2">
      <c r="A509" s="51"/>
      <c r="B509" s="4"/>
      <c r="C509" s="149"/>
      <c r="D509" s="4"/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 x14ac:dyDescent="0.2">
      <c r="A510" s="51"/>
      <c r="B510" s="4"/>
      <c r="C510" s="149"/>
      <c r="D510" s="4"/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 x14ac:dyDescent="0.2">
      <c r="A511" s="51"/>
      <c r="B511" s="4"/>
      <c r="C511" s="149"/>
      <c r="D511" s="4"/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 x14ac:dyDescent="0.2">
      <c r="A512" s="51"/>
      <c r="B512" s="4"/>
      <c r="C512" s="149"/>
      <c r="D512" s="4"/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 x14ac:dyDescent="0.2">
      <c r="A513" s="51"/>
      <c r="B513" s="4"/>
      <c r="C513" s="149"/>
      <c r="D513" s="4"/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 x14ac:dyDescent="0.2">
      <c r="A514" s="51"/>
      <c r="B514" s="4"/>
      <c r="C514" s="149"/>
      <c r="D514" s="4"/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 x14ac:dyDescent="0.2">
      <c r="A515" s="51"/>
      <c r="B515" s="4"/>
      <c r="C515" s="149"/>
      <c r="D515" s="4"/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 x14ac:dyDescent="0.2">
      <c r="A516" s="51"/>
      <c r="B516" s="4"/>
      <c r="C516" s="149"/>
      <c r="D516" s="4"/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 x14ac:dyDescent="0.2">
      <c r="A517" s="51"/>
      <c r="B517" s="4"/>
      <c r="C517" s="149"/>
      <c r="D517" s="4"/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 x14ac:dyDescent="0.2">
      <c r="A518" s="51"/>
      <c r="B518" s="4"/>
      <c r="C518" s="149"/>
      <c r="D518" s="4"/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 x14ac:dyDescent="0.2">
      <c r="A519" s="51"/>
      <c r="B519" s="4"/>
      <c r="C519" s="149"/>
      <c r="D519" s="4"/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 x14ac:dyDescent="0.2">
      <c r="A520" s="51"/>
      <c r="B520" s="4"/>
      <c r="C520" s="149"/>
      <c r="D520" s="4"/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 x14ac:dyDescent="0.2">
      <c r="A521" s="51"/>
      <c r="B521" s="4"/>
      <c r="C521" s="149"/>
      <c r="D521" s="4"/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 x14ac:dyDescent="0.2">
      <c r="A522" s="51"/>
      <c r="B522" s="4"/>
      <c r="C522" s="149"/>
      <c r="D522" s="4"/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 x14ac:dyDescent="0.2">
      <c r="A523" s="51"/>
      <c r="B523" s="4"/>
      <c r="C523" s="149"/>
      <c r="D523" s="4"/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 x14ac:dyDescent="0.2">
      <c r="A524" s="51"/>
      <c r="B524" s="4"/>
      <c r="C524" s="149"/>
      <c r="D524" s="4"/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 x14ac:dyDescent="0.2">
      <c r="A525" s="51"/>
      <c r="B525" s="4"/>
      <c r="C525" s="149"/>
      <c r="D525" s="4"/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 x14ac:dyDescent="0.2">
      <c r="A526" s="51"/>
      <c r="B526" s="4"/>
      <c r="C526" s="149"/>
      <c r="D526" s="4"/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 x14ac:dyDescent="0.2">
      <c r="A527" s="51"/>
      <c r="B527" s="4"/>
      <c r="C527" s="149"/>
      <c r="D527" s="4"/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 x14ac:dyDescent="0.2">
      <c r="A528" s="51"/>
      <c r="B528" s="4"/>
      <c r="C528" s="149"/>
      <c r="D528" s="4"/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 x14ac:dyDescent="0.2">
      <c r="A529" s="51"/>
      <c r="B529" s="4"/>
      <c r="C529" s="149"/>
      <c r="D529" s="4"/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 x14ac:dyDescent="0.2">
      <c r="A530" s="51"/>
      <c r="B530" s="4"/>
      <c r="C530" s="149"/>
      <c r="D530" s="4"/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 x14ac:dyDescent="0.2">
      <c r="A531" s="51"/>
      <c r="B531" s="4"/>
      <c r="C531" s="149"/>
      <c r="D531" s="4"/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 x14ac:dyDescent="0.2">
      <c r="A532" s="51"/>
      <c r="B532" s="4"/>
      <c r="C532" s="149"/>
      <c r="D532" s="4"/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 x14ac:dyDescent="0.2">
      <c r="A533" s="51"/>
      <c r="B533" s="4"/>
      <c r="C533" s="149"/>
      <c r="D533" s="4"/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 x14ac:dyDescent="0.2">
      <c r="A534" s="51"/>
      <c r="B534" s="4"/>
      <c r="C534" s="149"/>
      <c r="D534" s="4"/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 x14ac:dyDescent="0.2">
      <c r="A535" s="51"/>
      <c r="B535" s="4"/>
      <c r="C535" s="149"/>
      <c r="D535" s="4"/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 x14ac:dyDescent="0.2">
      <c r="A536" s="51"/>
      <c r="B536" s="4"/>
      <c r="C536" s="149"/>
      <c r="D536" s="4"/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 x14ac:dyDescent="0.2">
      <c r="A537" s="51"/>
      <c r="B537" s="4"/>
      <c r="C537" s="149"/>
      <c r="D537" s="4"/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 x14ac:dyDescent="0.2">
      <c r="A538" s="51"/>
      <c r="B538" s="4"/>
      <c r="C538" s="149"/>
      <c r="D538" s="4"/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 x14ac:dyDescent="0.2">
      <c r="A539" s="51"/>
      <c r="B539" s="4"/>
      <c r="C539" s="149"/>
      <c r="D539" s="4"/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 x14ac:dyDescent="0.2">
      <c r="A540" s="51"/>
      <c r="B540" s="4"/>
      <c r="C540" s="149"/>
      <c r="D540" s="4"/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 x14ac:dyDescent="0.2">
      <c r="A541" s="51"/>
      <c r="B541" s="4"/>
      <c r="C541" s="149"/>
      <c r="D541" s="4"/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 x14ac:dyDescent="0.2">
      <c r="A542" s="51"/>
      <c r="B542" s="4"/>
      <c r="C542" s="149"/>
      <c r="D542" s="4"/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 x14ac:dyDescent="0.2">
      <c r="A543" s="51"/>
      <c r="B543" s="4"/>
      <c r="C543" s="149"/>
      <c r="D543" s="4"/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 x14ac:dyDescent="0.2">
      <c r="A544" s="51"/>
      <c r="B544" s="4"/>
      <c r="C544" s="149"/>
      <c r="D544" s="4"/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 x14ac:dyDescent="0.2">
      <c r="A545" s="51"/>
      <c r="B545" s="4"/>
      <c r="C545" s="149"/>
      <c r="D545" s="4"/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 x14ac:dyDescent="0.2">
      <c r="A546" s="51"/>
      <c r="B546" s="4"/>
      <c r="C546" s="149"/>
      <c r="D546" s="4"/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 x14ac:dyDescent="0.2">
      <c r="A547" s="51"/>
      <c r="B547" s="4"/>
      <c r="C547" s="149"/>
      <c r="D547" s="4"/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 x14ac:dyDescent="0.2">
      <c r="A548" s="51"/>
      <c r="B548" s="4"/>
      <c r="C548" s="149"/>
      <c r="D548" s="4"/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 x14ac:dyDescent="0.2">
      <c r="A549" s="51"/>
      <c r="B549" s="4"/>
      <c r="C549" s="149"/>
      <c r="D549" s="4"/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 x14ac:dyDescent="0.2">
      <c r="A550" s="51"/>
      <c r="B550" s="4"/>
      <c r="C550" s="149"/>
      <c r="D550" s="4"/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 x14ac:dyDescent="0.2">
      <c r="A551" s="51"/>
      <c r="B551" s="4"/>
      <c r="C551" s="149"/>
      <c r="D551" s="4"/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 x14ac:dyDescent="0.2">
      <c r="A552" s="51"/>
      <c r="B552" s="4"/>
      <c r="C552" s="149"/>
      <c r="D552" s="4"/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 x14ac:dyDescent="0.2">
      <c r="A553" s="51"/>
      <c r="B553" s="4"/>
      <c r="C553" s="149"/>
      <c r="D553" s="4"/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 x14ac:dyDescent="0.2">
      <c r="A554" s="51"/>
      <c r="B554" s="4"/>
      <c r="C554" s="149"/>
      <c r="D554" s="4"/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 x14ac:dyDescent="0.2">
      <c r="A555" s="51"/>
      <c r="B555" s="4"/>
      <c r="C555" s="149"/>
      <c r="D555" s="4"/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 x14ac:dyDescent="0.2">
      <c r="A556" s="51"/>
      <c r="B556" s="4"/>
      <c r="C556" s="149"/>
      <c r="D556" s="4"/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 x14ac:dyDescent="0.2">
      <c r="A557" s="51"/>
      <c r="B557" s="4"/>
      <c r="C557" s="149"/>
      <c r="D557" s="4"/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 x14ac:dyDescent="0.2">
      <c r="A558" s="51"/>
      <c r="B558" s="4"/>
      <c r="C558" s="149"/>
      <c r="D558" s="4"/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 x14ac:dyDescent="0.2">
      <c r="A559" s="51"/>
      <c r="B559" s="4"/>
      <c r="C559" s="149"/>
      <c r="D559" s="4"/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 x14ac:dyDescent="0.2">
      <c r="A560" s="51"/>
      <c r="B560" s="4"/>
      <c r="C560" s="149"/>
      <c r="D560" s="4"/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 x14ac:dyDescent="0.2">
      <c r="A561" s="51"/>
      <c r="B561" s="4"/>
      <c r="C561" s="149"/>
      <c r="D561" s="4"/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 x14ac:dyDescent="0.2">
      <c r="A562" s="51"/>
      <c r="B562" s="4"/>
      <c r="C562" s="149"/>
      <c r="D562" s="4"/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 x14ac:dyDescent="0.2">
      <c r="A563" s="51"/>
      <c r="B563" s="4"/>
      <c r="C563" s="149"/>
      <c r="D563" s="4"/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 x14ac:dyDescent="0.2">
      <c r="A564" s="51"/>
      <c r="B564" s="4"/>
      <c r="C564" s="149"/>
      <c r="D564" s="4"/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 x14ac:dyDescent="0.2">
      <c r="A565" s="51"/>
      <c r="B565" s="4"/>
      <c r="C565" s="149"/>
      <c r="D565" s="4"/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 x14ac:dyDescent="0.2">
      <c r="A566" s="51"/>
      <c r="B566" s="4"/>
      <c r="C566" s="149"/>
      <c r="D566" s="4"/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 x14ac:dyDescent="0.2">
      <c r="A567" s="51"/>
      <c r="B567" s="4"/>
      <c r="C567" s="149"/>
      <c r="D567" s="4"/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 x14ac:dyDescent="0.2">
      <c r="A568" s="51"/>
      <c r="B568" s="4"/>
      <c r="C568" s="149"/>
      <c r="D568" s="4"/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 x14ac:dyDescent="0.2">
      <c r="A569" s="51"/>
      <c r="B569" s="4"/>
      <c r="C569" s="149"/>
      <c r="D569" s="4"/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 x14ac:dyDescent="0.2">
      <c r="A570" s="51"/>
      <c r="B570" s="4"/>
      <c r="C570" s="149"/>
      <c r="D570" s="4"/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 x14ac:dyDescent="0.2">
      <c r="A571" s="51"/>
      <c r="B571" s="4"/>
      <c r="C571" s="149"/>
      <c r="D571" s="4"/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 x14ac:dyDescent="0.2">
      <c r="A572" s="51"/>
      <c r="B572" s="4"/>
      <c r="C572" s="149"/>
      <c r="D572" s="4"/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 x14ac:dyDescent="0.2">
      <c r="A573" s="51"/>
      <c r="B573" s="4"/>
      <c r="C573" s="149"/>
      <c r="D573" s="4"/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 x14ac:dyDescent="0.2">
      <c r="A574" s="51"/>
      <c r="B574" s="4"/>
      <c r="C574" s="149"/>
      <c r="D574" s="4"/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 x14ac:dyDescent="0.2">
      <c r="A575" s="51"/>
      <c r="B575" s="4"/>
      <c r="C575" s="149"/>
      <c r="D575" s="4"/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 x14ac:dyDescent="0.2">
      <c r="A576" s="51"/>
      <c r="B576" s="4"/>
      <c r="C576" s="149"/>
      <c r="D576" s="4"/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 x14ac:dyDescent="0.2">
      <c r="A577" s="51"/>
      <c r="B577" s="4"/>
      <c r="C577" s="149"/>
      <c r="D577" s="4"/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 x14ac:dyDescent="0.2">
      <c r="A578" s="51"/>
      <c r="B578" s="4"/>
      <c r="C578" s="149"/>
      <c r="D578" s="4"/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 x14ac:dyDescent="0.2">
      <c r="A579" s="51"/>
      <c r="B579" s="4"/>
      <c r="C579" s="149"/>
      <c r="D579" s="4"/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 x14ac:dyDescent="0.2">
      <c r="A580" s="51"/>
      <c r="B580" s="4"/>
      <c r="C580" s="149"/>
      <c r="D580" s="4"/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 x14ac:dyDescent="0.2">
      <c r="A581" s="51"/>
      <c r="B581" s="4"/>
      <c r="C581" s="149"/>
      <c r="D581" s="4"/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 x14ac:dyDescent="0.2">
      <c r="A582" s="51"/>
      <c r="B582" s="4"/>
      <c r="C582" s="149"/>
      <c r="D582" s="4"/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 x14ac:dyDescent="0.2">
      <c r="A583" s="51"/>
      <c r="B583" s="4"/>
      <c r="C583" s="149"/>
      <c r="D583" s="4"/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 x14ac:dyDescent="0.2">
      <c r="A584" s="51"/>
      <c r="B584" s="4"/>
      <c r="C584" s="149"/>
      <c r="D584" s="4"/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 x14ac:dyDescent="0.2">
      <c r="A585" s="51"/>
      <c r="B585" s="4"/>
      <c r="C585" s="149"/>
      <c r="D585" s="4"/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 x14ac:dyDescent="0.2">
      <c r="A586" s="51"/>
      <c r="B586" s="4"/>
      <c r="C586" s="149"/>
      <c r="D586" s="4"/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 x14ac:dyDescent="0.2">
      <c r="A587" s="51"/>
      <c r="B587" s="4"/>
      <c r="C587" s="149"/>
      <c r="D587" s="4"/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 x14ac:dyDescent="0.2">
      <c r="A588" s="51"/>
      <c r="B588" s="4"/>
      <c r="C588" s="149"/>
      <c r="D588" s="4"/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 x14ac:dyDescent="0.2">
      <c r="A589" s="51"/>
      <c r="B589" s="4"/>
      <c r="C589" s="149"/>
      <c r="D589" s="4"/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 x14ac:dyDescent="0.2">
      <c r="A590" s="51"/>
      <c r="B590" s="4"/>
      <c r="C590" s="149"/>
      <c r="D590" s="4"/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 x14ac:dyDescent="0.2">
      <c r="A591" s="51"/>
      <c r="B591" s="4"/>
      <c r="C591" s="149"/>
      <c r="D591" s="4"/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 x14ac:dyDescent="0.2">
      <c r="A592" s="51"/>
      <c r="B592" s="4"/>
      <c r="C592" s="149"/>
      <c r="D592" s="4"/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 x14ac:dyDescent="0.2">
      <c r="A593" s="51"/>
      <c r="B593" s="4"/>
      <c r="C593" s="149"/>
      <c r="D593" s="4"/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 x14ac:dyDescent="0.2">
      <c r="A594" s="51"/>
      <c r="B594" s="4"/>
      <c r="C594" s="149"/>
      <c r="D594" s="4"/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 x14ac:dyDescent="0.2">
      <c r="A595" s="51"/>
      <c r="B595" s="4"/>
      <c r="C595" s="149"/>
      <c r="D595" s="4"/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 x14ac:dyDescent="0.2">
      <c r="A596" s="51"/>
      <c r="B596" s="4"/>
      <c r="C596" s="149"/>
      <c r="D596" s="4"/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 x14ac:dyDescent="0.2">
      <c r="A597" s="51"/>
      <c r="B597" s="4"/>
      <c r="C597" s="149"/>
      <c r="D597" s="4"/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 x14ac:dyDescent="0.2">
      <c r="A598" s="51"/>
      <c r="B598" s="4"/>
      <c r="C598" s="149"/>
      <c r="D598" s="4"/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 x14ac:dyDescent="0.2">
      <c r="A599" s="51"/>
      <c r="B599" s="4"/>
      <c r="C599" s="149"/>
      <c r="D599" s="4"/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 x14ac:dyDescent="0.2">
      <c r="A600" s="51"/>
      <c r="B600" s="4"/>
      <c r="C600" s="149"/>
      <c r="D600" s="4"/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 x14ac:dyDescent="0.2">
      <c r="A601" s="51"/>
      <c r="B601" s="4"/>
      <c r="C601" s="149"/>
      <c r="D601" s="4"/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 x14ac:dyDescent="0.2">
      <c r="A602" s="51"/>
      <c r="B602" s="4"/>
      <c r="C602" s="149"/>
      <c r="D602" s="4"/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 x14ac:dyDescent="0.2">
      <c r="A603" s="51"/>
      <c r="B603" s="4"/>
      <c r="C603" s="149"/>
      <c r="D603" s="4"/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 x14ac:dyDescent="0.2">
      <c r="A604" s="51"/>
      <c r="B604" s="4"/>
      <c r="C604" s="149"/>
      <c r="D604" s="4"/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 x14ac:dyDescent="0.2">
      <c r="A605" s="51"/>
      <c r="B605" s="4"/>
      <c r="C605" s="149"/>
      <c r="D605" s="4"/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 x14ac:dyDescent="0.2">
      <c r="A606" s="51"/>
      <c r="B606" s="4"/>
      <c r="C606" s="149"/>
      <c r="D606" s="4"/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 x14ac:dyDescent="0.2">
      <c r="A607" s="51"/>
      <c r="B607" s="4"/>
      <c r="C607" s="149"/>
      <c r="D607" s="4"/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 x14ac:dyDescent="0.2">
      <c r="A608" s="51"/>
      <c r="B608" s="4"/>
      <c r="C608" s="149"/>
      <c r="D608" s="4"/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 x14ac:dyDescent="0.2">
      <c r="A609" s="51"/>
      <c r="B609" s="4"/>
      <c r="C609" s="149"/>
      <c r="D609" s="4"/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 x14ac:dyDescent="0.2">
      <c r="A610" s="51"/>
      <c r="B610" s="4"/>
      <c r="C610" s="149"/>
      <c r="D610" s="4"/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 x14ac:dyDescent="0.2">
      <c r="A611" s="51"/>
      <c r="B611" s="4"/>
      <c r="C611" s="149"/>
      <c r="D611" s="4"/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 x14ac:dyDescent="0.2">
      <c r="A612" s="51"/>
      <c r="B612" s="4"/>
      <c r="C612" s="149"/>
      <c r="D612" s="4"/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 x14ac:dyDescent="0.2">
      <c r="A613" s="51"/>
      <c r="B613" s="4"/>
      <c r="C613" s="149"/>
      <c r="D613" s="4"/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 x14ac:dyDescent="0.2">
      <c r="A614" s="51"/>
      <c r="B614" s="4"/>
      <c r="C614" s="149"/>
      <c r="D614" s="4"/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 x14ac:dyDescent="0.2">
      <c r="A615" s="51"/>
      <c r="B615" s="4"/>
      <c r="C615" s="149"/>
      <c r="D615" s="4"/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 x14ac:dyDescent="0.2">
      <c r="A616" s="51"/>
      <c r="B616" s="4"/>
      <c r="C616" s="149"/>
      <c r="D616" s="4"/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 x14ac:dyDescent="0.2">
      <c r="A617" s="51"/>
      <c r="B617" s="4"/>
      <c r="C617" s="149"/>
      <c r="D617" s="4"/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 x14ac:dyDescent="0.2">
      <c r="A618" s="51"/>
      <c r="B618" s="4"/>
      <c r="C618" s="149"/>
      <c r="D618" s="4"/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 x14ac:dyDescent="0.2">
      <c r="A619" s="51"/>
      <c r="B619" s="4"/>
      <c r="C619" s="149"/>
      <c r="D619" s="4"/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 x14ac:dyDescent="0.2">
      <c r="A620" s="51"/>
      <c r="B620" s="4"/>
      <c r="C620" s="149"/>
      <c r="D620" s="4"/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 x14ac:dyDescent="0.2">
      <c r="A621" s="51"/>
      <c r="B621" s="4"/>
      <c r="C621" s="149"/>
      <c r="D621" s="4"/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 x14ac:dyDescent="0.2">
      <c r="A622" s="51"/>
      <c r="B622" s="4"/>
      <c r="C622" s="149"/>
      <c r="D622" s="4"/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 x14ac:dyDescent="0.2">
      <c r="A623" s="51"/>
      <c r="B623" s="4"/>
      <c r="C623" s="149"/>
      <c r="D623" s="4"/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 x14ac:dyDescent="0.2">
      <c r="A624" s="51"/>
      <c r="B624" s="4"/>
      <c r="C624" s="149"/>
      <c r="D624" s="4"/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 x14ac:dyDescent="0.2">
      <c r="A625" s="51"/>
      <c r="B625" s="4"/>
      <c r="C625" s="149"/>
      <c r="D625" s="4"/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 x14ac:dyDescent="0.2">
      <c r="A626" s="51"/>
      <c r="B626" s="4"/>
      <c r="C626" s="149"/>
      <c r="D626" s="4"/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 x14ac:dyDescent="0.2">
      <c r="A627" s="51"/>
      <c r="B627" s="4"/>
      <c r="C627" s="149"/>
      <c r="D627" s="4"/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 x14ac:dyDescent="0.2">
      <c r="A628" s="51"/>
      <c r="B628" s="4"/>
      <c r="C628" s="149"/>
      <c r="D628" s="4"/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 x14ac:dyDescent="0.2">
      <c r="A629" s="51"/>
      <c r="B629" s="4"/>
      <c r="C629" s="149"/>
      <c r="D629" s="4"/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 x14ac:dyDescent="0.2">
      <c r="A630" s="51"/>
      <c r="B630" s="4"/>
      <c r="C630" s="149"/>
      <c r="D630" s="4"/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 x14ac:dyDescent="0.2">
      <c r="A631" s="51"/>
      <c r="B631" s="4"/>
      <c r="C631" s="149"/>
      <c r="D631" s="4"/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 x14ac:dyDescent="0.2">
      <c r="A632" s="51"/>
      <c r="B632" s="4"/>
      <c r="C632" s="149"/>
      <c r="D632" s="4"/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 x14ac:dyDescent="0.2">
      <c r="A633" s="51"/>
      <c r="B633" s="4"/>
      <c r="C633" s="149"/>
      <c r="D633" s="4"/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 x14ac:dyDescent="0.2">
      <c r="A634" s="51"/>
      <c r="B634" s="4"/>
      <c r="C634" s="149"/>
      <c r="D634" s="4"/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 x14ac:dyDescent="0.2">
      <c r="A635" s="51"/>
      <c r="B635" s="4"/>
      <c r="C635" s="149"/>
      <c r="D635" s="4"/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 x14ac:dyDescent="0.2">
      <c r="A636" s="51"/>
      <c r="B636" s="4"/>
      <c r="C636" s="149"/>
      <c r="D636" s="4"/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 x14ac:dyDescent="0.2">
      <c r="A637" s="51"/>
      <c r="B637" s="4"/>
      <c r="C637" s="149"/>
      <c r="D637" s="4"/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 x14ac:dyDescent="0.2">
      <c r="A638" s="51"/>
      <c r="B638" s="4"/>
      <c r="C638" s="149"/>
      <c r="D638" s="4"/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 x14ac:dyDescent="0.2">
      <c r="A639" s="51"/>
      <c r="B639" s="4"/>
      <c r="C639" s="149"/>
      <c r="D639" s="4"/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 x14ac:dyDescent="0.2">
      <c r="A640" s="51"/>
      <c r="B640" s="4"/>
      <c r="C640" s="149"/>
      <c r="D640" s="4"/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 x14ac:dyDescent="0.2">
      <c r="A641" s="51"/>
      <c r="B641" s="4"/>
      <c r="C641" s="149"/>
      <c r="D641" s="4"/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 x14ac:dyDescent="0.2">
      <c r="A642" s="51"/>
      <c r="B642" s="4"/>
      <c r="C642" s="149"/>
      <c r="D642" s="4"/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 x14ac:dyDescent="0.2">
      <c r="A643" s="51"/>
      <c r="B643" s="4"/>
      <c r="C643" s="149"/>
      <c r="D643" s="4"/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 x14ac:dyDescent="0.2">
      <c r="A644" s="51"/>
      <c r="B644" s="4"/>
      <c r="C644" s="149"/>
      <c r="D644" s="4"/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 x14ac:dyDescent="0.2">
      <c r="A645" s="51"/>
      <c r="B645" s="4"/>
      <c r="C645" s="149"/>
      <c r="D645" s="4"/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 x14ac:dyDescent="0.2">
      <c r="A646" s="51"/>
      <c r="B646" s="4"/>
      <c r="C646" s="149"/>
      <c r="D646" s="4"/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 x14ac:dyDescent="0.2">
      <c r="A647" s="51"/>
      <c r="B647" s="4"/>
      <c r="C647" s="149"/>
      <c r="D647" s="4"/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 x14ac:dyDescent="0.2">
      <c r="A648" s="51"/>
      <c r="B648" s="4"/>
      <c r="C648" s="149"/>
      <c r="D648" s="4"/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 x14ac:dyDescent="0.2">
      <c r="A649" s="51"/>
      <c r="B649" s="4"/>
      <c r="C649" s="149"/>
      <c r="D649" s="4"/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 x14ac:dyDescent="0.2">
      <c r="A650" s="51"/>
      <c r="B650" s="4"/>
      <c r="C650" s="149"/>
      <c r="D650" s="4"/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/>
    <row r="652" spans="1:26" ht="15.75" customHeight="1" x14ac:dyDescent="0.2"/>
    <row r="653" spans="1:26" ht="15.75" customHeight="1" x14ac:dyDescent="0.2"/>
    <row r="654" spans="1:26" ht="15.75" customHeight="1" x14ac:dyDescent="0.2"/>
    <row r="655" spans="1:26" ht="15.75" customHeight="1" x14ac:dyDescent="0.2"/>
    <row r="656" spans="1:2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E1"/>
    <mergeCell ref="A3:E3"/>
    <mergeCell ref="K16:Q16"/>
    <mergeCell ref="K30:P30"/>
  </mergeCells>
  <dataValidations count="2">
    <dataValidation type="list" allowBlank="1" showErrorMessage="1" sqref="A24:A38" xr:uid="{00000000-0002-0000-0800-000000000000}">
      <formula1>"Janvier,Fevrier,Mars,Avril,Mai,Juin,Juillet,Août,Octobre,Novembre,Décembre"</formula1>
    </dataValidation>
    <dataValidation type="list" allowBlank="1" showErrorMessage="1" sqref="A6:A7" xr:uid="{00000000-0002-0000-0800-000001000000}">
      <formula1>"Janvier,Février,Mars,Avril,Mai,Juin,Juillet,Août,Septembre,Octobre,Novembre,Décembre"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42.83203125" customWidth="1"/>
    <col min="3" max="3" width="12.33203125" customWidth="1"/>
    <col min="4" max="4" width="16.6640625" customWidth="1"/>
    <col min="5" max="5" width="15.6640625" customWidth="1"/>
    <col min="6" max="6" width="69.83203125" customWidth="1"/>
    <col min="7" max="7" width="11.1640625" customWidth="1"/>
    <col min="8" max="8" width="23.33203125" customWidth="1"/>
    <col min="9" max="9" width="17.6640625" customWidth="1"/>
    <col min="10" max="27" width="9" customWidth="1"/>
  </cols>
  <sheetData>
    <row r="1" spans="1:27" ht="22" x14ac:dyDescent="0.25">
      <c r="A1" s="360" t="s">
        <v>305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7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6.5" customHeight="1" x14ac:dyDescent="0.2">
      <c r="A5" s="157" t="s">
        <v>218</v>
      </c>
      <c r="B5" s="157" t="s">
        <v>7</v>
      </c>
      <c r="C5" s="276"/>
      <c r="D5" s="157"/>
      <c r="E5" s="160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6.5" customHeight="1" x14ac:dyDescent="0.2">
      <c r="A6" s="161"/>
      <c r="B6" s="162" t="s">
        <v>306</v>
      </c>
      <c r="C6" s="277"/>
      <c r="D6" s="278"/>
      <c r="E6" s="165">
        <v>600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6.5" customHeight="1" x14ac:dyDescent="0.2">
      <c r="A7" s="161"/>
      <c r="B7" s="162" t="s">
        <v>307</v>
      </c>
      <c r="C7" s="277"/>
      <c r="D7" s="278"/>
      <c r="E7" s="165">
        <v>800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6.5" customHeight="1" x14ac:dyDescent="0.2">
      <c r="A8" s="161"/>
      <c r="B8" s="162" t="s">
        <v>308</v>
      </c>
      <c r="C8" s="277"/>
      <c r="D8" s="278"/>
      <c r="E8" s="165">
        <v>1700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6.5" customHeight="1" x14ac:dyDescent="0.2">
      <c r="A9" s="161"/>
      <c r="B9" s="162" t="s">
        <v>309</v>
      </c>
      <c r="C9" s="277"/>
      <c r="D9" s="278"/>
      <c r="E9" s="165">
        <v>1600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6.5" customHeight="1" x14ac:dyDescent="0.2">
      <c r="A10" s="161"/>
      <c r="B10" s="162" t="s">
        <v>310</v>
      </c>
      <c r="C10" s="277"/>
      <c r="D10" s="278"/>
      <c r="E10" s="165">
        <v>2290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6.5" customHeight="1" x14ac:dyDescent="0.2">
      <c r="A11" s="161"/>
      <c r="B11" s="162" t="s">
        <v>311</v>
      </c>
      <c r="C11" s="277"/>
      <c r="D11" s="278"/>
      <c r="E11" s="165">
        <v>1060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6.5" customHeight="1" x14ac:dyDescent="0.2">
      <c r="A12" s="161"/>
      <c r="B12" s="162" t="s">
        <v>312</v>
      </c>
      <c r="C12" s="277"/>
      <c r="D12" s="278"/>
      <c r="E12" s="165">
        <v>1840</v>
      </c>
      <c r="F12" s="4" t="s">
        <v>313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6.5" customHeight="1" x14ac:dyDescent="0.2">
      <c r="A13" s="161"/>
      <c r="B13" s="278"/>
      <c r="C13" s="277"/>
      <c r="D13" s="278"/>
      <c r="E13" s="27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6.5" customHeight="1" x14ac:dyDescent="0.2">
      <c r="A14" s="161"/>
      <c r="B14" s="162" t="s">
        <v>314</v>
      </c>
      <c r="C14" s="277"/>
      <c r="D14" s="280"/>
      <c r="E14" s="165">
        <v>100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6.5" customHeight="1" x14ac:dyDescent="0.2">
      <c r="A15" s="161"/>
      <c r="B15" s="278"/>
      <c r="C15" s="277"/>
      <c r="D15" s="278"/>
      <c r="E15" s="27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6.5" customHeight="1" x14ac:dyDescent="0.2">
      <c r="A16" s="161"/>
      <c r="B16" s="162"/>
      <c r="C16" s="277"/>
      <c r="D16" s="278"/>
      <c r="E16" s="16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6.5" customHeight="1" x14ac:dyDescent="0.2">
      <c r="A17" s="161"/>
      <c r="B17" s="278"/>
      <c r="C17" s="277"/>
      <c r="D17" s="280"/>
      <c r="E17" s="27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6.5" customHeight="1" x14ac:dyDescent="0.2">
      <c r="A18" s="161"/>
      <c r="B18" s="188"/>
      <c r="C18" s="281"/>
      <c r="D18" s="188"/>
      <c r="E18" s="18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6.5" customHeight="1" x14ac:dyDescent="0.2">
      <c r="A19" s="161"/>
      <c r="B19" s="188"/>
      <c r="C19" s="281"/>
      <c r="D19" s="188"/>
      <c r="E19" s="18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6.5" customHeight="1" x14ac:dyDescent="0.2">
      <c r="A20" s="282" t="s">
        <v>16</v>
      </c>
      <c r="B20" s="283"/>
      <c r="C20" s="284"/>
      <c r="D20" s="285"/>
      <c r="E20" s="286">
        <f>SUM(E6:E19)</f>
        <v>9990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6.5" customHeight="1" x14ac:dyDescent="0.2">
      <c r="A21" s="287" t="s">
        <v>206</v>
      </c>
      <c r="B21" s="288"/>
      <c r="C21" s="289"/>
      <c r="D21" s="288"/>
      <c r="E21" s="29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6.5" customHeight="1" x14ac:dyDescent="0.2">
      <c r="A22" s="156" t="s">
        <v>218</v>
      </c>
      <c r="B22" s="208" t="s">
        <v>7</v>
      </c>
      <c r="C22" s="158"/>
      <c r="D22" s="159"/>
      <c r="E22" s="160" t="s">
        <v>5</v>
      </c>
      <c r="F22" s="43" t="s">
        <v>315</v>
      </c>
      <c r="G22" s="43" t="s">
        <v>316</v>
      </c>
      <c r="H22" s="43" t="s">
        <v>198</v>
      </c>
      <c r="I22" s="43" t="s">
        <v>317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6.5" customHeight="1" x14ac:dyDescent="0.2">
      <c r="A23" s="161"/>
      <c r="B23" s="188" t="s">
        <v>318</v>
      </c>
      <c r="C23" s="189"/>
      <c r="D23" s="190"/>
      <c r="E23" s="187">
        <v>200</v>
      </c>
      <c r="F23" s="48" t="s">
        <v>319</v>
      </c>
      <c r="G23" s="48" t="s">
        <v>320</v>
      </c>
      <c r="H23" s="48" t="s">
        <v>321</v>
      </c>
      <c r="I23" s="4" t="s">
        <v>322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6.5" customHeight="1" x14ac:dyDescent="0.2">
      <c r="A24" s="161"/>
      <c r="B24" s="188"/>
      <c r="C24" s="189"/>
      <c r="D24" s="190"/>
      <c r="E24" s="187"/>
      <c r="F24" s="48" t="s">
        <v>323</v>
      </c>
      <c r="G24" s="48" t="s">
        <v>324</v>
      </c>
      <c r="H24" s="48" t="s">
        <v>320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6.5" customHeight="1" x14ac:dyDescent="0.2">
      <c r="A25" s="161"/>
      <c r="B25" s="188"/>
      <c r="C25" s="189"/>
      <c r="D25" s="190"/>
      <c r="E25" s="187"/>
      <c r="F25" s="48" t="s">
        <v>325</v>
      </c>
      <c r="G25" s="48" t="s">
        <v>320</v>
      </c>
      <c r="H25" s="48" t="s">
        <v>326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6.5" customHeight="1" x14ac:dyDescent="0.2">
      <c r="A26" s="161"/>
      <c r="B26" s="188"/>
      <c r="C26" s="189"/>
      <c r="D26" s="190"/>
      <c r="E26" s="187"/>
      <c r="F26" s="48" t="s">
        <v>327</v>
      </c>
      <c r="G26" s="48" t="s">
        <v>328</v>
      </c>
      <c r="H26" s="48" t="s">
        <v>320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6.5" customHeight="1" x14ac:dyDescent="0.2">
      <c r="A27" s="161"/>
      <c r="B27" s="188"/>
      <c r="C27" s="189"/>
      <c r="D27" s="190"/>
      <c r="E27" s="187"/>
      <c r="F27" s="48" t="s">
        <v>329</v>
      </c>
      <c r="G27" s="291"/>
      <c r="H27" s="48" t="s">
        <v>330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6.5" customHeight="1" x14ac:dyDescent="0.2">
      <c r="A28" s="161"/>
      <c r="B28" s="188"/>
      <c r="C28" s="189"/>
      <c r="D28" s="190"/>
      <c r="E28" s="187"/>
      <c r="F28" s="4" t="s">
        <v>331</v>
      </c>
      <c r="G28" s="4">
        <v>200</v>
      </c>
      <c r="H28" s="4" t="s">
        <v>332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6.5" customHeight="1" x14ac:dyDescent="0.2">
      <c r="A29" s="178" t="s">
        <v>16</v>
      </c>
      <c r="B29" s="179"/>
      <c r="C29" s="180"/>
      <c r="D29" s="181"/>
      <c r="E29" s="182">
        <f>SUM(E23:E28)</f>
        <v>200</v>
      </c>
      <c r="F29" s="4" t="s">
        <v>333</v>
      </c>
      <c r="G29" s="4">
        <v>100</v>
      </c>
      <c r="H29" s="292" t="s">
        <v>334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27" ht="16.5" customHeight="1" x14ac:dyDescent="0.2">
      <c r="A30" s="51"/>
      <c r="B30" s="4"/>
      <c r="C30" s="149"/>
      <c r="D30" s="4"/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6.5" customHeight="1" x14ac:dyDescent="0.2">
      <c r="A31" s="377" t="s">
        <v>204</v>
      </c>
      <c r="B31" s="375"/>
      <c r="C31" s="375"/>
      <c r="D31" s="375"/>
      <c r="E31" s="37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6.5" customHeight="1" x14ac:dyDescent="0.2">
      <c r="A32" s="193" t="s">
        <v>205</v>
      </c>
      <c r="B32" s="194"/>
      <c r="C32" s="195"/>
      <c r="D32" s="194"/>
      <c r="E32" s="19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6.5" customHeight="1" x14ac:dyDescent="0.2">
      <c r="A33" s="156" t="s">
        <v>3</v>
      </c>
      <c r="B33" s="197" t="s">
        <v>7</v>
      </c>
      <c r="C33" s="198" t="s">
        <v>4</v>
      </c>
      <c r="D33" s="199" t="s">
        <v>6</v>
      </c>
      <c r="E33" s="160" t="s">
        <v>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6.5" customHeight="1" x14ac:dyDescent="0.2">
      <c r="A34" s="200">
        <f>IF(ISNA(VLOOKUP($A$1&amp;" / "&amp;$A$32,JOURNAL!$B$5:$I$1115,2,0)),"",VLOOKUP($A$1&amp;" / "&amp;$A$32,JOURNAL!$B$5:$I$1115,2,0))</f>
        <v>190</v>
      </c>
      <c r="B34" s="201" t="str">
        <f>IF($A34="","",VLOOKUP($A34,JOURNAL!$C$5:$I$1115,5,0))</f>
        <v>Vignette Remorque</v>
      </c>
      <c r="C34" s="202">
        <f>IF($A34="","",VLOOKUP($A34,JOURNAL!$C$5:$I$1115,2,0))</f>
        <v>46085</v>
      </c>
      <c r="D34" s="201" t="str">
        <f>IF($A34="","",VLOOKUP($A34,JOURNAL!$C$5:$I$1115,4,0))</f>
        <v>Etat de Vaud</v>
      </c>
      <c r="E34" s="187">
        <f>IF($A34="","",VLOOKUP($A34,JOURNAL!$C$5:$I$1115,3,0))</f>
        <v>100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6.5" customHeight="1" x14ac:dyDescent="0.2">
      <c r="A35" s="200" t="str">
        <f t="shared" ref="A35:A52" ca="1" si="0">IF(A34="","",IF(ISNA(VLOOKUP($A$1&amp;" / "&amp;$A$32,INDIRECT(ADDRESS(A34+5,2,1,,"JOURNAL")&amp;":G500"),2,0)),"",VLOOKUP($A$1&amp;" / "&amp;$A$32,INDIRECT(ADDRESS(A34+5,2,1,,"JOURNAL")&amp;":G500"),2,0)))</f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6.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6.5" customHeight="1" x14ac:dyDescent="0.2">
      <c r="A45" s="200" t="str">
        <f t="shared" ca="1" si="0"/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6.5" customHeight="1" x14ac:dyDescent="0.2">
      <c r="A46" s="200" t="str">
        <f t="shared" ca="1" si="0"/>
        <v/>
      </c>
      <c r="B46" s="201" t="str">
        <f ca="1">IF($A46="","",VLOOKUP($A46,JOURNAL!$C$5:$I$1115,5,0))</f>
        <v/>
      </c>
      <c r="C46" s="202" t="str">
        <f ca="1">IF($A46="","",VLOOKUP($A46,JOURNAL!$C$5:$I$1115,2,0))</f>
        <v/>
      </c>
      <c r="D46" s="201" t="str">
        <f ca="1">IF($A46="","",VLOOKUP($A46,JOURNAL!$C$5:$I$1115,4,0))</f>
        <v/>
      </c>
      <c r="E46" s="187" t="str">
        <f ca="1">IF($A46="","",VLOOKUP($A46,JOURNAL!$C$5:$I$1115,3,0))</f>
        <v/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6.5" customHeight="1" x14ac:dyDescent="0.2">
      <c r="A47" s="200" t="str">
        <f t="shared" ca="1" si="0"/>
        <v/>
      </c>
      <c r="B47" s="201" t="str">
        <f ca="1">IF($A47="","",VLOOKUP($A47,JOURNAL!$C$5:$I$1115,5,0))</f>
        <v/>
      </c>
      <c r="C47" s="202" t="str">
        <f ca="1">IF($A47="","",VLOOKUP($A47,JOURNAL!$C$5:$I$1115,2,0))</f>
        <v/>
      </c>
      <c r="D47" s="201" t="str">
        <f ca="1">IF($A47="","",VLOOKUP($A47,JOURNAL!$C$5:$I$1115,4,0))</f>
        <v/>
      </c>
      <c r="E47" s="187" t="str">
        <f ca="1">IF($A47="","",VLOOKUP($A47,JOURNAL!$C$5:$I$1115,3,0))</f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6.5" customHeight="1" x14ac:dyDescent="0.2">
      <c r="A48" s="200" t="str">
        <f t="shared" ca="1" si="0"/>
        <v/>
      </c>
      <c r="B48" s="201" t="str">
        <f ca="1">IF($A48="","",VLOOKUP($A48,JOURNAL!$C$5:$I$1115,5,0))</f>
        <v/>
      </c>
      <c r="C48" s="202" t="str">
        <f ca="1">IF($A48="","",VLOOKUP($A48,JOURNAL!$C$5:$I$1115,2,0))</f>
        <v/>
      </c>
      <c r="D48" s="201" t="str">
        <f ca="1">IF($A48="","",VLOOKUP($A48,JOURNAL!$C$5:$I$1115,4,0))</f>
        <v/>
      </c>
      <c r="E48" s="187" t="str">
        <f ca="1">IF($A48="","",VLOOKUP($A48,JOURNAL!$C$5:$I$1115,3,0))</f>
        <v/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6.5" customHeight="1" x14ac:dyDescent="0.2">
      <c r="A49" s="200" t="str">
        <f t="shared" ca="1" si="0"/>
        <v/>
      </c>
      <c r="B49" s="201" t="str">
        <f ca="1">IF($A49="","",VLOOKUP($A49,JOURNAL!$C$5:$I$1115,5,0))</f>
        <v/>
      </c>
      <c r="C49" s="202" t="str">
        <f ca="1">IF($A49="","",VLOOKUP($A49,JOURNAL!$C$5:$I$1115,2,0))</f>
        <v/>
      </c>
      <c r="D49" s="201" t="str">
        <f ca="1">IF($A49="","",VLOOKUP($A49,JOURNAL!$C$5:$I$1115,4,0))</f>
        <v/>
      </c>
      <c r="E49" s="187" t="str">
        <f ca="1">IF($A49="","",VLOOKUP($A49,JOURNAL!$C$5:$I$1115,3,0))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6.5" customHeight="1" x14ac:dyDescent="0.2">
      <c r="A50" s="200" t="str">
        <f t="shared" ca="1" si="0"/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6.5" customHeight="1" x14ac:dyDescent="0.2">
      <c r="A51" s="200" t="str">
        <f t="shared" ca="1" si="0"/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6.5" customHeight="1" x14ac:dyDescent="0.2">
      <c r="A52" s="200" t="str">
        <f t="shared" ca="1" si="0"/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6.5" customHeight="1" x14ac:dyDescent="0.2">
      <c r="A53" s="200" t="str">
        <f t="shared" ref="A53:A70" ca="1" si="1">IF(A52="","",IF(ISNA(VLOOKUP($A$1&amp;" / "&amp;$A$32,INDIRECT(ADDRESS(A52+5,2,1,,"JOURNAL")&amp;":G700"),2,0)),"",VLOOKUP($A$1&amp;" / "&amp;$A$32,INDIRECT(ADDRESS(A52+5,2,1,,"JOURNAL")&amp;":G700"),2,0)))</f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spans="1:27" ht="16.5" customHeight="1" x14ac:dyDescent="0.2">
      <c r="A54" s="200" t="str">
        <f t="shared" ca="1" si="1"/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6.5" customHeight="1" x14ac:dyDescent="0.2">
      <c r="A55" s="200" t="str">
        <f t="shared" ca="1" si="1"/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6.5" customHeight="1" x14ac:dyDescent="0.2">
      <c r="A56" s="200" t="str">
        <f t="shared" ca="1" si="1"/>
        <v/>
      </c>
      <c r="B56" s="201" t="str">
        <f ca="1">IF($A56="","",VLOOKUP($A56,JOURNAL!$C$5:$I$1115,5,0))</f>
        <v/>
      </c>
      <c r="C56" s="202" t="str">
        <f ca="1">IF($A56="","",VLOOKUP($A56,JOURNAL!$C$5:$I$1115,2,0))</f>
        <v/>
      </c>
      <c r="D56" s="201" t="str">
        <f ca="1">IF($A56="","",VLOOKUP($A56,JOURNAL!$C$5:$I$1115,4,0))</f>
        <v/>
      </c>
      <c r="E56" s="187" t="str">
        <f ca="1">IF($A56="","",VLOOKUP($A56,JOURNAL!$C$5:$I$1115,3,0))</f>
        <v/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6.5" customHeight="1" x14ac:dyDescent="0.2">
      <c r="A57" s="200" t="str">
        <f t="shared" ca="1" si="1"/>
        <v/>
      </c>
      <c r="B57" s="201" t="str">
        <f ca="1">IF($A57="","",VLOOKUP($A57,JOURNAL!$C$5:$I$1115,5,0))</f>
        <v/>
      </c>
      <c r="C57" s="202" t="str">
        <f ca="1">IF($A57="","",VLOOKUP($A57,JOURNAL!$C$5:$I$1115,2,0))</f>
        <v/>
      </c>
      <c r="D57" s="201" t="str">
        <f ca="1">IF($A57="","",VLOOKUP($A57,JOURNAL!$C$5:$I$1115,4,0))</f>
        <v/>
      </c>
      <c r="E57" s="187" t="str">
        <f ca="1">IF($A57="","",VLOOKUP($A57,JOURNAL!$C$5:$I$1115,3,0))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6.5" customHeight="1" x14ac:dyDescent="0.2">
      <c r="A58" s="200" t="str">
        <f t="shared" ca="1" si="1"/>
        <v/>
      </c>
      <c r="B58" s="201" t="str">
        <f ca="1">IF($A58="","",VLOOKUP($A58,JOURNAL!$C$5:$I$1115,5,0))</f>
        <v/>
      </c>
      <c r="C58" s="202" t="str">
        <f ca="1">IF($A58="","",VLOOKUP($A58,JOURNAL!$C$5:$I$1115,2,0))</f>
        <v/>
      </c>
      <c r="D58" s="201" t="str">
        <f ca="1">IF($A58="","",VLOOKUP($A58,JOURNAL!$C$5:$I$1115,4,0))</f>
        <v/>
      </c>
      <c r="E58" s="187" t="str">
        <f ca="1">IF($A58="","",VLOOKUP($A58,JOURNAL!$C$5:$I$1115,3,0))</f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6.5" customHeight="1" x14ac:dyDescent="0.2">
      <c r="A59" s="200" t="str">
        <f t="shared" ca="1" si="1"/>
        <v/>
      </c>
      <c r="B59" s="201" t="str">
        <f ca="1">IF($A59="","",VLOOKUP($A59,JOURNAL!$C$5:$I$1115,5,0))</f>
        <v/>
      </c>
      <c r="C59" s="202" t="str">
        <f ca="1">IF($A59="","",VLOOKUP($A59,JOURNAL!$C$5:$I$1115,2,0))</f>
        <v/>
      </c>
      <c r="D59" s="201" t="str">
        <f ca="1">IF($A59="","",VLOOKUP($A59,JOURNAL!$C$5:$I$1115,4,0))</f>
        <v/>
      </c>
      <c r="E59" s="187" t="str">
        <f ca="1">IF($A59="","",VLOOKUP($A59,JOURNAL!$C$5:$I$1115,3,0))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6.5" customHeight="1" x14ac:dyDescent="0.2">
      <c r="A60" s="200" t="str">
        <f t="shared" ca="1" si="1"/>
        <v/>
      </c>
      <c r="B60" s="201" t="str">
        <f ca="1">IF($A60="","",VLOOKUP($A60,JOURNAL!$C$5:$I$1115,5,0))</f>
        <v/>
      </c>
      <c r="C60" s="202" t="str">
        <f ca="1">IF($A60="","",VLOOKUP($A60,JOURNAL!$C$5:$I$1115,2,0))</f>
        <v/>
      </c>
      <c r="D60" s="201" t="str">
        <f ca="1">IF($A60="","",VLOOKUP($A60,JOURNAL!$C$5:$I$1115,4,0))</f>
        <v/>
      </c>
      <c r="E60" s="187" t="str">
        <f ca="1">IF($A60="","",VLOOKUP($A60,JOURNAL!$C$5:$I$1115,3,0))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6.5" customHeight="1" x14ac:dyDescent="0.2">
      <c r="A61" s="200" t="str">
        <f t="shared" ca="1" si="1"/>
        <v/>
      </c>
      <c r="B61" s="201" t="str">
        <f ca="1">IF($A61="","",VLOOKUP($A61,JOURNAL!$C$5:$I$1115,5,0))</f>
        <v/>
      </c>
      <c r="C61" s="202" t="str">
        <f ca="1">IF($A61="","",VLOOKUP($A61,JOURNAL!$C$5:$I$1115,2,0))</f>
        <v/>
      </c>
      <c r="D61" s="201" t="str">
        <f ca="1">IF($A61="","",VLOOKUP($A61,JOURNAL!$C$5:$I$1115,4,0))</f>
        <v/>
      </c>
      <c r="E61" s="187" t="str">
        <f ca="1">IF($A61="","",VLOOKUP($A61,JOURNAL!$C$5:$I$1115,3,0))</f>
        <v/>
      </c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spans="1:27" ht="16.5" customHeight="1" x14ac:dyDescent="0.2">
      <c r="A62" s="200" t="str">
        <f t="shared" ca="1" si="1"/>
        <v/>
      </c>
      <c r="B62" s="201" t="str">
        <f ca="1">IF($A62="","",VLOOKUP($A62,JOURNAL!$C$5:$I$1115,5,0))</f>
        <v/>
      </c>
      <c r="C62" s="202" t="str">
        <f ca="1">IF($A62="","",VLOOKUP($A62,JOURNAL!$C$5:$I$1115,2,0))</f>
        <v/>
      </c>
      <c r="D62" s="201" t="str">
        <f ca="1">IF($A62="","",VLOOKUP($A62,JOURNAL!$C$5:$I$1115,4,0))</f>
        <v/>
      </c>
      <c r="E62" s="187" t="str">
        <f ca="1">IF($A62="","",VLOOKUP($A62,JOURNAL!$C$5:$I$1115,3,0))</f>
        <v/>
      </c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spans="1:27" ht="16.5" customHeight="1" x14ac:dyDescent="0.2">
      <c r="A63" s="200" t="str">
        <f t="shared" ca="1" si="1"/>
        <v/>
      </c>
      <c r="B63" s="201" t="str">
        <f ca="1">IF($A63="","",VLOOKUP($A63,JOURNAL!$C$5:$I$1115,5,0))</f>
        <v/>
      </c>
      <c r="C63" s="202" t="str">
        <f ca="1">IF($A63="","",VLOOKUP($A63,JOURNAL!$C$5:$I$1115,2,0))</f>
        <v/>
      </c>
      <c r="D63" s="201" t="str">
        <f ca="1">IF($A63="","",VLOOKUP($A63,JOURNAL!$C$5:$I$1115,4,0))</f>
        <v/>
      </c>
      <c r="E63" s="187" t="str">
        <f ca="1">IF($A63="","",VLOOKUP($A63,JOURNAL!$C$5:$I$1115,3,0))</f>
        <v/>
      </c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spans="1:27" ht="16.5" customHeight="1" x14ac:dyDescent="0.2">
      <c r="A64" s="200" t="str">
        <f t="shared" ca="1" si="1"/>
        <v/>
      </c>
      <c r="B64" s="201" t="str">
        <f ca="1">IF($A64="","",VLOOKUP($A64,JOURNAL!$C$5:$I$1115,5,0))</f>
        <v/>
      </c>
      <c r="C64" s="202" t="str">
        <f ca="1">IF($A64="","",VLOOKUP($A64,JOURNAL!$C$5:$I$1115,2,0))</f>
        <v/>
      </c>
      <c r="D64" s="201" t="str">
        <f ca="1">IF($A64="","",VLOOKUP($A64,JOURNAL!$C$5:$I$1115,4,0))</f>
        <v/>
      </c>
      <c r="E64" s="187" t="str">
        <f ca="1">IF($A64="","",VLOOKUP($A64,JOURNAL!$C$5:$I$1115,3,0))</f>
        <v/>
      </c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spans="1:27" ht="16.5" customHeight="1" x14ac:dyDescent="0.2">
      <c r="A65" s="200" t="str">
        <f t="shared" ca="1" si="1"/>
        <v/>
      </c>
      <c r="B65" s="201" t="str">
        <f ca="1">IF($A65="","",VLOOKUP($A65,JOURNAL!$C$5:$I$1115,5,0))</f>
        <v/>
      </c>
      <c r="C65" s="202" t="str">
        <f ca="1">IF($A65="","",VLOOKUP($A65,JOURNAL!$C$5:$I$1115,2,0))</f>
        <v/>
      </c>
      <c r="D65" s="201" t="str">
        <f ca="1">IF($A65="","",VLOOKUP($A65,JOURNAL!$C$5:$I$1115,4,0))</f>
        <v/>
      </c>
      <c r="E65" s="187" t="str">
        <f ca="1">IF($A65="","",VLOOKUP($A65,JOURNAL!$C$5:$I$1115,3,0))</f>
        <v/>
      </c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spans="1:27" ht="16.5" customHeight="1" x14ac:dyDescent="0.2">
      <c r="A66" s="200" t="str">
        <f t="shared" ca="1" si="1"/>
        <v/>
      </c>
      <c r="B66" s="201" t="str">
        <f ca="1">IF($A66="","",VLOOKUP($A66,JOURNAL!$C$5:$I$1115,5,0))</f>
        <v/>
      </c>
      <c r="C66" s="202" t="str">
        <f ca="1">IF($A66="","",VLOOKUP($A66,JOURNAL!$C$5:$I$1115,2,0))</f>
        <v/>
      </c>
      <c r="D66" s="201" t="str">
        <f ca="1">IF($A66="","",VLOOKUP($A66,JOURNAL!$C$5:$I$1115,4,0))</f>
        <v/>
      </c>
      <c r="E66" s="187" t="str">
        <f ca="1">IF($A66="","",VLOOKUP($A66,JOURNAL!$C$5:$I$1115,3,0))</f>
        <v/>
      </c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spans="1:27" ht="16.5" customHeight="1" x14ac:dyDescent="0.2">
      <c r="A67" s="200" t="str">
        <f t="shared" ca="1" si="1"/>
        <v/>
      </c>
      <c r="B67" s="201" t="str">
        <f ca="1">IF($A67="","",VLOOKUP($A67,JOURNAL!$C$5:$I$1115,5,0))</f>
        <v/>
      </c>
      <c r="C67" s="202" t="str">
        <f ca="1">IF($A67="","",VLOOKUP($A67,JOURNAL!$C$5:$I$1115,2,0))</f>
        <v/>
      </c>
      <c r="D67" s="201" t="str">
        <f ca="1">IF($A67="","",VLOOKUP($A67,JOURNAL!$C$5:$I$1115,4,0))</f>
        <v/>
      </c>
      <c r="E67" s="187" t="str">
        <f ca="1">IF($A67="","",VLOOKUP($A67,JOURNAL!$C$5:$I$1115,3,0))</f>
        <v/>
      </c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spans="1:27" ht="16.5" customHeight="1" x14ac:dyDescent="0.2">
      <c r="A68" s="200" t="str">
        <f t="shared" ca="1" si="1"/>
        <v/>
      </c>
      <c r="B68" s="201" t="str">
        <f ca="1">IF($A68="","",VLOOKUP($A68,JOURNAL!$C$5:$I$1115,5,0))</f>
        <v/>
      </c>
      <c r="C68" s="202" t="str">
        <f ca="1">IF($A68="","",VLOOKUP($A68,JOURNAL!$C$5:$I$1115,2,0))</f>
        <v/>
      </c>
      <c r="D68" s="201" t="str">
        <f ca="1">IF($A68="","",VLOOKUP($A68,JOURNAL!$C$5:$I$1115,4,0))</f>
        <v/>
      </c>
      <c r="E68" s="187" t="str">
        <f ca="1">IF($A68="","",VLOOKUP($A68,JOURNAL!$C$5:$I$1115,3,0))</f>
        <v/>
      </c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spans="1:27" ht="16.5" customHeight="1" x14ac:dyDescent="0.2">
      <c r="A69" s="200" t="str">
        <f t="shared" ca="1" si="1"/>
        <v/>
      </c>
      <c r="B69" s="201" t="str">
        <f ca="1">IF($A69="","",VLOOKUP($A69,JOURNAL!$C$5:$I$1115,5,0))</f>
        <v/>
      </c>
      <c r="C69" s="202" t="str">
        <f ca="1">IF($A69="","",VLOOKUP($A69,JOURNAL!$C$5:$I$1115,2,0))</f>
        <v/>
      </c>
      <c r="D69" s="201" t="str">
        <f ca="1">IF($A69="","",VLOOKUP($A69,JOURNAL!$C$5:$I$1115,4,0))</f>
        <v/>
      </c>
      <c r="E69" s="187" t="str">
        <f ca="1">IF($A69="","",VLOOKUP($A69,JOURNAL!$C$5:$I$1115,3,0))</f>
        <v/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spans="1:27" ht="16.5" customHeight="1" x14ac:dyDescent="0.2">
      <c r="A70" s="200" t="str">
        <f t="shared" ca="1" si="1"/>
        <v/>
      </c>
      <c r="B70" s="201" t="str">
        <f ca="1">IF($A70="","",VLOOKUP($A70,JOURNAL!$C$5:$I$1115,5,0))</f>
        <v/>
      </c>
      <c r="C70" s="202" t="str">
        <f ca="1">IF($A70="","",VLOOKUP($A70,JOURNAL!$C$5:$I$1115,2,0))</f>
        <v/>
      </c>
      <c r="D70" s="201" t="str">
        <f ca="1">IF($A70="","",VLOOKUP($A70,JOURNAL!$C$5:$I$1115,4,0))</f>
        <v/>
      </c>
      <c r="E70" s="187" t="str">
        <f ca="1">IF($A70="","",VLOOKUP($A70,JOURNAL!$C$5:$I$1115,3,0))</f>
        <v/>
      </c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spans="1:27" ht="16.5" customHeight="1" x14ac:dyDescent="0.2">
      <c r="A71" s="200" t="str">
        <f ca="1">IF(A70="","",IF(ISNA(VLOOKUP($A$1&amp;" / "&amp;$A$32,INDIRECT(ADDRESS(A70+5,2,1,,"JOURNAL")&amp;":G500"),2,0)),"",VLOOKUP($A$1&amp;" / "&amp;$A$32,INDIRECT(ADDRESS(A70+5,2,1,,"JOURNAL")&amp;":G500"),2,0)))</f>
        <v/>
      </c>
      <c r="B71" s="201" t="str">
        <f ca="1">IF($A71="","",VLOOKUP($A71,JOURNAL!$C$5:$I$1115,5,0))</f>
        <v/>
      </c>
      <c r="C71" s="202" t="str">
        <f ca="1">IF($A71="","",VLOOKUP($A71,JOURNAL!$C$5:$I$1115,2,0))</f>
        <v/>
      </c>
      <c r="D71" s="201" t="str">
        <f ca="1">IF($A71="","",VLOOKUP($A71,JOURNAL!$C$5:$I$1115,4,0))</f>
        <v/>
      </c>
      <c r="E71" s="187" t="str">
        <f ca="1">IF($A71="","",VLOOKUP($A71,JOURNAL!$C$5:$I$1115,3,0))</f>
        <v/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6.5" customHeight="1" x14ac:dyDescent="0.2">
      <c r="A72" s="200" t="str">
        <f ca="1">IF(A71="","",IF(ISNA(VLOOKUP($A$1&amp;" / "&amp;$A$32,INDIRECT(ADDRESS(A71+5,2,1,,"JOURNAL")&amp;":G500"),2,0)),"",VLOOKUP($A$1&amp;" / "&amp;$A$32,INDIRECT(ADDRESS(A71+5,2,1,,"JOURNAL")&amp;":G500"),2,0)))</f>
        <v/>
      </c>
      <c r="B72" s="201" t="str">
        <f ca="1">IF($A72="","",VLOOKUP($A72,JOURNAL!$C$5:$I$1115,5,0))</f>
        <v/>
      </c>
      <c r="C72" s="202" t="str">
        <f ca="1">IF($A72="","",VLOOKUP($A72,JOURNAL!$C$5:$I$1115,2,0))</f>
        <v/>
      </c>
      <c r="D72" s="201" t="str">
        <f ca="1">IF($A72="","",VLOOKUP($A72,JOURNAL!$C$5:$I$1115,4,0))</f>
        <v/>
      </c>
      <c r="E72" s="187" t="str">
        <f ca="1">IF($A72="","",VLOOKUP($A72,JOURNAL!$C$5:$I$1115,3,0))</f>
        <v/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6.5" customHeight="1" x14ac:dyDescent="0.2">
      <c r="A73" s="178" t="s">
        <v>16</v>
      </c>
      <c r="B73" s="179"/>
      <c r="C73" s="180"/>
      <c r="D73" s="181"/>
      <c r="E73" s="182">
        <f ca="1">SUM(E34:E72)</f>
        <v>100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6.5" customHeight="1" x14ac:dyDescent="0.2">
      <c r="A74" s="204" t="s">
        <v>206</v>
      </c>
      <c r="B74" s="205"/>
      <c r="C74" s="206"/>
      <c r="D74" s="205"/>
      <c r="E74" s="20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6.5" customHeight="1" x14ac:dyDescent="0.2">
      <c r="A75" s="156" t="s">
        <v>3</v>
      </c>
      <c r="B75" s="197" t="s">
        <v>7</v>
      </c>
      <c r="C75" s="198" t="s">
        <v>4</v>
      </c>
      <c r="D75" s="199" t="s">
        <v>6</v>
      </c>
      <c r="E75" s="160" t="s">
        <v>5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6.5" customHeight="1" x14ac:dyDescent="0.2">
      <c r="A76" s="200" t="str">
        <f>IF(ISNA(VLOOKUP($A$1&amp;" / "&amp;$A$74,JOURNAL!$B$5:$I$1115,2,0)),"",VLOOKUP($A$1&amp;" / "&amp;$A$74,JOURNAL!$B$5:$I$1115,2,0))</f>
        <v/>
      </c>
      <c r="B76" s="201" t="str">
        <f>IF($A76="","",VLOOKUP($A76,JOURNAL!$C$5:$I$277,5,0))</f>
        <v/>
      </c>
      <c r="C76" s="202" t="str">
        <f>IF($A76="","",VLOOKUP($A76,JOURNAL!$C$5:$I$116,2,0))</f>
        <v/>
      </c>
      <c r="D76" s="201" t="str">
        <f>IF($A76="","",VLOOKUP($A76,JOURNAL!$C$5:$I$11116,4,0))</f>
        <v/>
      </c>
      <c r="E76" s="187" t="str">
        <f>IF($A76="","",VLOOKUP($A76,JOURNAL!$C$5:$I$1115,3,0))</f>
        <v/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6.5" customHeight="1" x14ac:dyDescent="0.2">
      <c r="A77" s="200" t="str">
        <f t="shared" ref="A77:A87" ca="1" si="2">IF(A76="","",IF(ISNA(VLOOKUP($A$1&amp;" / "&amp;$A$74,INDIRECT(ADDRESS(A76+5,2,1,,"JOURNAL")&amp;":G700"),2,0)),"",VLOOKUP($A$1&amp;" / "&amp;$A$74,INDIRECT(ADDRESS(A76+5,2,1,,"JOURNAL")&amp;":G700"),2,0)))</f>
        <v/>
      </c>
      <c r="B77" s="201" t="str">
        <f ca="1">IF($A77="","",VLOOKUP($A77,JOURNAL!$C$5:$I$1115,5,0))</f>
        <v/>
      </c>
      <c r="C77" s="202" t="str">
        <f ca="1">IF($A77="","",VLOOKUP($A77,JOURNAL!$C$5:$I$1115,2,0))</f>
        <v/>
      </c>
      <c r="D77" s="201" t="str">
        <f ca="1">IF($A77="","",VLOOKUP($A77,JOURNAL!$C$5:$I$1115,4,0))</f>
        <v/>
      </c>
      <c r="E77" s="187" t="str">
        <f ca="1">IF($A77="","",VLOOKUP($A77,JOURNAL!$C$5:$I$1115,3,0))</f>
        <v/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6.5" customHeight="1" x14ac:dyDescent="0.2">
      <c r="A78" s="200" t="str">
        <f t="shared" ca="1" si="2"/>
        <v/>
      </c>
      <c r="B78" s="201" t="str">
        <f ca="1">IF($A78="","",VLOOKUP($A78,JOURNAL!$C$5:$I$1115,5,0))</f>
        <v/>
      </c>
      <c r="C78" s="202" t="str">
        <f ca="1">IF($A78="","",VLOOKUP($A78,JOURNAL!$C$5:$I$1115,2,0))</f>
        <v/>
      </c>
      <c r="D78" s="201" t="str">
        <f ca="1">IF($A78="","",VLOOKUP($A78,JOURNAL!$C$5:$I$1115,4,0))</f>
        <v/>
      </c>
      <c r="E78" s="187" t="str">
        <f ca="1">IF($A78="","",VLOOKUP($A78,JOURNAL!$C$5:$I$1115,3,0))</f>
        <v/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6.5" customHeight="1" x14ac:dyDescent="0.2">
      <c r="A79" s="200" t="str">
        <f t="shared" ca="1" si="2"/>
        <v/>
      </c>
      <c r="B79" s="201" t="str">
        <f ca="1">IF($A79="","",VLOOKUP($A79,JOURNAL!$C$5:$I$1115,5,0))</f>
        <v/>
      </c>
      <c r="C79" s="202" t="str">
        <f ca="1">IF($A79="","",VLOOKUP($A79,JOURNAL!$C$5:$I$1115,2,0))</f>
        <v/>
      </c>
      <c r="D79" s="201" t="str">
        <f ca="1">IF($A79="","",VLOOKUP($A79,JOURNAL!$C$5:$I$1115,4,0))</f>
        <v/>
      </c>
      <c r="E79" s="187" t="str">
        <f ca="1">IF($A79="","",VLOOKUP($A79,JOURNAL!$C$5:$I$1115,3,0))</f>
        <v/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6.5" customHeight="1" x14ac:dyDescent="0.2">
      <c r="A80" s="200" t="str">
        <f t="shared" ca="1" si="2"/>
        <v/>
      </c>
      <c r="B80" s="201" t="str">
        <f ca="1">IF($A80="","",VLOOKUP($A80,JOURNAL!$C$5:$I$1115,5,0))</f>
        <v/>
      </c>
      <c r="C80" s="202" t="str">
        <f ca="1">IF($A80="","",VLOOKUP($A80,JOURNAL!$C$5:$I$1115,2,0))</f>
        <v/>
      </c>
      <c r="D80" s="201" t="str">
        <f ca="1">IF($A80="","",VLOOKUP($A80,JOURNAL!$C$5:$I$1115,4,0))</f>
        <v/>
      </c>
      <c r="E80" s="187" t="str">
        <f ca="1">IF($A80="","",VLOOKUP($A80,JOURNAL!$C$5:$I$1115,3,0))</f>
        <v/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6.5" customHeight="1" x14ac:dyDescent="0.2">
      <c r="A81" s="200" t="str">
        <f t="shared" ca="1" si="2"/>
        <v/>
      </c>
      <c r="B81" s="201" t="str">
        <f ca="1">IF($A81="","",VLOOKUP($A81,JOURNAL!$C$5:$I$1115,5,0))</f>
        <v/>
      </c>
      <c r="C81" s="202" t="str">
        <f ca="1">IF($A81="","",VLOOKUP($A81,JOURNAL!$C$5:$I$1115,2,0))</f>
        <v/>
      </c>
      <c r="D81" s="201" t="str">
        <f ca="1">IF($A81="","",VLOOKUP($A81,JOURNAL!$C$5:$I$1115,4,0))</f>
        <v/>
      </c>
      <c r="E81" s="187" t="str">
        <f ca="1">IF($A81="","",VLOOKUP($A81,JOURNAL!$C$5:$I$1115,3,0))</f>
        <v/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6.5" customHeight="1" x14ac:dyDescent="0.2">
      <c r="A82" s="200" t="str">
        <f t="shared" ca="1" si="2"/>
        <v/>
      </c>
      <c r="B82" s="201" t="str">
        <f ca="1">IF($A82="","",VLOOKUP($A82,JOURNAL!$C$5:$I$1115,5,0))</f>
        <v/>
      </c>
      <c r="C82" s="202" t="str">
        <f ca="1">IF($A82="","",VLOOKUP($A82,JOURNAL!$C$5:$I$1115,2,0))</f>
        <v/>
      </c>
      <c r="D82" s="201" t="str">
        <f ca="1">IF($A82="","",VLOOKUP($A82,JOURNAL!$C$5:$I$1115,4,0))</f>
        <v/>
      </c>
      <c r="E82" s="187" t="str">
        <f ca="1">IF($A82="","",VLOOKUP($A82,JOURNAL!$C$5:$I$1115,3,0))</f>
        <v/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6.5" customHeight="1" x14ac:dyDescent="0.2">
      <c r="A83" s="200" t="str">
        <f t="shared" ca="1" si="2"/>
        <v/>
      </c>
      <c r="B83" s="201" t="str">
        <f ca="1">IF($A83="","",VLOOKUP($A83,JOURNAL!$C$5:$I$1115,5,0))</f>
        <v/>
      </c>
      <c r="C83" s="202" t="str">
        <f ca="1">IF($A83="","",VLOOKUP($A83,JOURNAL!$C$5:$I$1115,2,0))</f>
        <v/>
      </c>
      <c r="D83" s="201" t="str">
        <f ca="1">IF($A83="","",VLOOKUP($A83,JOURNAL!$C$5:$I$1115,4,0))</f>
        <v/>
      </c>
      <c r="E83" s="187" t="str">
        <f ca="1">IF($A83="","",VLOOKUP($A83,JOURNAL!$C$5:$I$1115,3,0))</f>
        <v/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6.5" customHeight="1" x14ac:dyDescent="0.2">
      <c r="A84" s="200" t="str">
        <f t="shared" ca="1" si="2"/>
        <v/>
      </c>
      <c r="B84" s="201" t="str">
        <f ca="1">IF($A84="","",VLOOKUP($A84,JOURNAL!$C$5:$I$1115,5,0))</f>
        <v/>
      </c>
      <c r="C84" s="202" t="str">
        <f ca="1">IF($A84="","",VLOOKUP($A84,JOURNAL!$C$5:$I$1115,2,0))</f>
        <v/>
      </c>
      <c r="D84" s="201" t="str">
        <f ca="1">IF($A84="","",VLOOKUP($A84,JOURNAL!$C$5:$I$1115,4,0))</f>
        <v/>
      </c>
      <c r="E84" s="187" t="str">
        <f ca="1">IF($A84="","",VLOOKUP($A84,JOURNAL!$C$5:$I$1115,3,0))</f>
        <v/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6.5" customHeight="1" x14ac:dyDescent="0.2">
      <c r="A85" s="200" t="str">
        <f t="shared" ca="1" si="2"/>
        <v/>
      </c>
      <c r="B85" s="201" t="str">
        <f ca="1">IF($A85="","",VLOOKUP($A85,JOURNAL!$C$5:$I$1115,5,0))</f>
        <v/>
      </c>
      <c r="C85" s="202" t="str">
        <f ca="1">IF($A85="","",VLOOKUP($A85,JOURNAL!$C$5:$I$1115,2,0))</f>
        <v/>
      </c>
      <c r="D85" s="201" t="str">
        <f ca="1">IF($A85="","",VLOOKUP($A85,JOURNAL!$C$5:$I$1115,4,0))</f>
        <v/>
      </c>
      <c r="E85" s="187" t="str">
        <f ca="1">IF($A85="","",VLOOKUP($A85,JOURNAL!$C$5:$I$1115,3,0))</f>
        <v/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6.5" customHeight="1" x14ac:dyDescent="0.2">
      <c r="A86" s="200" t="str">
        <f t="shared" ca="1" si="2"/>
        <v/>
      </c>
      <c r="B86" s="201" t="str">
        <f ca="1">IF($A86="","",VLOOKUP($A86,JOURNAL!$C$5:$I$1115,5,0))</f>
        <v/>
      </c>
      <c r="C86" s="202" t="str">
        <f ca="1">IF($A86="","",VLOOKUP($A86,JOURNAL!$C$5:$I$1115,2,0))</f>
        <v/>
      </c>
      <c r="D86" s="201" t="str">
        <f ca="1">IF($A86="","",VLOOKUP($A86,JOURNAL!$C$5:$I$1115,4,0))</f>
        <v/>
      </c>
      <c r="E86" s="187" t="str">
        <f ca="1">IF($A86="","",VLOOKUP($A86,JOURNAL!$C$5:$I$1115,3,0))</f>
        <v/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6.5" customHeight="1" x14ac:dyDescent="0.2">
      <c r="A87" s="200" t="str">
        <f t="shared" ca="1" si="2"/>
        <v/>
      </c>
      <c r="B87" s="201" t="str">
        <f ca="1">IF($A87="","",VLOOKUP($A87,JOURNAL!$C$5:$I$1115,5,0))</f>
        <v/>
      </c>
      <c r="C87" s="202" t="str">
        <f ca="1">IF($A87="","",VLOOKUP($A87,JOURNAL!$C$5:$I$1115,2,0))</f>
        <v/>
      </c>
      <c r="D87" s="201" t="str">
        <f ca="1">IF($A87="","",VLOOKUP($A87,JOURNAL!$C$5:$I$1115,4,0))</f>
        <v/>
      </c>
      <c r="E87" s="187" t="str">
        <f ca="1">IF($A87="","",VLOOKUP($A87,JOURNAL!$C$5:$I$1115,3,0))</f>
        <v/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6.5" customHeight="1" x14ac:dyDescent="0.2">
      <c r="A88" s="178" t="s">
        <v>16</v>
      </c>
      <c r="B88" s="179"/>
      <c r="C88" s="180"/>
      <c r="D88" s="181"/>
      <c r="E88" s="182">
        <f ca="1">SUM(E76:E87)</f>
        <v>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6.5" customHeight="1" x14ac:dyDescent="0.2">
      <c r="A257" s="51"/>
      <c r="B257" s="4"/>
      <c r="C257" s="149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6.5" customHeight="1" x14ac:dyDescent="0.2">
      <c r="A258" s="51"/>
      <c r="B258" s="4"/>
      <c r="C258" s="149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6.5" customHeight="1" x14ac:dyDescent="0.2">
      <c r="A259" s="51"/>
      <c r="B259" s="4"/>
      <c r="C259" s="149"/>
      <c r="D259" s="4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6.5" customHeight="1" x14ac:dyDescent="0.2">
      <c r="A260" s="51"/>
      <c r="B260" s="4"/>
      <c r="C260" s="149"/>
      <c r="D260" s="4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6.5" customHeight="1" x14ac:dyDescent="0.2">
      <c r="A261" s="51"/>
      <c r="B261" s="4"/>
      <c r="C261" s="149"/>
      <c r="D261" s="4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6.5" customHeight="1" x14ac:dyDescent="0.2">
      <c r="A262" s="51"/>
      <c r="B262" s="4"/>
      <c r="C262" s="149"/>
      <c r="D262" s="4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6.5" customHeight="1" x14ac:dyDescent="0.2">
      <c r="A263" s="51"/>
      <c r="B263" s="4"/>
      <c r="C263" s="149"/>
      <c r="D263" s="4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6.5" customHeight="1" x14ac:dyDescent="0.2">
      <c r="A264" s="51"/>
      <c r="B264" s="4"/>
      <c r="C264" s="149"/>
      <c r="D264" s="4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6.5" customHeight="1" x14ac:dyDescent="0.2">
      <c r="A265" s="51"/>
      <c r="B265" s="4"/>
      <c r="C265" s="149"/>
      <c r="D265" s="4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6.5" customHeight="1" x14ac:dyDescent="0.2">
      <c r="A266" s="51"/>
      <c r="B266" s="4"/>
      <c r="C266" s="149"/>
      <c r="D266" s="4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6.5" customHeight="1" x14ac:dyDescent="0.2">
      <c r="A267" s="51"/>
      <c r="B267" s="4"/>
      <c r="C267" s="149"/>
      <c r="D267" s="4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6.5" customHeight="1" x14ac:dyDescent="0.2">
      <c r="A268" s="51"/>
      <c r="B268" s="4"/>
      <c r="C268" s="149"/>
      <c r="D268" s="4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6.5" customHeight="1" x14ac:dyDescent="0.2">
      <c r="A269" s="51"/>
      <c r="B269" s="4"/>
      <c r="C269" s="149"/>
      <c r="D269" s="4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6.5" customHeight="1" x14ac:dyDescent="0.2">
      <c r="A270" s="51"/>
      <c r="B270" s="4"/>
      <c r="C270" s="149"/>
      <c r="D270" s="4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6.5" customHeight="1" x14ac:dyDescent="0.2">
      <c r="A271" s="51"/>
      <c r="B271" s="4"/>
      <c r="C271" s="149"/>
      <c r="D271" s="4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6.5" customHeight="1" x14ac:dyDescent="0.2">
      <c r="A272" s="51"/>
      <c r="B272" s="4"/>
      <c r="C272" s="149"/>
      <c r="D272" s="4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6.5" customHeight="1" x14ac:dyDescent="0.2">
      <c r="A273" s="51"/>
      <c r="B273" s="4"/>
      <c r="C273" s="149"/>
      <c r="D273" s="4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6.5" customHeight="1" x14ac:dyDescent="0.2">
      <c r="A274" s="51"/>
      <c r="B274" s="4"/>
      <c r="C274" s="149"/>
      <c r="D274" s="4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6.5" customHeight="1" x14ac:dyDescent="0.2">
      <c r="A275" s="51"/>
      <c r="B275" s="4"/>
      <c r="C275" s="149"/>
      <c r="D275" s="4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6.5" customHeight="1" x14ac:dyDescent="0.2">
      <c r="A276" s="51"/>
      <c r="B276" s="4"/>
      <c r="C276" s="149"/>
      <c r="D276" s="4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6.5" customHeight="1" x14ac:dyDescent="0.2">
      <c r="A277" s="51"/>
      <c r="B277" s="4"/>
      <c r="C277" s="149"/>
      <c r="D277" s="4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6.5" customHeight="1" x14ac:dyDescent="0.2">
      <c r="A278" s="51"/>
      <c r="B278" s="4"/>
      <c r="C278" s="149"/>
      <c r="D278" s="4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6.5" customHeight="1" x14ac:dyDescent="0.2">
      <c r="A279" s="51"/>
      <c r="B279" s="4"/>
      <c r="C279" s="149"/>
      <c r="D279" s="4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6.5" customHeight="1" x14ac:dyDescent="0.2">
      <c r="A280" s="51"/>
      <c r="B280" s="4"/>
      <c r="C280" s="149"/>
      <c r="D280" s="4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6.5" customHeight="1" x14ac:dyDescent="0.2">
      <c r="A281" s="51"/>
      <c r="B281" s="4"/>
      <c r="C281" s="149"/>
      <c r="D281" s="4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6.5" customHeight="1" x14ac:dyDescent="0.2">
      <c r="A282" s="51"/>
      <c r="B282" s="4"/>
      <c r="C282" s="149"/>
      <c r="D282" s="4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6.5" customHeight="1" x14ac:dyDescent="0.2">
      <c r="A283" s="51"/>
      <c r="B283" s="4"/>
      <c r="C283" s="149"/>
      <c r="D283" s="4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6.5" customHeight="1" x14ac:dyDescent="0.2">
      <c r="A284" s="51"/>
      <c r="B284" s="4"/>
      <c r="C284" s="149"/>
      <c r="D284" s="4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6.5" customHeight="1" x14ac:dyDescent="0.2">
      <c r="A285" s="51"/>
      <c r="B285" s="4"/>
      <c r="C285" s="149"/>
      <c r="D285" s="4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6.5" customHeight="1" x14ac:dyDescent="0.2">
      <c r="A286" s="51"/>
      <c r="B286" s="4"/>
      <c r="C286" s="149"/>
      <c r="D286" s="4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6.5" customHeight="1" x14ac:dyDescent="0.2">
      <c r="A287" s="51"/>
      <c r="B287" s="4"/>
      <c r="C287" s="149"/>
      <c r="D287" s="4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6.5" customHeight="1" x14ac:dyDescent="0.2">
      <c r="A288" s="51"/>
      <c r="B288" s="4"/>
      <c r="C288" s="149"/>
      <c r="D288" s="4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31:E31"/>
  </mergeCells>
  <dataValidations count="1">
    <dataValidation type="list" allowBlank="1" showErrorMessage="1" sqref="A6:A19 A23:A28" xr:uid="{00000000-0002-0000-09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47.6640625" customWidth="1"/>
    <col min="3" max="3" width="13.1640625" customWidth="1"/>
    <col min="4" max="4" width="12" customWidth="1"/>
    <col min="5" max="5" width="21" customWidth="1"/>
    <col min="6" max="8" width="9.1640625" hidden="1" customWidth="1"/>
    <col min="9" max="9" width="23.33203125" customWidth="1"/>
    <col min="10" max="26" width="9" customWidth="1"/>
  </cols>
  <sheetData>
    <row r="1" spans="1:26" ht="22" x14ac:dyDescent="0.25">
      <c r="A1" s="360" t="s">
        <v>335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17" t="s">
        <v>7</v>
      </c>
      <c r="C5" s="158"/>
      <c r="D5" s="159"/>
      <c r="E5" s="218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215" t="s">
        <v>336</v>
      </c>
      <c r="C6" s="189"/>
      <c r="D6" s="190"/>
      <c r="E6" s="216">
        <v>40</v>
      </c>
      <c r="F6" s="48" t="s">
        <v>261</v>
      </c>
      <c r="G6" s="4"/>
      <c r="H6" s="4"/>
      <c r="I6" s="4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215" t="s">
        <v>337</v>
      </c>
      <c r="C7" s="189"/>
      <c r="D7" s="190"/>
      <c r="E7" s="216">
        <v>760</v>
      </c>
      <c r="F7" s="4"/>
      <c r="G7" s="4"/>
      <c r="H7" s="4"/>
      <c r="I7" s="4"/>
      <c r="J7" s="48"/>
      <c r="K7" s="48"/>
      <c r="L7" s="4"/>
      <c r="M7" s="4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215"/>
      <c r="C8" s="189"/>
      <c r="D8" s="215"/>
      <c r="E8" s="2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215"/>
      <c r="C9" s="189"/>
      <c r="D9" s="215"/>
      <c r="E9" s="21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215"/>
      <c r="C10" s="189"/>
      <c r="D10" s="215"/>
      <c r="E10" s="2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215"/>
      <c r="C11" s="189"/>
      <c r="D11" s="215"/>
      <c r="E11" s="21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188"/>
      <c r="C12" s="189"/>
      <c r="D12" s="190"/>
      <c r="E12" s="2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61"/>
      <c r="B13" s="188"/>
      <c r="C13" s="189"/>
      <c r="D13" s="190"/>
      <c r="E13" s="2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61"/>
      <c r="B14" s="188"/>
      <c r="C14" s="189"/>
      <c r="D14" s="190"/>
      <c r="E14" s="2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78" t="s">
        <v>16</v>
      </c>
      <c r="B15" s="179"/>
      <c r="C15" s="180"/>
      <c r="D15" s="181"/>
      <c r="E15" s="182">
        <f>SUM(E6:E14)</f>
        <v>800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83" t="s">
        <v>206</v>
      </c>
      <c r="B16" s="184"/>
      <c r="C16" s="185"/>
      <c r="D16" s="184"/>
      <c r="E16" s="18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56" t="s">
        <v>218</v>
      </c>
      <c r="B17" s="208" t="s">
        <v>7</v>
      </c>
      <c r="C17" s="158"/>
      <c r="D17" s="159"/>
      <c r="E17" s="160" t="s">
        <v>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188"/>
      <c r="C18" s="189"/>
      <c r="D18" s="190"/>
      <c r="E18" s="18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188"/>
      <c r="C19" s="189"/>
      <c r="D19" s="190"/>
      <c r="E19" s="18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188"/>
      <c r="C20" s="189"/>
      <c r="D20" s="190"/>
      <c r="E20" s="18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188"/>
      <c r="C21" s="189"/>
      <c r="D21" s="190"/>
      <c r="E21" s="18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61"/>
      <c r="B22" s="188"/>
      <c r="C22" s="189"/>
      <c r="D22" s="190"/>
      <c r="E22" s="18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61"/>
      <c r="B23" s="188"/>
      <c r="C23" s="189"/>
      <c r="D23" s="190"/>
      <c r="E23" s="18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61"/>
      <c r="B24" s="188"/>
      <c r="C24" s="189"/>
      <c r="D24" s="190"/>
      <c r="E24" s="18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78" t="s">
        <v>16</v>
      </c>
      <c r="B25" s="179"/>
      <c r="C25" s="180"/>
      <c r="D25" s="181"/>
      <c r="E25" s="182">
        <f>SUM(E18:E24)</f>
        <v>0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6.5" customHeight="1" x14ac:dyDescent="0.2">
      <c r="A26" s="51"/>
      <c r="B26" s="4"/>
      <c r="C26" s="149"/>
      <c r="D26" s="4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377" t="s">
        <v>204</v>
      </c>
      <c r="B27" s="375"/>
      <c r="C27" s="375"/>
      <c r="D27" s="375"/>
      <c r="E27" s="37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93" t="s">
        <v>205</v>
      </c>
      <c r="B28" s="194"/>
      <c r="C28" s="195"/>
      <c r="D28" s="194"/>
      <c r="E28" s="19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156" t="s">
        <v>3</v>
      </c>
      <c r="B29" s="197" t="s">
        <v>7</v>
      </c>
      <c r="C29" s="198" t="s">
        <v>4</v>
      </c>
      <c r="D29" s="199" t="s">
        <v>6</v>
      </c>
      <c r="E29" s="160" t="s">
        <v>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 t="str">
        <f>IF(ISNA(VLOOKUP($A$1&amp;" / "&amp;$A$28,JOURNAL!$B$5:$I$1115,2,0)),"",VLOOKUP($A$1&amp;" / "&amp;$A$28,JOURNAL!$B$5:$I$1115,2,0))</f>
        <v/>
      </c>
      <c r="B30" s="201" t="str">
        <f>IF($A30="","",VLOOKUP($A30,JOURNAL!$C$5:$I$1115,5,0))</f>
        <v/>
      </c>
      <c r="C30" s="202" t="str">
        <f>IF($A30="","",VLOOKUP($A30,JOURNAL!$C$5:$I$1115,2,0))</f>
        <v/>
      </c>
      <c r="D30" s="201" t="str">
        <f>IF($A30="","",VLOOKUP($A30,JOURNAL!$C$5:$I$1115,4,0))</f>
        <v/>
      </c>
      <c r="E30" s="187" t="str">
        <f>IF($A30="","",VLOOKUP($A30,JOURNAL!$C$5:$I$1115,3,0))</f>
        <v/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 t="str">
        <f ca="1">IF(A30="","",IF(ISNA(VLOOKUP($A$1&amp;" / "&amp;$A$28,INDIRECT(ADDRESS(A30+5,2,1,,"JOURNAL")&amp;":G500"),2,0)),"",VLOOKUP($A$1&amp;" / "&amp;$A$28,INDIRECT(ADDRESS(A30+5,2,1,,"JOURNAL")&amp;":G500"),2,0)))</f>
        <v/>
      </c>
      <c r="B31" s="201" t="str">
        <f ca="1">IF($A31="","",VLOOKUP($A31,JOURNAL!$C$5:$I$1115,5,0))</f>
        <v/>
      </c>
      <c r="C31" s="202" t="str">
        <f ca="1">IF($A31="","",VLOOKUP($A31,JOURNAL!$C$5:$I$1115,2,0))</f>
        <v/>
      </c>
      <c r="D31" s="201" t="str">
        <f ca="1">IF($A31="","",VLOOKUP($A31,JOURNAL!$C$5:$I$1115,4,0))</f>
        <v/>
      </c>
      <c r="E31" s="187" t="str">
        <f ca="1">IF($A31="","",VLOOKUP($A31,JOURNAL!$C$5:$I$1115,3,0))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 t="str">
        <f ca="1">IF(A31="","",IF(ISNA(VLOOKUP($A$1&amp;" / "&amp;$A$28,INDIRECT(ADDRESS(A31+5,2,1,,"JOURNAL")&amp;":G500"),2,0)),"",VLOOKUP($A$1&amp;" / "&amp;$A$28,INDIRECT(ADDRESS(A31+5,2,1,,"JOURNAL")&amp;":G500"),2,0)))</f>
        <v/>
      </c>
      <c r="B32" s="201" t="str">
        <f ca="1">IF($A32="","",VLOOKUP($A32,JOURNAL!$C$5:$I$1115,5,0))</f>
        <v/>
      </c>
      <c r="C32" s="202" t="str">
        <f ca="1">IF($A32="","",VLOOKUP($A32,JOURNAL!$C$5:$I$1115,2,0))</f>
        <v/>
      </c>
      <c r="D32" s="201" t="str">
        <f ca="1">IF($A32="","",VLOOKUP($A32,JOURNAL!$C$5:$I$1115,4,0))</f>
        <v/>
      </c>
      <c r="E32" s="187" t="str">
        <f ca="1">IF($A32="","",VLOOKUP($A32,JOURNAL!$C$5:$I$1115,3,0))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ca="1">IF(A32="","",IF(ISNA(VLOOKUP($A$1&amp;" / "&amp;$A$28,INDIRECT(ADDRESS(A32+5,2,1,,"JOURNAL")&amp;":G500"),2,0)),"",VLOOKUP($A$1&amp;" / "&amp;$A$28,INDIRECT(ADDRESS(A32+5,2,1,,"JOURNAL")&amp;":G500"),2,0)))</f>
        <v/>
      </c>
      <c r="B33" s="201" t="str">
        <f ca="1">IF($A33="","",VLOOKUP($A33,JOURNAL!$C$5:$I$1115,5,0))</f>
        <v/>
      </c>
      <c r="C33" s="202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ca="1">IF(A33="","",IF(ISNA(VLOOKUP($A$1&amp;" / "&amp;$A$28,INDIRECT(ADDRESS(A33+5,2,1,,"JOURNAL")&amp;":G500"),2,0)),"",VLOOKUP($A$1&amp;" / "&amp;$A$28,INDIRECT(ADDRESS(A33+5,2,1,,"JOURNAL")&amp;":G500"),2,0)))</f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ca="1">IF(A34="","",IF(ISNA(VLOOKUP($A$1&amp;" / "&amp;$A$28,INDIRECT(ADDRESS(A34+5,2,1,,"JOURNAL")&amp;":G500"),2,0)),"",VLOOKUP($A$1&amp;" / "&amp;$A$28,INDIRECT(ADDRESS(A34+5,2,1,,"JOURNAL")&amp;":G500"),2,0)))</f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 t="str">
        <f t="shared" ref="A36:A44" ca="1" si="0">IF(A35="","",IF(ISNA(VLOOKUP($A$1&amp;" / "&amp;$A$28,INDIRECT(ADDRESS(A35+5,2,1,,"JOURNAL")&amp;":G700"),2,0)),"",VLOOKUP($A$1&amp;" / "&amp;$A$28,INDIRECT(ADDRESS(A35+5,2,1,,"JOURNAL")&amp;":G700"),2,0)))</f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t="array" aca="1" ref="A45" ca="1">IF(A44="","",IF(ISNA(VLOOKUP($A$1&amp;" / "&amp;$A$28,INDIRECT(ADDRESS(A44+5,2,1,,"JOURNAL")&amp;":G500"),2,0)),"",VLOOKUP($A$1&amp;" / "&amp;$A$28,INDIRECT(ADDRESS(A44+5,2,1,,"JOURNAL")&amp;":G500"),2,0)))</f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178" t="s">
        <v>16</v>
      </c>
      <c r="B46" s="179"/>
      <c r="C46" s="180"/>
      <c r="D46" s="181"/>
      <c r="E46" s="182">
        <f ca="1">SUM(E30:E45)</f>
        <v>0</v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6.5" customHeight="1" x14ac:dyDescent="0.2">
      <c r="A47" s="204" t="s">
        <v>206</v>
      </c>
      <c r="B47" s="205"/>
      <c r="C47" s="206"/>
      <c r="D47" s="205"/>
      <c r="E47" s="20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156" t="s">
        <v>3</v>
      </c>
      <c r="B48" s="197" t="s">
        <v>7</v>
      </c>
      <c r="C48" s="198" t="s">
        <v>4</v>
      </c>
      <c r="D48" s="199" t="s">
        <v>6</v>
      </c>
      <c r="E48" s="160" t="s">
        <v>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 t="str">
        <f>IF(ISNA(VLOOKUP($A$1&amp;" / "&amp;$A$47,JOURNAL!$B$5:$I$1115,2,0)),"",VLOOKUP($A$1&amp;" / "&amp;$A$47,JOURNAL!$B$5:$I$1115,2,0))</f>
        <v/>
      </c>
      <c r="B49" s="201" t="str">
        <f>IF($A49="","",VLOOKUP($A49,JOURNAL!$C$5:$I$1115,5,0))</f>
        <v/>
      </c>
      <c r="C49" s="202" t="str">
        <f>IF($A49="","",VLOOKUP($A49,JOURNAL!$C$5:$I$1115,2,0))</f>
        <v/>
      </c>
      <c r="D49" s="201" t="str">
        <f>IF($A49="","",VLOOKUP($A49,JOURNAL!$C$5:$I$1115,4,0))</f>
        <v/>
      </c>
      <c r="E49" s="187" t="str">
        <f>IF($A49="","",VLOOKUP($A49,JOURNAL!$C$5:$I$1115,3,0))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 t="str">
        <f t="shared" ref="A50:A55" ca="1" si="1">IF(A49="","",IF(ISNA(VLOOKUP($A$1&amp;" / "&amp;$A$47,INDIRECT(ADDRESS(A49+5,2,1,,"JOURNAL")&amp;":G700"),2,0)),"",VLOOKUP($A$1&amp;" / "&amp;$A$47,INDIRECT(ADDRESS(A49+5,2,1,,"JOURNAL")&amp;":G700"),2,0)))</f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 t="str">
        <f t="shared" ca="1" si="1"/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 t="str">
        <f t="shared" ca="1" si="1"/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 t="str">
        <f t="shared" ca="1" si="1"/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t="shared" ca="1" si="1"/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 t="shared" ca="1" si="1"/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178" t="s">
        <v>16</v>
      </c>
      <c r="B56" s="179"/>
      <c r="C56" s="180"/>
      <c r="D56" s="181"/>
      <c r="E56" s="182">
        <f ca="1">SUM(E49:E55)</f>
        <v>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6.5" customHeight="1" x14ac:dyDescent="0.2">
      <c r="A57" s="51"/>
      <c r="B57" s="4"/>
      <c r="C57" s="149"/>
      <c r="D57" s="4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51"/>
      <c r="B58" s="4"/>
      <c r="C58" s="149"/>
      <c r="D58" s="4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51"/>
      <c r="B59" s="4"/>
      <c r="C59" s="149"/>
      <c r="D59" s="4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51"/>
      <c r="B60" s="4"/>
      <c r="C60" s="149"/>
      <c r="D60" s="4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51"/>
      <c r="B61" s="4"/>
      <c r="C61" s="149"/>
      <c r="D61" s="4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51"/>
      <c r="B62" s="4"/>
      <c r="C62" s="149"/>
      <c r="D62" s="4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51"/>
      <c r="B63" s="4"/>
      <c r="C63" s="149"/>
      <c r="D63" s="4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51"/>
      <c r="B64" s="4"/>
      <c r="C64" s="149"/>
      <c r="D64" s="4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51"/>
      <c r="B65" s="4"/>
      <c r="C65" s="149"/>
      <c r="D65" s="4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51"/>
      <c r="B66" s="4"/>
      <c r="C66" s="149"/>
      <c r="D66" s="4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51"/>
      <c r="B67" s="4"/>
      <c r="C67" s="149"/>
      <c r="D67" s="4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51"/>
      <c r="B68" s="4"/>
      <c r="C68" s="149"/>
      <c r="D68" s="4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51"/>
      <c r="B69" s="4"/>
      <c r="C69" s="149"/>
      <c r="D69" s="4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51"/>
      <c r="B70" s="4"/>
      <c r="C70" s="149"/>
      <c r="D70" s="4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51"/>
      <c r="B71" s="4"/>
      <c r="C71" s="149"/>
      <c r="D71" s="4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51"/>
      <c r="B72" s="4"/>
      <c r="C72" s="149"/>
      <c r="D72" s="4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51"/>
      <c r="B73" s="4"/>
      <c r="C73" s="149"/>
      <c r="D73" s="4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51"/>
      <c r="B74" s="4"/>
      <c r="C74" s="149"/>
      <c r="D74" s="4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51"/>
      <c r="B75" s="4"/>
      <c r="C75" s="149"/>
      <c r="D75" s="4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51"/>
      <c r="B76" s="4"/>
      <c r="C76" s="149"/>
      <c r="D76" s="4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51"/>
      <c r="B77" s="4"/>
      <c r="C77" s="149"/>
      <c r="D77" s="4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51"/>
      <c r="B78" s="4"/>
      <c r="C78" s="149"/>
      <c r="D78" s="4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51"/>
      <c r="B79" s="4"/>
      <c r="C79" s="149"/>
      <c r="D79" s="4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51"/>
      <c r="B80" s="4"/>
      <c r="C80" s="149"/>
      <c r="D80" s="4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51"/>
      <c r="B81" s="4"/>
      <c r="C81" s="149"/>
      <c r="D81" s="4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51"/>
      <c r="B82" s="4"/>
      <c r="C82" s="149"/>
      <c r="D82" s="4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51"/>
      <c r="B83" s="4"/>
      <c r="C83" s="149"/>
      <c r="D83" s="4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51"/>
      <c r="B84" s="4"/>
      <c r="C84" s="149"/>
      <c r="D84" s="4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51"/>
      <c r="B85" s="4"/>
      <c r="C85" s="149"/>
      <c r="D85" s="4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51"/>
      <c r="B86" s="4"/>
      <c r="C86" s="149"/>
      <c r="D86" s="4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51"/>
      <c r="B87" s="4"/>
      <c r="C87" s="149"/>
      <c r="D87" s="4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7:E27"/>
  </mergeCells>
  <dataValidations count="1">
    <dataValidation type="list" allowBlank="1" showErrorMessage="1" sqref="A6:A14 A18:A24" xr:uid="{00000000-0002-0000-0A00-000000000000}">
      <formula1>"Janvier,Fevrier,Mars,Avril,Mai,Juin,Juillet,Août,Octobre,Novembre,Décembre"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31.1640625" customWidth="1"/>
    <col min="3" max="3" width="13.1640625" customWidth="1"/>
    <col min="4" max="4" width="18" customWidth="1"/>
    <col min="5" max="5" width="15.6640625" customWidth="1"/>
    <col min="6" max="6" width="31.5" customWidth="1"/>
    <col min="7" max="7" width="9.1640625" hidden="1" customWidth="1"/>
    <col min="8" max="26" width="9" customWidth="1"/>
  </cols>
  <sheetData>
    <row r="1" spans="1:26" ht="22" x14ac:dyDescent="0.25">
      <c r="A1" s="360" t="s">
        <v>338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3.25" customHeight="1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">
      <c r="A5" s="156" t="s">
        <v>218</v>
      </c>
      <c r="B5" s="157" t="s">
        <v>7</v>
      </c>
      <c r="C5" s="158"/>
      <c r="D5" s="159"/>
      <c r="E5" s="160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161"/>
      <c r="B6" s="188" t="s">
        <v>339</v>
      </c>
      <c r="C6" s="189"/>
      <c r="D6" s="190"/>
      <c r="E6" s="187">
        <v>13000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">
      <c r="A7" s="161"/>
      <c r="B7" s="188" t="s">
        <v>340</v>
      </c>
      <c r="C7" s="189"/>
      <c r="D7" s="293"/>
      <c r="E7" s="187">
        <v>2000</v>
      </c>
      <c r="F7" s="4"/>
      <c r="G7" s="48" t="s">
        <v>341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">
      <c r="A8" s="161"/>
      <c r="B8" s="188" t="s">
        <v>342</v>
      </c>
      <c r="C8" s="189"/>
      <c r="D8" s="293">
        <v>0.1</v>
      </c>
      <c r="E8" s="187">
        <f>(E6+E7)*D8</f>
        <v>1500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">
      <c r="A9" s="161"/>
      <c r="B9" s="188" t="s">
        <v>343</v>
      </c>
      <c r="C9" s="189"/>
      <c r="D9" s="190"/>
      <c r="E9" s="187">
        <v>1500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">
      <c r="A10" s="161"/>
      <c r="B10" s="294"/>
      <c r="C10" s="149"/>
      <c r="D10" s="4"/>
      <c r="E10" s="18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2">
      <c r="A11" s="161"/>
      <c r="B11" s="294"/>
      <c r="C11" s="189"/>
      <c r="D11" s="190"/>
      <c r="E11" s="18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2">
      <c r="A12" s="161"/>
      <c r="B12" s="294"/>
      <c r="C12" s="189"/>
      <c r="D12" s="190"/>
      <c r="E12" s="18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">
      <c r="A13" s="161"/>
      <c r="B13" s="294"/>
      <c r="C13" s="189"/>
      <c r="D13" s="190"/>
      <c r="E13" s="18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">
      <c r="A14" s="161"/>
      <c r="B14" s="294"/>
      <c r="C14" s="189"/>
      <c r="D14" s="190"/>
      <c r="E14" s="18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">
      <c r="A15" s="161"/>
      <c r="B15" s="294"/>
      <c r="C15" s="189"/>
      <c r="D15" s="190"/>
      <c r="E15" s="18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">
      <c r="A16" s="161"/>
      <c r="B16" s="294"/>
      <c r="C16" s="189"/>
      <c r="D16" s="190"/>
      <c r="E16" s="18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">
      <c r="A17" s="161"/>
      <c r="B17" s="294"/>
      <c r="C17" s="189"/>
      <c r="D17" s="190"/>
      <c r="E17" s="18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">
      <c r="A18" s="161"/>
      <c r="B18" s="188"/>
      <c r="C18" s="189"/>
      <c r="D18" s="190"/>
      <c r="E18" s="18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">
      <c r="A19" s="161"/>
      <c r="B19" s="188"/>
      <c r="C19" s="189"/>
      <c r="D19" s="190"/>
      <c r="E19" s="21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">
      <c r="A20" s="178" t="s">
        <v>16</v>
      </c>
      <c r="B20" s="179"/>
      <c r="C20" s="180"/>
      <c r="D20" s="181"/>
      <c r="E20" s="182">
        <f>SUM(E6:E19)</f>
        <v>18000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">
      <c r="A21" s="183" t="s">
        <v>206</v>
      </c>
      <c r="B21" s="184"/>
      <c r="C21" s="185"/>
      <c r="D21" s="184"/>
      <c r="E21" s="18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">
      <c r="A22" s="156" t="s">
        <v>218</v>
      </c>
      <c r="B22" s="208" t="s">
        <v>7</v>
      </c>
      <c r="C22" s="158"/>
      <c r="D22" s="159"/>
      <c r="E22" s="160" t="s">
        <v>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">
      <c r="A23" s="161"/>
      <c r="B23" s="188"/>
      <c r="C23" s="189"/>
      <c r="D23" s="190"/>
      <c r="E23" s="18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">
      <c r="A24" s="161"/>
      <c r="B24" s="188"/>
      <c r="C24" s="189"/>
      <c r="D24" s="190"/>
      <c r="E24" s="18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">
      <c r="A25" s="161"/>
      <c r="B25" s="188"/>
      <c r="C25" s="189"/>
      <c r="D25" s="190"/>
      <c r="E25" s="18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">
      <c r="A26" s="161"/>
      <c r="B26" s="188"/>
      <c r="C26" s="189"/>
      <c r="D26" s="190"/>
      <c r="E26" s="18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">
      <c r="A27" s="161"/>
      <c r="B27" s="188"/>
      <c r="C27" s="189"/>
      <c r="D27" s="190"/>
      <c r="E27" s="18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">
      <c r="A28" s="161"/>
      <c r="B28" s="188"/>
      <c r="C28" s="189"/>
      <c r="D28" s="190"/>
      <c r="E28" s="18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">
      <c r="A29" s="161"/>
      <c r="B29" s="188"/>
      <c r="C29" s="189"/>
      <c r="D29" s="190"/>
      <c r="E29" s="18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">
      <c r="A30" s="178" t="s">
        <v>16</v>
      </c>
      <c r="B30" s="179"/>
      <c r="C30" s="180"/>
      <c r="D30" s="181"/>
      <c r="E30" s="182">
        <f>SUM(E23:E29)</f>
        <v>0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4.25" customHeight="1" x14ac:dyDescent="0.2">
      <c r="A31" s="51"/>
      <c r="B31" s="4"/>
      <c r="C31" s="149"/>
      <c r="D31" s="4"/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6.25" customHeight="1" x14ac:dyDescent="0.2">
      <c r="A32" s="377" t="s">
        <v>204</v>
      </c>
      <c r="B32" s="375"/>
      <c r="C32" s="375"/>
      <c r="D32" s="375"/>
      <c r="E32" s="37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">
      <c r="A33" s="193" t="s">
        <v>205</v>
      </c>
      <c r="B33" s="194"/>
      <c r="C33" s="195"/>
      <c r="D33" s="194"/>
      <c r="E33" s="19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">
      <c r="A34" s="156" t="s">
        <v>3</v>
      </c>
      <c r="B34" s="197" t="s">
        <v>7</v>
      </c>
      <c r="C34" s="198" t="s">
        <v>4</v>
      </c>
      <c r="D34" s="199" t="s">
        <v>6</v>
      </c>
      <c r="E34" s="160" t="s">
        <v>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">
      <c r="A35" s="200">
        <f>IF(ISNA(VLOOKUP($A$1&amp;" / "&amp;$A$33,JOURNAL!$B$5:$I$1115,2,0)),"",VLOOKUP($A$1&amp;" / "&amp;$A$33,JOURNAL!$B$5:$I$1115,2,0))</f>
        <v>197</v>
      </c>
      <c r="B35" s="201" t="str">
        <f>IF($A35="","",VLOOKUP($A35,JOURNAL!$C$5:$I$1115,5,0))</f>
        <v>Acompte ThaHomey</v>
      </c>
      <c r="C35" s="202">
        <f>IF($A35="","",VLOOKUP($A35,JOURNAL!$C$5:$I$1115,2,0))</f>
        <v>46086</v>
      </c>
      <c r="D35" s="201" t="str">
        <f>IF($A35="","",VLOOKUP($A35,JOURNAL!$C$5:$I$1115,4,0))</f>
        <v>SCOP SAS AFX</v>
      </c>
      <c r="E35" s="187">
        <f>IF($A35="","",VLOOKUP($A35,JOURNAL!$C$5:$I$1115,3,0))</f>
        <v>1415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">
      <c r="A36" s="200" t="str">
        <f t="shared" ref="A36:A57" ca="1" si="0">IF(A35="","",IF(ISNA(VLOOKUP($A$1&amp;" / "&amp;$A$33,INDIRECT(ADDRESS(A35+5,2,1,,"JOURNAL")&amp;":G500"),2,0)),"",VLOOKUP($A$1&amp;" / "&amp;$A$33,INDIRECT(ADDRESS(A35+5,2,1,,"JOURNAL")&amp;":G500"),2,0)))</f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">
      <c r="A45" s="200" t="str">
        <f t="shared" ca="1" si="0"/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">
      <c r="A46" s="200" t="str">
        <f t="shared" ca="1" si="0"/>
        <v/>
      </c>
      <c r="B46" s="201" t="str">
        <f ca="1">IF($A46="","",VLOOKUP($A46,JOURNAL!$C$5:$I$1115,5,0))</f>
        <v/>
      </c>
      <c r="C46" s="202" t="str">
        <f ca="1">IF($A46="","",VLOOKUP($A46,JOURNAL!$C$5:$I$1115,2,0))</f>
        <v/>
      </c>
      <c r="D46" s="201" t="str">
        <f ca="1">IF($A46="","",VLOOKUP($A46,JOURNAL!$C$5:$I$1115,4,0))</f>
        <v/>
      </c>
      <c r="E46" s="187" t="str">
        <f ca="1">IF($A46="","",VLOOKUP($A46,JOURNAL!$C$5:$I$1115,3,0))</f>
        <v/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">
      <c r="A47" s="200" t="str">
        <f t="shared" ca="1" si="0"/>
        <v/>
      </c>
      <c r="B47" s="201" t="str">
        <f ca="1">IF($A47="","",VLOOKUP($A47,JOURNAL!$C$5:$I$1115,5,0))</f>
        <v/>
      </c>
      <c r="C47" s="202" t="str">
        <f ca="1">IF($A47="","",VLOOKUP($A47,JOURNAL!$C$5:$I$1115,2,0))</f>
        <v/>
      </c>
      <c r="D47" s="201" t="str">
        <f ca="1">IF($A47="","",VLOOKUP($A47,JOURNAL!$C$5:$I$1115,4,0))</f>
        <v/>
      </c>
      <c r="E47" s="187" t="str">
        <f ca="1">IF($A47="","",VLOOKUP($A47,JOURNAL!$C$5:$I$1115,3,0))</f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">
      <c r="A48" s="200" t="str">
        <f t="shared" ca="1" si="0"/>
        <v/>
      </c>
      <c r="B48" s="201" t="str">
        <f ca="1">IF($A48="","",VLOOKUP($A48,JOURNAL!$C$5:$I$1115,5,0))</f>
        <v/>
      </c>
      <c r="C48" s="202" t="str">
        <f ca="1">IF($A48="","",VLOOKUP($A48,JOURNAL!$C$5:$I$1115,2,0))</f>
        <v/>
      </c>
      <c r="D48" s="201" t="str">
        <f ca="1">IF($A48="","",VLOOKUP($A48,JOURNAL!$C$5:$I$1115,4,0))</f>
        <v/>
      </c>
      <c r="E48" s="187" t="str">
        <f ca="1">IF($A48="","",VLOOKUP($A48,JOURNAL!$C$5:$I$1115,3,0))</f>
        <v/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">
      <c r="A49" s="200" t="str">
        <f t="shared" ca="1" si="0"/>
        <v/>
      </c>
      <c r="B49" s="201" t="str">
        <f ca="1">IF($A49="","",VLOOKUP($A49,JOURNAL!$C$5:$I$1115,5,0))</f>
        <v/>
      </c>
      <c r="C49" s="202" t="str">
        <f ca="1">IF($A49="","",VLOOKUP($A49,JOURNAL!$C$5:$I$1115,2,0))</f>
        <v/>
      </c>
      <c r="D49" s="201" t="str">
        <f ca="1">IF($A49="","",VLOOKUP($A49,JOURNAL!$C$5:$I$1115,4,0))</f>
        <v/>
      </c>
      <c r="E49" s="187" t="str">
        <f ca="1">IF($A49="","",VLOOKUP($A49,JOURNAL!$C$5:$I$1115,3,0))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">
      <c r="A50" s="200" t="str">
        <f t="shared" ca="1" si="0"/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">
      <c r="A51" s="200" t="str">
        <f t="shared" ca="1" si="0"/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">
      <c r="A52" s="200" t="str">
        <f t="shared" ca="1" si="0"/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">
      <c r="A53" s="200" t="str">
        <f t="shared" ca="1" si="0"/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">
      <c r="A54" s="200" t="str">
        <f t="shared" ca="1" si="0"/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">
      <c r="A55" s="200" t="str">
        <f t="shared" ca="1" si="0"/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">
      <c r="A56" s="200" t="str">
        <f t="shared" ca="1" si="0"/>
        <v/>
      </c>
      <c r="B56" s="201" t="str">
        <f ca="1">IF($A56="","",VLOOKUP($A56,JOURNAL!$C$5:$I$1115,5,0))</f>
        <v/>
      </c>
      <c r="C56" s="202" t="str">
        <f ca="1">IF($A56="","",VLOOKUP($A56,JOURNAL!$C$5:$I$1115,2,0))</f>
        <v/>
      </c>
      <c r="D56" s="201" t="str">
        <f ca="1">IF($A56="","",VLOOKUP($A56,JOURNAL!$C$5:$I$1115,4,0))</f>
        <v/>
      </c>
      <c r="E56" s="187" t="str">
        <f ca="1">IF($A56="","",VLOOKUP($A56,JOURNAL!$C$5:$I$1115,3,0))</f>
        <v/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">
      <c r="A57" s="200" t="str">
        <f t="shared" ca="1" si="0"/>
        <v/>
      </c>
      <c r="B57" s="201" t="str">
        <f ca="1">IF($A57="","",VLOOKUP($A57,JOURNAL!$C$5:$I$1115,5,0))</f>
        <v/>
      </c>
      <c r="C57" s="202" t="str">
        <f ca="1">IF($A57="","",VLOOKUP($A57,JOURNAL!$C$5:$I$1115,2,0))</f>
        <v/>
      </c>
      <c r="D57" s="201" t="str">
        <f ca="1">IF($A57="","",VLOOKUP($A57,JOURNAL!$C$5:$I$1115,4,0))</f>
        <v/>
      </c>
      <c r="E57" s="187" t="str">
        <f ca="1">IF($A57="","",VLOOKUP($A57,JOURNAL!$C$5:$I$1115,3,0))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">
      <c r="A58" s="200" t="str">
        <f t="shared" ref="A58:A73" ca="1" si="1">IF(A57="","",IF(ISNA(VLOOKUP($A$1&amp;" / "&amp;$A$33,INDIRECT(ADDRESS(A57+5,2,1,,"JOURNAL")&amp;":G700"),2,0)),"",VLOOKUP($A$1&amp;" / "&amp;$A$33,INDIRECT(ADDRESS(A57+5,2,1,,"JOURNAL")&amp;":G700"),2,0)))</f>
        <v/>
      </c>
      <c r="B58" s="201" t="str">
        <f ca="1">IF($A58="","",VLOOKUP($A58,JOURNAL!$C$5:$I$1115,5,0))</f>
        <v/>
      </c>
      <c r="C58" s="202" t="str">
        <f ca="1">IF($A58="","",VLOOKUP($A58,JOURNAL!$C$5:$I$1115,2,0))</f>
        <v/>
      </c>
      <c r="D58" s="201" t="str">
        <f ca="1">IF($A58="","",VLOOKUP($A58,JOURNAL!$C$5:$I$1115,4,0))</f>
        <v/>
      </c>
      <c r="E58" s="187" t="str">
        <f ca="1">IF($A58="","",VLOOKUP($A58,JOURNAL!$C$5:$I$1115,3,0))</f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">
      <c r="A59" s="200" t="str">
        <f t="shared" ca="1" si="1"/>
        <v/>
      </c>
      <c r="B59" s="201" t="str">
        <f ca="1">IF($A59="","",VLOOKUP($A59,JOURNAL!$C$5:$I$1115,5,0))</f>
        <v/>
      </c>
      <c r="C59" s="202" t="str">
        <f ca="1">IF($A59="","",VLOOKUP($A59,JOURNAL!$C$5:$I$1115,2,0))</f>
        <v/>
      </c>
      <c r="D59" s="201" t="str">
        <f ca="1">IF($A59="","",VLOOKUP($A59,JOURNAL!$C$5:$I$1115,4,0))</f>
        <v/>
      </c>
      <c r="E59" s="187" t="str">
        <f ca="1">IF($A59="","",VLOOKUP($A59,JOURNAL!$C$5:$I$1115,3,0))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">
      <c r="A60" s="200" t="str">
        <f t="shared" ca="1" si="1"/>
        <v/>
      </c>
      <c r="B60" s="201" t="str">
        <f ca="1">IF($A60="","",VLOOKUP($A60,JOURNAL!$C$5:$I$1115,5,0))</f>
        <v/>
      </c>
      <c r="C60" s="202" t="str">
        <f ca="1">IF($A60="","",VLOOKUP($A60,JOURNAL!$C$5:$I$1115,2,0))</f>
        <v/>
      </c>
      <c r="D60" s="201" t="str">
        <f ca="1">IF($A60="","",VLOOKUP($A60,JOURNAL!$C$5:$I$1115,4,0))</f>
        <v/>
      </c>
      <c r="E60" s="187" t="str">
        <f ca="1">IF($A60="","",VLOOKUP($A60,JOURNAL!$C$5:$I$1115,3,0))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">
      <c r="A61" s="200" t="str">
        <f t="shared" ca="1" si="1"/>
        <v/>
      </c>
      <c r="B61" s="201" t="str">
        <f ca="1">IF($A61="","",VLOOKUP($A61,JOURNAL!$C$5:$I$1115,5,0))</f>
        <v/>
      </c>
      <c r="C61" s="202" t="str">
        <f ca="1">IF($A61="","",VLOOKUP($A61,JOURNAL!$C$5:$I$1115,2,0))</f>
        <v/>
      </c>
      <c r="D61" s="201" t="str">
        <f ca="1">IF($A61="","",VLOOKUP($A61,JOURNAL!$C$5:$I$1115,4,0))</f>
        <v/>
      </c>
      <c r="E61" s="187" t="str">
        <f ca="1">IF($A61="","",VLOOKUP($A61,JOURNAL!$C$5:$I$1115,3,0))</f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">
      <c r="A62" s="200" t="str">
        <f t="shared" ca="1" si="1"/>
        <v/>
      </c>
      <c r="B62" s="201" t="str">
        <f ca="1">IF($A62="","",VLOOKUP($A62,JOURNAL!$C$5:$I$1115,5,0))</f>
        <v/>
      </c>
      <c r="C62" s="202" t="str">
        <f ca="1">IF($A62="","",VLOOKUP($A62,JOURNAL!$C$5:$I$1115,2,0))</f>
        <v/>
      </c>
      <c r="D62" s="201" t="str">
        <f ca="1">IF($A62="","",VLOOKUP($A62,JOURNAL!$C$5:$I$1115,4,0))</f>
        <v/>
      </c>
      <c r="E62" s="187" t="str">
        <f ca="1">IF($A62="","",VLOOKUP($A62,JOURNAL!$C$5:$I$1115,3,0))</f>
        <v/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">
      <c r="A63" s="200" t="str">
        <f t="shared" ca="1" si="1"/>
        <v/>
      </c>
      <c r="B63" s="201" t="str">
        <f ca="1">IF($A63="","",VLOOKUP($A63,JOURNAL!$C$5:$I$1115,5,0))</f>
        <v/>
      </c>
      <c r="C63" s="202" t="str">
        <f ca="1">IF($A63="","",VLOOKUP($A63,JOURNAL!$C$5:$I$1115,2,0))</f>
        <v/>
      </c>
      <c r="D63" s="201" t="str">
        <f ca="1">IF($A63="","",VLOOKUP($A63,JOURNAL!$C$5:$I$1115,4,0))</f>
        <v/>
      </c>
      <c r="E63" s="187" t="str">
        <f ca="1">IF($A63="","",VLOOKUP($A63,JOURNAL!$C$5:$I$1115,3,0))</f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">
      <c r="A64" s="200" t="str">
        <f t="shared" ca="1" si="1"/>
        <v/>
      </c>
      <c r="B64" s="201" t="str">
        <f ca="1">IF($A64="","",VLOOKUP($A64,JOURNAL!$C$5:$I$1115,5,0))</f>
        <v/>
      </c>
      <c r="C64" s="202" t="str">
        <f ca="1">IF($A64="","",VLOOKUP($A64,JOURNAL!$C$5:$I$1115,2,0))</f>
        <v/>
      </c>
      <c r="D64" s="201" t="str">
        <f ca="1">IF($A64="","",VLOOKUP($A64,JOURNAL!$C$5:$I$1115,4,0))</f>
        <v/>
      </c>
      <c r="E64" s="187" t="str">
        <f ca="1">IF($A64="","",VLOOKUP($A64,JOURNAL!$C$5:$I$1115,3,0))</f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">
      <c r="A65" s="200" t="str">
        <f t="shared" ca="1" si="1"/>
        <v/>
      </c>
      <c r="B65" s="201" t="str">
        <f ca="1">IF($A65="","",VLOOKUP($A65,JOURNAL!$C$5:$I$1115,5,0))</f>
        <v/>
      </c>
      <c r="C65" s="202" t="str">
        <f ca="1">IF($A65="","",VLOOKUP($A65,JOURNAL!$C$5:$I$1115,2,0))</f>
        <v/>
      </c>
      <c r="D65" s="201" t="str">
        <f ca="1">IF($A65="","",VLOOKUP($A65,JOURNAL!$C$5:$I$1115,4,0))</f>
        <v/>
      </c>
      <c r="E65" s="187" t="str">
        <f ca="1">IF($A65="","",VLOOKUP($A65,JOURNAL!$C$5:$I$1115,3,0))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">
      <c r="A66" s="200" t="str">
        <f t="shared" ca="1" si="1"/>
        <v/>
      </c>
      <c r="B66" s="201" t="str">
        <f ca="1">IF($A66="","",VLOOKUP($A66,JOURNAL!$C$5:$I$1115,5,0))</f>
        <v/>
      </c>
      <c r="C66" s="202" t="str">
        <f ca="1">IF($A66="","",VLOOKUP($A66,JOURNAL!$C$5:$I$1115,2,0))</f>
        <v/>
      </c>
      <c r="D66" s="201" t="str">
        <f ca="1">IF($A66="","",VLOOKUP($A66,JOURNAL!$C$5:$I$1115,4,0))</f>
        <v/>
      </c>
      <c r="E66" s="187" t="str">
        <f ca="1">IF($A66="","",VLOOKUP($A66,JOURNAL!$C$5:$I$1115,3,0))</f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">
      <c r="A67" s="200" t="str">
        <f t="shared" ca="1" si="1"/>
        <v/>
      </c>
      <c r="B67" s="201" t="str">
        <f ca="1">IF($A67="","",VLOOKUP($A67,JOURNAL!$C$5:$I$1115,5,0))</f>
        <v/>
      </c>
      <c r="C67" s="202" t="str">
        <f ca="1">IF($A67="","",VLOOKUP($A67,JOURNAL!$C$5:$I$1115,2,0))</f>
        <v/>
      </c>
      <c r="D67" s="201" t="str">
        <f ca="1">IF($A67="","",VLOOKUP($A67,JOURNAL!$C$5:$I$1115,4,0))</f>
        <v/>
      </c>
      <c r="E67" s="187" t="str">
        <f ca="1">IF($A67="","",VLOOKUP($A67,JOURNAL!$C$5:$I$1115,3,0))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">
      <c r="A68" s="200" t="str">
        <f t="shared" ca="1" si="1"/>
        <v/>
      </c>
      <c r="B68" s="201" t="str">
        <f ca="1">IF($A68="","",VLOOKUP($A68,JOURNAL!$C$5:$I$1115,5,0))</f>
        <v/>
      </c>
      <c r="C68" s="202" t="str">
        <f ca="1">IF($A68="","",VLOOKUP($A68,JOURNAL!$C$5:$I$1115,2,0))</f>
        <v/>
      </c>
      <c r="D68" s="201" t="str">
        <f ca="1">IF($A68="","",VLOOKUP($A68,JOURNAL!$C$5:$I$1115,4,0))</f>
        <v/>
      </c>
      <c r="E68" s="187" t="str">
        <f ca="1">IF($A68="","",VLOOKUP($A68,JOURNAL!$C$5:$I$1115,3,0))</f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">
      <c r="A69" s="200" t="str">
        <f t="shared" ca="1" si="1"/>
        <v/>
      </c>
      <c r="B69" s="201" t="str">
        <f ca="1">IF($A69="","",VLOOKUP($A69,JOURNAL!$C$5:$I$1115,5,0))</f>
        <v/>
      </c>
      <c r="C69" s="202" t="str">
        <f ca="1">IF($A69="","",VLOOKUP($A69,JOURNAL!$C$5:$I$1115,2,0))</f>
        <v/>
      </c>
      <c r="D69" s="201" t="str">
        <f ca="1">IF($A69="","",VLOOKUP($A69,JOURNAL!$C$5:$I$1115,4,0))</f>
        <v/>
      </c>
      <c r="E69" s="187" t="str">
        <f ca="1">IF($A69="","",VLOOKUP($A69,JOURNAL!$C$5:$I$1115,3,0))</f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">
      <c r="A70" s="200" t="str">
        <f t="shared" ca="1" si="1"/>
        <v/>
      </c>
      <c r="B70" s="201" t="str">
        <f ca="1">IF($A70="","",VLOOKUP($A70,JOURNAL!$C$5:$I$1115,5,0))</f>
        <v/>
      </c>
      <c r="C70" s="202" t="str">
        <f ca="1">IF($A70="","",VLOOKUP($A70,JOURNAL!$C$5:$I$1115,2,0))</f>
        <v/>
      </c>
      <c r="D70" s="201" t="str">
        <f ca="1">IF($A70="","",VLOOKUP($A70,JOURNAL!$C$5:$I$1115,4,0))</f>
        <v/>
      </c>
      <c r="E70" s="187" t="str">
        <f ca="1">IF($A70="","",VLOOKUP($A70,JOURNAL!$C$5:$I$1115,3,0))</f>
        <v/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">
      <c r="A71" s="200" t="str">
        <f t="shared" ca="1" si="1"/>
        <v/>
      </c>
      <c r="B71" s="201" t="str">
        <f ca="1">IF($A71="","",VLOOKUP($A71,JOURNAL!$C$5:$I$1115,5,0))</f>
        <v/>
      </c>
      <c r="C71" s="202" t="str">
        <f ca="1">IF($A71="","",VLOOKUP($A71,JOURNAL!$C$5:$I$1115,2,0))</f>
        <v/>
      </c>
      <c r="D71" s="201" t="str">
        <f ca="1">IF($A71="","",VLOOKUP($A71,JOURNAL!$C$5:$I$1115,4,0))</f>
        <v/>
      </c>
      <c r="E71" s="187" t="str">
        <f ca="1">IF($A71="","",VLOOKUP($A71,JOURNAL!$C$5:$I$1115,3,0))</f>
        <v/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">
      <c r="A72" s="200" t="str">
        <f t="shared" ca="1" si="1"/>
        <v/>
      </c>
      <c r="B72" s="201" t="str">
        <f ca="1">IF($A72="","",VLOOKUP($A72,JOURNAL!$C$5:$I$1115,5,0))</f>
        <v/>
      </c>
      <c r="C72" s="202" t="str">
        <f ca="1">IF($A72="","",VLOOKUP($A72,JOURNAL!$C$5:$I$1115,2,0))</f>
        <v/>
      </c>
      <c r="D72" s="201" t="str">
        <f ca="1">IF($A72="","",VLOOKUP($A72,JOURNAL!$C$5:$I$1115,4,0))</f>
        <v/>
      </c>
      <c r="E72" s="187" t="str">
        <f ca="1">IF($A72="","",VLOOKUP($A72,JOURNAL!$C$5:$I$1115,3,0))</f>
        <v/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">
      <c r="A73" s="200" t="str">
        <f t="shared" ca="1" si="1"/>
        <v/>
      </c>
      <c r="B73" s="201" t="str">
        <f ca="1">IF($A73="","",VLOOKUP($A73,JOURNAL!$C$5:$I$1115,5,0))</f>
        <v/>
      </c>
      <c r="C73" s="202" t="str">
        <f ca="1">IF($A73="","",VLOOKUP($A73,JOURNAL!$C$5:$I$1115,2,0))</f>
        <v/>
      </c>
      <c r="D73" s="201" t="str">
        <f ca="1">IF($A73="","",VLOOKUP($A73,JOURNAL!$C$5:$I$1115,4,0))</f>
        <v/>
      </c>
      <c r="E73" s="187" t="str">
        <f ca="1">IF($A73="","",VLOOKUP($A73,JOURNAL!$C$5:$I$1115,3,0))</f>
        <v/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">
      <c r="A74" s="200" t="str">
        <f t="array" aca="1" ref="A74" ca="1">IF(A73="","",IF(ISNA(VLOOKUP($A$1&amp;" / "&amp;$A$33,INDIRECT(ADDRESS(A73+5,2,1,,"JOURNAL")&amp;":G500"),2,0)),"",VLOOKUP($A$1&amp;" / "&amp;$A$33,INDIRECT(ADDRESS(A73+5,2,1,,"JOURNAL")&amp;":G500"),2,0)))</f>
        <v/>
      </c>
      <c r="B74" s="201" t="str">
        <f ca="1">IF($A74="","",VLOOKUP($A74,JOURNAL!$C$5:$I$1115,5,0))</f>
        <v/>
      </c>
      <c r="C74" s="202" t="str">
        <f ca="1">IF($A74="","",VLOOKUP($A74,JOURNAL!$C$5:$I$1115,2,0))</f>
        <v/>
      </c>
      <c r="D74" s="201" t="str">
        <f ca="1">IF($A74="","",VLOOKUP($A74,JOURNAL!$C$5:$I$1115,4,0))</f>
        <v/>
      </c>
      <c r="E74" s="187" t="str">
        <f ca="1">IF($A74="","",VLOOKUP($A74,JOURNAL!$C$5:$I$1115,3,0))</f>
        <v/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">
      <c r="A75" s="178" t="s">
        <v>16</v>
      </c>
      <c r="B75" s="179"/>
      <c r="C75" s="180"/>
      <c r="D75" s="181"/>
      <c r="E75" s="182">
        <f ca="1">SUM(E35:E74)</f>
        <v>1415</v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4.25" customHeight="1" x14ac:dyDescent="0.2">
      <c r="A76" s="204" t="s">
        <v>206</v>
      </c>
      <c r="B76" s="205"/>
      <c r="C76" s="206"/>
      <c r="D76" s="205"/>
      <c r="E76" s="20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">
      <c r="A77" s="156" t="s">
        <v>3</v>
      </c>
      <c r="B77" s="197" t="s">
        <v>7</v>
      </c>
      <c r="C77" s="198" t="s">
        <v>4</v>
      </c>
      <c r="D77" s="199" t="s">
        <v>6</v>
      </c>
      <c r="E77" s="160" t="s">
        <v>5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">
      <c r="A78" s="200" t="str">
        <f>IF(ISNA(VLOOKUP($A$1&amp;" / "&amp;$A$76,JOURNAL!$B$5:$I$1115,2,0)),"",VLOOKUP($A$1&amp;" / "&amp;$A$76,JOURNAL!$B$5:$I$1115,2,0))</f>
        <v/>
      </c>
      <c r="B78" s="201" t="str">
        <f>IF($A78="","",VLOOKUP($A78,JOURNAL!$C$5:$I$1115,5,0))</f>
        <v/>
      </c>
      <c r="C78" s="202" t="str">
        <f>IF($A78="","",VLOOKUP($A78,JOURNAL!$C$5:$I$1115,2,0))</f>
        <v/>
      </c>
      <c r="D78" s="201" t="str">
        <f>IF($A78="","",VLOOKUP($A78,JOURNAL!$C$5:$I$1115,4,0))</f>
        <v/>
      </c>
      <c r="E78" s="187" t="str">
        <f>IF($A78="","",VLOOKUP($A78,JOURNAL!$C$5:$I1115,3,0))</f>
        <v/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">
      <c r="A79" s="200" t="str">
        <f t="shared" ref="A79:A86" ca="1" si="2">IF(A78="","",IF(ISNA(VLOOKUP($A$1&amp;" / "&amp;$A$76,INDIRECT(ADDRESS(A78+5,2,1,,"JOURNAL")&amp;":G700"),2,0)),"",VLOOKUP($A$1&amp;" / "&amp;$A$76,INDIRECT(ADDRESS(A78+5,2,1,,"JOURNAL")&amp;":G700"),2,0)))</f>
        <v/>
      </c>
      <c r="B79" s="201" t="str">
        <f ca="1">IF($A79="","",VLOOKUP($A79,JOURNAL!$C$5:$I$1115,5,0))</f>
        <v/>
      </c>
      <c r="C79" s="202" t="str">
        <f ca="1">IF($A79="","",VLOOKUP($A79,JOURNAL!$C$5:$I$1115,2,0))</f>
        <v/>
      </c>
      <c r="D79" s="201" t="str">
        <f ca="1">IF($A79="","",VLOOKUP($A79,JOURNAL!$C$5:$I$1115,4,0))</f>
        <v/>
      </c>
      <c r="E79" s="187" t="str">
        <f ca="1">IF($A79="","",VLOOKUP($A79,JOURNAL!$C$5:$I$1115,3,0))</f>
        <v/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">
      <c r="A80" s="200" t="str">
        <f t="shared" ca="1" si="2"/>
        <v/>
      </c>
      <c r="B80" s="201" t="str">
        <f ca="1">IF($A80="","",VLOOKUP($A80,JOURNAL!$C$5:$I$1115,5,0))</f>
        <v/>
      </c>
      <c r="C80" s="202" t="str">
        <f ca="1">IF($A80="","",VLOOKUP($A80,JOURNAL!$C$5:$I$1115,2,0))</f>
        <v/>
      </c>
      <c r="D80" s="201" t="str">
        <f ca="1">IF($A80="","",VLOOKUP($A80,JOURNAL!$C$5:$I$1115,4,0))</f>
        <v/>
      </c>
      <c r="E80" s="187" t="str">
        <f ca="1">IF($A80="","",VLOOKUP($A80,JOURNAL!$C$5:$I$1115,3,0))</f>
        <v/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">
      <c r="A81" s="200" t="str">
        <f t="shared" ca="1" si="2"/>
        <v/>
      </c>
      <c r="B81" s="201" t="str">
        <f ca="1">IF($A81="","",VLOOKUP($A81,JOURNAL!$C$5:$I$1115,5,0))</f>
        <v/>
      </c>
      <c r="C81" s="202" t="str">
        <f ca="1">IF($A81="","",VLOOKUP($A81,JOURNAL!$C$5:$I$1115,2,0))</f>
        <v/>
      </c>
      <c r="D81" s="201" t="str">
        <f ca="1">IF($A81="","",VLOOKUP($A81,JOURNAL!$C$5:$I$1115,4,0))</f>
        <v/>
      </c>
      <c r="E81" s="187" t="str">
        <f ca="1">IF($A81="","",VLOOKUP($A81,JOURNAL!$C$5:$I$1115,3,0))</f>
        <v/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">
      <c r="A82" s="200" t="str">
        <f t="shared" ca="1" si="2"/>
        <v/>
      </c>
      <c r="B82" s="201" t="str">
        <f ca="1">IF($A82="","",VLOOKUP($A82,JOURNAL!$C$5:$I$1115,5,0))</f>
        <v/>
      </c>
      <c r="C82" s="202" t="str">
        <f ca="1">IF($A82="","",VLOOKUP($A82,JOURNAL!$C$5:$I$1115,2,0))</f>
        <v/>
      </c>
      <c r="D82" s="201" t="str">
        <f ca="1">IF($A82="","",VLOOKUP($A82,JOURNAL!$C$5:$I$1115,4,0))</f>
        <v/>
      </c>
      <c r="E82" s="187" t="str">
        <f ca="1">IF($A82="","",VLOOKUP($A82,JOURNAL!$C$5:$I$1115,3,0))</f>
        <v/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">
      <c r="A83" s="200" t="str">
        <f t="shared" ca="1" si="2"/>
        <v/>
      </c>
      <c r="B83" s="201" t="str">
        <f ca="1">IF($A83="","",VLOOKUP($A83,JOURNAL!$C$5:$I$1115,5,0))</f>
        <v/>
      </c>
      <c r="C83" s="202" t="str">
        <f ca="1">IF($A83="","",VLOOKUP($A83,JOURNAL!$C$5:$I$1115,2,0))</f>
        <v/>
      </c>
      <c r="D83" s="201" t="str">
        <f ca="1">IF($A83="","",VLOOKUP($A83,JOURNAL!$C$5:$I$1115,4,0))</f>
        <v/>
      </c>
      <c r="E83" s="187" t="str">
        <f ca="1">IF($A83="","",VLOOKUP($A83,JOURNAL!$C$5:$I$1115,3,0))</f>
        <v/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">
      <c r="A84" s="200" t="str">
        <f t="shared" ca="1" si="2"/>
        <v/>
      </c>
      <c r="B84" s="201" t="str">
        <f ca="1">IF($A84="","",VLOOKUP($A84,JOURNAL!$C$5:$I$1115,5,0))</f>
        <v/>
      </c>
      <c r="C84" s="202" t="str">
        <f ca="1">IF($A84="","",VLOOKUP($A84,JOURNAL!$C$5:$I$1115,2,0))</f>
        <v/>
      </c>
      <c r="D84" s="201" t="str">
        <f ca="1">IF($A84="","",VLOOKUP($A84,JOURNAL!$C$5:$I$1115,4,0))</f>
        <v/>
      </c>
      <c r="E84" s="187" t="str">
        <f ca="1">IF($A84="","",VLOOKUP($A84,JOURNAL!$C$5:$I$1115,3,0))</f>
        <v/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">
      <c r="A85" s="200" t="str">
        <f t="shared" ca="1" si="2"/>
        <v/>
      </c>
      <c r="B85" s="201" t="str">
        <f ca="1">IF($A85="","",VLOOKUP($A85,JOURNAL!$C$5:$I$1115,5,0))</f>
        <v/>
      </c>
      <c r="C85" s="202" t="str">
        <f ca="1">IF($A85="","",VLOOKUP($A85,JOURNAL!$C$5:$I$1115,2,0))</f>
        <v/>
      </c>
      <c r="D85" s="201" t="str">
        <f ca="1">IF($A85="","",VLOOKUP($A85,JOURNAL!$C$5:$I$1115,4,0))</f>
        <v/>
      </c>
      <c r="E85" s="187" t="str">
        <f ca="1">IF($A85="","",VLOOKUP($A85,JOURNAL!$C$5:$I$1115,3,0))</f>
        <v/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">
      <c r="A86" s="200" t="str">
        <f t="shared" ca="1" si="2"/>
        <v/>
      </c>
      <c r="B86" s="201" t="str">
        <f ca="1">IF($A86="","",VLOOKUP($A86,JOURNAL!$C$5:$I$1115,5,0))</f>
        <v/>
      </c>
      <c r="C86" s="202" t="str">
        <f ca="1">IF($A86="","",VLOOKUP($A86,JOURNAL!$C$5:$I$1115,2,0))</f>
        <v/>
      </c>
      <c r="D86" s="201" t="str">
        <f ca="1">IF($A86="","",VLOOKUP($A86,JOURNAL!$C$5:$I$1115,4,0))</f>
        <v/>
      </c>
      <c r="E86" s="187" t="str">
        <f ca="1">IF($A86="","",VLOOKUP($A86,JOURNAL!$C$5:$I$1115,3,0))</f>
        <v/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">
      <c r="A87" s="178" t="s">
        <v>16</v>
      </c>
      <c r="B87" s="179"/>
      <c r="C87" s="180"/>
      <c r="D87" s="181"/>
      <c r="E87" s="182">
        <f ca="1">SUM(E78:E86)</f>
        <v>0</v>
      </c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4.2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2">
      <c r="A257" s="51"/>
      <c r="B257" s="4"/>
      <c r="C257" s="149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2">
      <c r="A258" s="51"/>
      <c r="B258" s="4"/>
      <c r="C258" s="149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2">
      <c r="A259" s="51"/>
      <c r="B259" s="4"/>
      <c r="C259" s="149"/>
      <c r="D259" s="4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2">
      <c r="A260" s="51"/>
      <c r="B260" s="4"/>
      <c r="C260" s="149"/>
      <c r="D260" s="4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2">
      <c r="A261" s="51"/>
      <c r="B261" s="4"/>
      <c r="C261" s="149"/>
      <c r="D261" s="4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2">
      <c r="A262" s="51"/>
      <c r="B262" s="4"/>
      <c r="C262" s="149"/>
      <c r="D262" s="4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2">
      <c r="A263" s="51"/>
      <c r="B263" s="4"/>
      <c r="C263" s="149"/>
      <c r="D263" s="4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2">
      <c r="A264" s="51"/>
      <c r="B264" s="4"/>
      <c r="C264" s="149"/>
      <c r="D264" s="4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2">
      <c r="A265" s="51"/>
      <c r="B265" s="4"/>
      <c r="C265" s="149"/>
      <c r="D265" s="4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2">
      <c r="A266" s="51"/>
      <c r="B266" s="4"/>
      <c r="C266" s="149"/>
      <c r="D266" s="4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2">
      <c r="A267" s="51"/>
      <c r="B267" s="4"/>
      <c r="C267" s="149"/>
      <c r="D267" s="4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2">
      <c r="A268" s="51"/>
      <c r="B268" s="4"/>
      <c r="C268" s="149"/>
      <c r="D268" s="4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2">
      <c r="A269" s="51"/>
      <c r="B269" s="4"/>
      <c r="C269" s="149"/>
      <c r="D269" s="4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2">
      <c r="A270" s="51"/>
      <c r="B270" s="4"/>
      <c r="C270" s="149"/>
      <c r="D270" s="4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2">
      <c r="A271" s="51"/>
      <c r="B271" s="4"/>
      <c r="C271" s="149"/>
      <c r="D271" s="4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2">
      <c r="A272" s="51"/>
      <c r="B272" s="4"/>
      <c r="C272" s="149"/>
      <c r="D272" s="4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2">
      <c r="A273" s="51"/>
      <c r="B273" s="4"/>
      <c r="C273" s="149"/>
      <c r="D273" s="4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2">
      <c r="A274" s="51"/>
      <c r="B274" s="4"/>
      <c r="C274" s="149"/>
      <c r="D274" s="4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2">
      <c r="A275" s="51"/>
      <c r="B275" s="4"/>
      <c r="C275" s="149"/>
      <c r="D275" s="4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2">
      <c r="A276" s="51"/>
      <c r="B276" s="4"/>
      <c r="C276" s="149"/>
      <c r="D276" s="4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2">
      <c r="A277" s="51"/>
      <c r="B277" s="4"/>
      <c r="C277" s="149"/>
      <c r="D277" s="4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2">
      <c r="A278" s="51"/>
      <c r="B278" s="4"/>
      <c r="C278" s="149"/>
      <c r="D278" s="4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2">
      <c r="A279" s="51"/>
      <c r="B279" s="4"/>
      <c r="C279" s="149"/>
      <c r="D279" s="4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2">
      <c r="A280" s="51"/>
      <c r="B280" s="4"/>
      <c r="C280" s="149"/>
      <c r="D280" s="4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2">
      <c r="A281" s="51"/>
      <c r="B281" s="4"/>
      <c r="C281" s="149"/>
      <c r="D281" s="4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2">
      <c r="A282" s="51"/>
      <c r="B282" s="4"/>
      <c r="C282" s="149"/>
      <c r="D282" s="4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2">
      <c r="A283" s="51"/>
      <c r="B283" s="4"/>
      <c r="C283" s="149"/>
      <c r="D283" s="4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2">
      <c r="A284" s="51"/>
      <c r="B284" s="4"/>
      <c r="C284" s="149"/>
      <c r="D284" s="4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2">
      <c r="A285" s="51"/>
      <c r="B285" s="4"/>
      <c r="C285" s="149"/>
      <c r="D285" s="4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2">
      <c r="A286" s="51"/>
      <c r="B286" s="4"/>
      <c r="C286" s="149"/>
      <c r="D286" s="4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2">
      <c r="A287" s="51"/>
      <c r="B287" s="4"/>
      <c r="C287" s="149"/>
      <c r="D287" s="4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32:E32"/>
  </mergeCells>
  <dataValidations count="1">
    <dataValidation type="list" allowBlank="1" showErrorMessage="1" sqref="A6:A19 A23:A29" xr:uid="{00000000-0002-0000-0B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2015</oddHeader>
    <oddFooter>&amp;L&amp;F&amp;R&amp;D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31.1640625" customWidth="1"/>
    <col min="3" max="3" width="13.1640625" customWidth="1"/>
    <col min="4" max="4" width="15.5" customWidth="1"/>
    <col min="5" max="5" width="14" customWidth="1"/>
    <col min="6" max="8" width="9.1640625" hidden="1" customWidth="1"/>
    <col min="9" max="9" width="15.5" hidden="1" customWidth="1"/>
    <col min="10" max="26" width="9" customWidth="1"/>
  </cols>
  <sheetData>
    <row r="1" spans="1:26" ht="22" x14ac:dyDescent="0.25">
      <c r="A1" s="360" t="s">
        <v>344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17" t="s">
        <v>7</v>
      </c>
      <c r="C5" s="158"/>
      <c r="D5" s="159"/>
      <c r="E5" s="218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215" t="s">
        <v>58</v>
      </c>
      <c r="C6" s="189"/>
      <c r="D6" s="190"/>
      <c r="E6" s="216">
        <v>100</v>
      </c>
      <c r="F6" s="48" t="s">
        <v>261</v>
      </c>
      <c r="G6" s="4"/>
      <c r="H6" s="4"/>
      <c r="I6" s="48" t="s">
        <v>262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215"/>
      <c r="C7" s="189"/>
      <c r="D7" s="190"/>
      <c r="E7" s="216"/>
      <c r="F7" s="4"/>
      <c r="G7" s="4"/>
      <c r="H7" s="4"/>
      <c r="I7" s="4"/>
      <c r="J7" s="48"/>
      <c r="K7" s="48"/>
      <c r="L7" s="4"/>
      <c r="M7" s="4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215"/>
      <c r="C8" s="189"/>
      <c r="D8" s="215"/>
      <c r="E8" s="2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215"/>
      <c r="C9" s="189"/>
      <c r="D9" s="215"/>
      <c r="E9" s="21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215"/>
      <c r="C10" s="189"/>
      <c r="D10" s="215"/>
      <c r="E10" s="2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215"/>
      <c r="C11" s="189"/>
      <c r="D11" s="215"/>
      <c r="E11" s="21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188"/>
      <c r="C12" s="189"/>
      <c r="D12" s="190"/>
      <c r="E12" s="2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61"/>
      <c r="B13" s="188"/>
      <c r="C13" s="189"/>
      <c r="D13" s="190"/>
      <c r="E13" s="2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61"/>
      <c r="B14" s="188"/>
      <c r="C14" s="189"/>
      <c r="D14" s="190"/>
      <c r="E14" s="2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78" t="s">
        <v>16</v>
      </c>
      <c r="B15" s="179"/>
      <c r="C15" s="180"/>
      <c r="D15" s="181"/>
      <c r="E15" s="182">
        <f>SUM(E6:E14)</f>
        <v>100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83" t="s">
        <v>206</v>
      </c>
      <c r="B16" s="184"/>
      <c r="C16" s="185"/>
      <c r="D16" s="184"/>
      <c r="E16" s="18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56" t="s">
        <v>218</v>
      </c>
      <c r="B17" s="208" t="s">
        <v>7</v>
      </c>
      <c r="C17" s="158"/>
      <c r="D17" s="159"/>
      <c r="E17" s="160" t="s">
        <v>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188"/>
      <c r="C18" s="189"/>
      <c r="D18" s="190"/>
      <c r="E18" s="18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188"/>
      <c r="C19" s="189"/>
      <c r="D19" s="190"/>
      <c r="E19" s="18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188"/>
      <c r="C20" s="189"/>
      <c r="D20" s="190"/>
      <c r="E20" s="18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188"/>
      <c r="C21" s="189"/>
      <c r="D21" s="190"/>
      <c r="E21" s="18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61"/>
      <c r="B22" s="188"/>
      <c r="C22" s="189"/>
      <c r="D22" s="190"/>
      <c r="E22" s="18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61"/>
      <c r="B23" s="188"/>
      <c r="C23" s="189"/>
      <c r="D23" s="190"/>
      <c r="E23" s="18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61"/>
      <c r="B24" s="188"/>
      <c r="C24" s="189"/>
      <c r="D24" s="190"/>
      <c r="E24" s="18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78" t="s">
        <v>16</v>
      </c>
      <c r="B25" s="179"/>
      <c r="C25" s="180"/>
      <c r="D25" s="181"/>
      <c r="E25" s="182">
        <f>SUM(E18:E24)</f>
        <v>0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6.5" customHeight="1" x14ac:dyDescent="0.2">
      <c r="A26" s="51"/>
      <c r="B26" s="4"/>
      <c r="C26" s="149"/>
      <c r="D26" s="4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customHeight="1" x14ac:dyDescent="0.2">
      <c r="A27" s="377" t="s">
        <v>204</v>
      </c>
      <c r="B27" s="375"/>
      <c r="C27" s="375"/>
      <c r="D27" s="375"/>
      <c r="E27" s="37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93" t="s">
        <v>205</v>
      </c>
      <c r="B28" s="194"/>
      <c r="C28" s="195"/>
      <c r="D28" s="194"/>
      <c r="E28" s="19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156" t="s">
        <v>3</v>
      </c>
      <c r="B29" s="197" t="s">
        <v>7</v>
      </c>
      <c r="C29" s="198" t="s">
        <v>4</v>
      </c>
      <c r="D29" s="199" t="s">
        <v>6</v>
      </c>
      <c r="E29" s="160" t="s">
        <v>5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 t="str">
        <f>IF(ISNA(VLOOKUP($A$1&amp;" / "&amp;$A$28,JOURNAL!$B$5:$I$1115,2,0)),"",VLOOKUP($A$1&amp;" / "&amp;$A$28,JOURNAL!$B$5:$I$1115,2,0))</f>
        <v/>
      </c>
      <c r="B30" s="201" t="str">
        <f>IF($A30="","",VLOOKUP($A30,JOURNAL!$C$5:$I$1115,5,0))</f>
        <v/>
      </c>
      <c r="C30" s="202" t="str">
        <f>IF($A30="","",VLOOKUP($A30,JOURNAL!$C$5:$I$1115,2,0))</f>
        <v/>
      </c>
      <c r="D30" s="201" t="str">
        <f>IF($A30="","",VLOOKUP($A30,JOURNAL!$C$5:$I$1115,4,0))</f>
        <v/>
      </c>
      <c r="E30" s="187" t="str">
        <f>IF($A30="","",VLOOKUP($A30,JOURNAL!$C$5:$I$1115,3,0))</f>
        <v/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 t="str">
        <f t="shared" ref="A31:A43" ca="1" si="0">IF(A30="","",IF(ISNA(VLOOKUP($A$1&amp;" / "&amp;$A$28,INDIRECT(ADDRESS(A30+5,2,1,,"JOURNAL")&amp;":G700"),2,0)),"",VLOOKUP($A$1&amp;" / "&amp;$A$28,INDIRECT(ADDRESS(A30+5,2,1,,"JOURNAL")&amp;":G700"),2,0)))</f>
        <v/>
      </c>
      <c r="B31" s="201" t="str">
        <f ca="1">IF($A31="","",VLOOKUP($A31,JOURNAL!$C$5:$I$1115,5,0))</f>
        <v/>
      </c>
      <c r="C31" s="202" t="str">
        <f ca="1">IF($A31="","",VLOOKUP($A31,JOURNAL!$C$5:$I$1115,2,0))</f>
        <v/>
      </c>
      <c r="D31" s="201" t="str">
        <f ca="1">IF($A31="","",VLOOKUP($A31,JOURNAL!$C$5:$I$1115,4,0))</f>
        <v/>
      </c>
      <c r="E31" s="187" t="str">
        <f ca="1">IF($A31="","",VLOOKUP($A31,JOURNAL!$C$5:$I$1115,3,0))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 t="str">
        <f t="shared" ca="1" si="0"/>
        <v/>
      </c>
      <c r="B32" s="201" t="str">
        <f ca="1">IF($A32="","",VLOOKUP($A32,JOURNAL!$C$5:$I$1115,5,0))</f>
        <v/>
      </c>
      <c r="C32" s="202" t="str">
        <f ca="1">IF($A32="","",VLOOKUP($A32,JOURNAL!$C$5:$I$1115,2,0))</f>
        <v/>
      </c>
      <c r="D32" s="201" t="str">
        <f ca="1">IF($A32="","",VLOOKUP($A32,JOURNAL!$C$5:$I$1115,4,0))</f>
        <v/>
      </c>
      <c r="E32" s="187" t="str">
        <f ca="1">IF($A32="","",VLOOKUP($A32,JOURNAL!$C$5:$I$1115,3,0))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t="shared" ca="1" si="0"/>
        <v/>
      </c>
      <c r="B33" s="201" t="str">
        <f ca="1">IF($A33="","",VLOOKUP($A33,JOURNAL!$C$5:$I$1115,5,0))</f>
        <v/>
      </c>
      <c r="C33" s="202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shared" ca="1" si="0"/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t="shared" ca="1" si="0"/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ca="1">IF(A43="","",IF(ISNA(VLOOKUP($A$1&amp;" / "&amp;$A$28,INDIRECT(ADDRESS(A43+5,2,1,,"JOURNAL")&amp;":G500"),2,0)),"",VLOOKUP($A$1&amp;" / "&amp;$A$28,INDIRECT(ADDRESS(A43+5,2,1,,"JOURNAL")&amp;":G500"),2,0)))</f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ca="1">IF(A44="","",IF(ISNA(VLOOKUP($A$1&amp;" / "&amp;$A$28,INDIRECT(ADDRESS(A44+5,2,1,,"JOURNAL")&amp;":G500"),2,0)),"",VLOOKUP($A$1&amp;" / "&amp;$A$28,INDIRECT(ADDRESS(A44+5,2,1,,"JOURNAL")&amp;":G500"),2,0)))</f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178" t="s">
        <v>16</v>
      </c>
      <c r="B46" s="179"/>
      <c r="C46" s="180"/>
      <c r="D46" s="181"/>
      <c r="E46" s="182">
        <f ca="1">SUM(E30:E45)</f>
        <v>0</v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6.5" customHeight="1" x14ac:dyDescent="0.2">
      <c r="A47" s="204" t="s">
        <v>206</v>
      </c>
      <c r="B47" s="205"/>
      <c r="C47" s="206"/>
      <c r="D47" s="205"/>
      <c r="E47" s="20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156" t="s">
        <v>3</v>
      </c>
      <c r="B48" s="197" t="s">
        <v>7</v>
      </c>
      <c r="C48" s="198" t="s">
        <v>4</v>
      </c>
      <c r="D48" s="199" t="s">
        <v>6</v>
      </c>
      <c r="E48" s="160" t="s">
        <v>5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 t="str">
        <f>IF(ISNA(VLOOKUP($A$1&amp;" / "&amp;$A$47,JOURNAL!$B$5:$I$1115,2,0)),"",VLOOKUP($A$1&amp;" / "&amp;$A$47,JOURNAL!$B$5:$I$1115,2,0))</f>
        <v/>
      </c>
      <c r="B49" s="201" t="str">
        <f>IF($A49="","",VLOOKUP($A49,JOURNAL!$C$5:$I$1115,5,0))</f>
        <v/>
      </c>
      <c r="C49" s="202" t="str">
        <f>IF($A49="","",VLOOKUP($A49,JOURNAL!$C$5:$I$1115,2,0))</f>
        <v/>
      </c>
      <c r="D49" s="201" t="str">
        <f>IF($A49="","",VLOOKUP($A49,JOURNAL!$C$5:$I$1115,4,0))</f>
        <v/>
      </c>
      <c r="E49" s="187" t="str">
        <f>IF($A49="","",VLOOKUP($A49,JOURNAL!$C$5:$I$1115,3,0))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 t="str">
        <f t="shared" ref="A50:A55" ca="1" si="1">IF(A49="","",IF(ISNA(VLOOKUP($A$1&amp;" / "&amp;$A$47,INDIRECT(ADDRESS(A49+5,2,1,,"JOURNAL")&amp;":G700"),2,0)),"",VLOOKUP($A$1&amp;" / "&amp;$A$47,INDIRECT(ADDRESS(A49+5,2,1,,"JOURNAL")&amp;":G700"),2,0)))</f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 t="str">
        <f t="shared" ca="1" si="1"/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 t="str">
        <f t="shared" ca="1" si="1"/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 t="str">
        <f t="shared" ca="1" si="1"/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t="shared" ca="1" si="1"/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 t="shared" ca="1" si="1"/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178" t="s">
        <v>16</v>
      </c>
      <c r="B56" s="179"/>
      <c r="C56" s="180"/>
      <c r="D56" s="181"/>
      <c r="E56" s="182">
        <f ca="1">SUM(E49:E55)</f>
        <v>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6.5" customHeight="1" x14ac:dyDescent="0.2">
      <c r="A57" s="51"/>
      <c r="B57" s="4"/>
      <c r="C57" s="149"/>
      <c r="D57" s="4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51"/>
      <c r="B58" s="4"/>
      <c r="C58" s="149"/>
      <c r="D58" s="4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51"/>
      <c r="B59" s="4"/>
      <c r="C59" s="149"/>
      <c r="D59" s="4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51"/>
      <c r="B60" s="4"/>
      <c r="C60" s="149"/>
      <c r="D60" s="4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51"/>
      <c r="B61" s="4"/>
      <c r="C61" s="149"/>
      <c r="D61" s="4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51"/>
      <c r="B62" s="4"/>
      <c r="C62" s="149"/>
      <c r="D62" s="4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51"/>
      <c r="B63" s="4"/>
      <c r="C63" s="149"/>
      <c r="D63" s="4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51"/>
      <c r="B64" s="4"/>
      <c r="C64" s="149"/>
      <c r="D64" s="4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51"/>
      <c r="B65" s="4"/>
      <c r="C65" s="149"/>
      <c r="D65" s="4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51"/>
      <c r="B66" s="4"/>
      <c r="C66" s="149"/>
      <c r="D66" s="4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51"/>
      <c r="B67" s="4"/>
      <c r="C67" s="149"/>
      <c r="D67" s="4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51"/>
      <c r="B68" s="4"/>
      <c r="C68" s="149"/>
      <c r="D68" s="4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51"/>
      <c r="B69" s="4"/>
      <c r="C69" s="149"/>
      <c r="D69" s="4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51"/>
      <c r="B70" s="4"/>
      <c r="C70" s="149"/>
      <c r="D70" s="4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51"/>
      <c r="B71" s="4"/>
      <c r="C71" s="149"/>
      <c r="D71" s="4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51"/>
      <c r="B72" s="4"/>
      <c r="C72" s="149"/>
      <c r="D72" s="4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51"/>
      <c r="B73" s="4"/>
      <c r="C73" s="149"/>
      <c r="D73" s="4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51"/>
      <c r="B74" s="4"/>
      <c r="C74" s="149"/>
      <c r="D74" s="4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51"/>
      <c r="B75" s="4"/>
      <c r="C75" s="149"/>
      <c r="D75" s="4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51"/>
      <c r="B76" s="4"/>
      <c r="C76" s="149"/>
      <c r="D76" s="4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51"/>
      <c r="B77" s="4"/>
      <c r="C77" s="149"/>
      <c r="D77" s="4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51"/>
      <c r="B78" s="4"/>
      <c r="C78" s="149"/>
      <c r="D78" s="4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51"/>
      <c r="B79" s="4"/>
      <c r="C79" s="149"/>
      <c r="D79" s="4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51"/>
      <c r="B80" s="4"/>
      <c r="C80" s="149"/>
      <c r="D80" s="4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51"/>
      <c r="B81" s="4"/>
      <c r="C81" s="149"/>
      <c r="D81" s="4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51"/>
      <c r="B82" s="4"/>
      <c r="C82" s="149"/>
      <c r="D82" s="4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51"/>
      <c r="B83" s="4"/>
      <c r="C83" s="149"/>
      <c r="D83" s="4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51"/>
      <c r="B84" s="4"/>
      <c r="C84" s="149"/>
      <c r="D84" s="4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51"/>
      <c r="B85" s="4"/>
      <c r="C85" s="149"/>
      <c r="D85" s="4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51"/>
      <c r="B86" s="4"/>
      <c r="C86" s="149"/>
      <c r="D86" s="4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51"/>
      <c r="B87" s="4"/>
      <c r="C87" s="149"/>
      <c r="D87" s="4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7:E27"/>
  </mergeCells>
  <dataValidations count="1">
    <dataValidation type="list" allowBlank="1" showErrorMessage="1" sqref="A6:A14 A18:A24" xr:uid="{00000000-0002-0000-0C00-000000000000}">
      <formula1>"Janvier,Fevrier,Mars,Avril,Mai,Juin,Juillet,Août,Octobre,Novembre,Décembre"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73.5" customWidth="1"/>
    <col min="3" max="3" width="10.33203125" customWidth="1"/>
    <col min="4" max="4" width="16.1640625" customWidth="1"/>
    <col min="5" max="5" width="16.33203125" customWidth="1"/>
    <col min="6" max="6" width="5.33203125" customWidth="1"/>
    <col min="7" max="7" width="25.33203125" customWidth="1"/>
    <col min="8" max="8" width="9.1640625" hidden="1" customWidth="1"/>
    <col min="9" max="9" width="7.6640625" customWidth="1"/>
    <col min="10" max="11" width="10.33203125" customWidth="1"/>
    <col min="12" max="26" width="9" customWidth="1"/>
  </cols>
  <sheetData>
    <row r="1" spans="1:26" ht="22" x14ac:dyDescent="0.25">
      <c r="A1" s="360" t="s">
        <v>345</v>
      </c>
      <c r="B1" s="361"/>
      <c r="C1" s="361"/>
      <c r="D1" s="361"/>
      <c r="E1" s="362"/>
      <c r="F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374" t="s">
        <v>203</v>
      </c>
      <c r="B3" s="375"/>
      <c r="C3" s="375"/>
      <c r="D3" s="375"/>
      <c r="E3" s="376"/>
      <c r="F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17" t="s">
        <v>7</v>
      </c>
      <c r="C5" s="158"/>
      <c r="D5" s="159"/>
      <c r="E5" s="160" t="s">
        <v>5</v>
      </c>
      <c r="F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215" t="s">
        <v>346</v>
      </c>
      <c r="C6" s="295"/>
      <c r="D6" s="296"/>
      <c r="E6" s="297">
        <v>10500</v>
      </c>
      <c r="F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215" t="s">
        <v>347</v>
      </c>
      <c r="C7" s="189"/>
      <c r="D7" s="190"/>
      <c r="E7" s="187">
        <v>2000</v>
      </c>
      <c r="F7" s="4"/>
      <c r="G7" s="298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215" t="s">
        <v>348</v>
      </c>
      <c r="C8" s="189"/>
      <c r="D8" s="190"/>
      <c r="E8" s="187">
        <v>2750</v>
      </c>
      <c r="F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215" t="s">
        <v>349</v>
      </c>
      <c r="C9" s="189"/>
      <c r="D9" s="190"/>
      <c r="E9" s="187">
        <v>1500</v>
      </c>
      <c r="F9" s="4"/>
      <c r="G9" s="2" t="s">
        <v>350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215"/>
      <c r="C10" s="189"/>
      <c r="D10" s="190"/>
      <c r="E10" s="187"/>
      <c r="F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215"/>
      <c r="C11" s="189"/>
      <c r="D11" s="190"/>
      <c r="E11" s="187"/>
      <c r="F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215"/>
      <c r="C12" s="189"/>
      <c r="D12" s="190"/>
      <c r="E12" s="187"/>
      <c r="F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78" t="s">
        <v>16</v>
      </c>
      <c r="B13" s="179"/>
      <c r="C13" s="180"/>
      <c r="D13" s="181"/>
      <c r="E13" s="182">
        <f>SUM(E6:E12)</f>
        <v>16750</v>
      </c>
      <c r="F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83" t="s">
        <v>206</v>
      </c>
      <c r="B14" s="184"/>
      <c r="C14" s="185"/>
      <c r="D14" s="184"/>
      <c r="E14" s="186"/>
      <c r="F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56" t="s">
        <v>218</v>
      </c>
      <c r="B15" s="208" t="s">
        <v>7</v>
      </c>
      <c r="C15" s="158"/>
      <c r="D15" s="159"/>
      <c r="E15" s="160" t="s">
        <v>5</v>
      </c>
      <c r="F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61"/>
      <c r="B16" s="188" t="s">
        <v>351</v>
      </c>
      <c r="C16" s="299"/>
      <c r="D16" s="190"/>
      <c r="E16" s="187">
        <v>26500</v>
      </c>
      <c r="F16" s="4"/>
      <c r="G16" s="2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61"/>
      <c r="B17" s="188" t="s">
        <v>352</v>
      </c>
      <c r="C17" s="189"/>
      <c r="D17" s="190"/>
      <c r="E17" s="246">
        <v>2400</v>
      </c>
      <c r="F17" s="4"/>
      <c r="G17" s="2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188" t="s">
        <v>353</v>
      </c>
      <c r="C18" s="189"/>
      <c r="D18" s="190"/>
      <c r="E18" s="187">
        <v>1500</v>
      </c>
      <c r="F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188" t="s">
        <v>353</v>
      </c>
      <c r="C19" s="189"/>
      <c r="D19" s="190"/>
      <c r="E19" s="187"/>
      <c r="F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188"/>
      <c r="C20" s="189"/>
      <c r="D20" s="190"/>
      <c r="E20" s="187"/>
      <c r="F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188"/>
      <c r="C21" s="189"/>
      <c r="D21" s="190"/>
      <c r="E21" s="187"/>
      <c r="F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78" t="s">
        <v>16</v>
      </c>
      <c r="B22" s="179"/>
      <c r="C22" s="180"/>
      <c r="D22" s="181"/>
      <c r="E22" s="182">
        <f>SUM(E16:E21)</f>
        <v>30400</v>
      </c>
      <c r="F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6.5" customHeight="1" x14ac:dyDescent="0.2">
      <c r="A23" s="51"/>
      <c r="B23" s="4"/>
      <c r="C23" s="149"/>
      <c r="D23" s="4"/>
      <c r="E23" s="7"/>
      <c r="F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377" t="s">
        <v>204</v>
      </c>
      <c r="B24" s="375"/>
      <c r="C24" s="375"/>
      <c r="D24" s="375"/>
      <c r="E24" s="376"/>
      <c r="F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93" t="s">
        <v>205</v>
      </c>
      <c r="B25" s="194"/>
      <c r="C25" s="195"/>
      <c r="D25" s="194"/>
      <c r="E25" s="196"/>
      <c r="F25" s="4"/>
      <c r="G25" s="4"/>
      <c r="H25" s="4"/>
      <c r="I25" s="4"/>
      <c r="J25" s="4"/>
      <c r="K25" s="4"/>
      <c r="L25" s="4"/>
      <c r="M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156" t="s">
        <v>3</v>
      </c>
      <c r="B26" s="197" t="s">
        <v>7</v>
      </c>
      <c r="C26" s="198" t="s">
        <v>4</v>
      </c>
      <c r="D26" s="199" t="s">
        <v>6</v>
      </c>
      <c r="E26" s="160" t="s">
        <v>5</v>
      </c>
      <c r="F26" s="4"/>
      <c r="G26" s="4"/>
      <c r="H26" s="4"/>
      <c r="I26" s="4"/>
      <c r="J26" s="4"/>
      <c r="K26" s="4"/>
      <c r="L26" s="4"/>
      <c r="M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200" t="str">
        <f>IF(ISNA(VLOOKUP($A$1&amp;" / "&amp;$A$25,JOURNAL!$B$5:$I$1115,2,0)),"",VLOOKUP($A$1&amp;" / "&amp;$A$25,JOURNAL!$B$5:$I$1115,2,0))</f>
        <v/>
      </c>
      <c r="B27" s="201" t="str">
        <f>IF($A27="","",VLOOKUP($A27,JOURNAL!$C$5:$I$1115,5,0))</f>
        <v/>
      </c>
      <c r="C27" s="202" t="str">
        <f>IF($A27="","",VLOOKUP($A27,JOURNAL!$C$5:$I$1115,2,0))</f>
        <v/>
      </c>
      <c r="D27" s="201" t="str">
        <f>IF($A27="","",VLOOKUP($A27,JOURNAL!$C$5:$I$1115,4,0))</f>
        <v/>
      </c>
      <c r="E27" s="187" t="str">
        <f>IF($A27="","",VLOOKUP($A27,JOURNAL!$C$5:$I$1115,3,0))</f>
        <v/>
      </c>
      <c r="F27" s="4"/>
      <c r="G27" s="4"/>
      <c r="H27" s="4"/>
      <c r="I27" s="4"/>
      <c r="J27" s="4"/>
      <c r="K27" s="4"/>
      <c r="L27" s="4"/>
      <c r="M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200" t="str">
        <f t="shared" ref="A28:A47" ca="1" si="0">IF(A27="","",IF(ISNA(VLOOKUP($A$1&amp;" / "&amp;$A$25,INDIRECT(ADDRESS(A27+5,2,1,,"JOURNAL")&amp;":G500"),2,0)),"",VLOOKUP($A$1&amp;" / "&amp;$A$25,INDIRECT(ADDRESS(A27+5,2,1,,"JOURNAL")&amp;":G500"),2,0)))</f>
        <v/>
      </c>
      <c r="B28" s="201" t="str">
        <f ca="1">IF($A28="","",VLOOKUP($A28,JOURNAL!$C$5:$I$1115,5,0))</f>
        <v/>
      </c>
      <c r="C28" s="202" t="str">
        <f ca="1">IF($A28="","",VLOOKUP($A28,JOURNAL!$C$5:$I$1115,2,0))</f>
        <v/>
      </c>
      <c r="D28" s="201" t="str">
        <f ca="1">IF($A28="","",VLOOKUP($A28,JOURNAL!$C$5:$I$1115,4,0))</f>
        <v/>
      </c>
      <c r="E28" s="187" t="str">
        <f ca="1">IF($A28="","",VLOOKUP($A28,JOURNAL!$C$5:$I$1115,3,0))</f>
        <v/>
      </c>
      <c r="F28" s="4"/>
      <c r="G28" s="48"/>
      <c r="H28" s="4"/>
      <c r="I28" s="4"/>
      <c r="J28" s="4"/>
      <c r="K28" s="4"/>
      <c r="L28" s="4"/>
      <c r="M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200" t="str">
        <f t="shared" ca="1" si="0"/>
        <v/>
      </c>
      <c r="B29" s="201" t="str">
        <f ca="1">IF($A29="","",VLOOKUP($A29,JOURNAL!$C$5:$I$1115,5,0))</f>
        <v/>
      </c>
      <c r="C29" s="202" t="str">
        <f ca="1">IF($A29="","",VLOOKUP($A29,JOURNAL!$C$5:$I$1115,2,0))</f>
        <v/>
      </c>
      <c r="D29" s="201" t="str">
        <f ca="1">IF($A29="","",VLOOKUP($A29,JOURNAL!$C$5:$I$1115,4,0))</f>
        <v/>
      </c>
      <c r="E29" s="187" t="str">
        <f ca="1">IF($A29="","",VLOOKUP($A29,JOURNAL!$C$5:$I$1115,3,0))</f>
        <v/>
      </c>
      <c r="F29" s="4"/>
      <c r="G29" s="4"/>
      <c r="H29" s="4"/>
      <c r="I29" s="4"/>
      <c r="J29" s="4"/>
      <c r="K29" s="4"/>
      <c r="L29" s="4"/>
      <c r="M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 t="str">
        <f t="shared" ca="1" si="0"/>
        <v/>
      </c>
      <c r="B30" s="201" t="str">
        <f ca="1">IF($A30="","",VLOOKUP($A30,JOURNAL!$C$5:$I$1115,5,0))</f>
        <v/>
      </c>
      <c r="C30" s="202" t="str">
        <f ca="1">IF($A30="","",VLOOKUP($A30,JOURNAL!$C$5:$I$1115,2,0))</f>
        <v/>
      </c>
      <c r="D30" s="201" t="str">
        <f ca="1">IF($A30="","",VLOOKUP($A30,JOURNAL!$C$5:$I$1115,4,0))</f>
        <v/>
      </c>
      <c r="E30" s="187" t="str">
        <f ca="1">IF($A30="","",VLOOKUP($A30,JOURNAL!$C$5:$I$1115,3,0))</f>
        <v/>
      </c>
      <c r="F30" s="4"/>
      <c r="G30" s="48"/>
      <c r="H30" s="4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 t="str">
        <f t="shared" ca="1" si="0"/>
        <v/>
      </c>
      <c r="B31" s="201" t="str">
        <f ca="1">IF($A31="","",VLOOKUP($A31,JOURNAL!$C$5:$I$1115,5,0))</f>
        <v/>
      </c>
      <c r="C31" s="202" t="str">
        <f ca="1">IF($A31="","",VLOOKUP($A31,JOURNAL!$C$5:$I$1115,2,0))</f>
        <v/>
      </c>
      <c r="D31" s="201" t="str">
        <f ca="1">IF($A31="","",VLOOKUP($A31,JOURNAL!$C$5:$I$1115,4,0))</f>
        <v/>
      </c>
      <c r="E31" s="187" t="str">
        <f ca="1">IF($A31="","",VLOOKUP($A31,JOURNAL!$C$5:$I$1115,3,0))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 t="str">
        <f t="shared" ca="1" si="0"/>
        <v/>
      </c>
      <c r="B32" s="201" t="str">
        <f ca="1">IF($A32="","",VLOOKUP($A32,JOURNAL!$C$5:$I$1115,5,0))</f>
        <v/>
      </c>
      <c r="C32" s="202" t="str">
        <f ca="1">IF($A32="","",VLOOKUP($A32,JOURNAL!$C$5:$I$1115,2,0))</f>
        <v/>
      </c>
      <c r="D32" s="201" t="str">
        <f ca="1">IF($A32="","",VLOOKUP($A32,JOURNAL!$C$5:$I$1115,4,0))</f>
        <v/>
      </c>
      <c r="E32" s="187" t="str">
        <f ca="1">IF($A32="","",VLOOKUP($A32,JOURNAL!$C$5:$I$1115,3,0))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t="shared" ca="1" si="0"/>
        <v/>
      </c>
      <c r="B33" s="201" t="str">
        <f ca="1">IF($A33="","",VLOOKUP($A33,JOURNAL!$C$5:$I$1115,5,0))</f>
        <v/>
      </c>
      <c r="C33" s="202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shared" ca="1" si="0"/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t="shared" ca="1" si="0"/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t="shared" ca="1" si="0"/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6.5" customHeight="1" x14ac:dyDescent="0.2">
      <c r="A46" s="200" t="str">
        <f t="shared" ca="1" si="0"/>
        <v/>
      </c>
      <c r="B46" s="201" t="str">
        <f ca="1">IF($A46="","",VLOOKUP($A46,JOURNAL!$C$5:$I$1115,5,0))</f>
        <v/>
      </c>
      <c r="C46" s="202" t="str">
        <f ca="1">IF($A46="","",VLOOKUP($A46,JOURNAL!$C$5:$I$1115,2,0))</f>
        <v/>
      </c>
      <c r="D46" s="201" t="str">
        <f ca="1">IF($A46="","",VLOOKUP($A46,JOURNAL!$C$5:$I$1115,4,0))</f>
        <v/>
      </c>
      <c r="E46" s="187" t="str">
        <f ca="1">IF($A46="","",VLOOKUP($A46,JOURNAL!$C$5:$I$1115,3,0))</f>
        <v/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6.5" customHeight="1" x14ac:dyDescent="0.2">
      <c r="A47" s="200" t="str">
        <f t="shared" ca="1" si="0"/>
        <v/>
      </c>
      <c r="B47" s="201" t="str">
        <f ca="1">IF($A47="","",VLOOKUP($A47,JOURNAL!$C$5:$I$1115,5,0))</f>
        <v/>
      </c>
      <c r="C47" s="202" t="str">
        <f ca="1">IF($A47="","",VLOOKUP($A47,JOURNAL!$C$5:$I$1115,2,0))</f>
        <v/>
      </c>
      <c r="D47" s="201" t="str">
        <f ca="1">IF($A47="","",VLOOKUP($A47,JOURNAL!$C$5:$I$1115,4,0))</f>
        <v/>
      </c>
      <c r="E47" s="187" t="str">
        <f ca="1">IF($A47="","",VLOOKUP($A47,JOURNAL!$C$5:$I$1115,3,0))</f>
        <v/>
      </c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6.5" customHeight="1" x14ac:dyDescent="0.2">
      <c r="A48" s="200" t="str">
        <f t="shared" ref="A48:A106" ca="1" si="1">IF(A47="","",IF(ISNA(VLOOKUP($A$1&amp;" / "&amp;$A$25,INDIRECT(ADDRESS(A47+5,2,1,,"JOURNAL")&amp;":G700"),2,0)),"",VLOOKUP($A$1&amp;" / "&amp;$A$25,INDIRECT(ADDRESS(A47+5,2,1,,"JOURNAL")&amp;":G700"),2,0)))</f>
        <v/>
      </c>
      <c r="B48" s="201" t="str">
        <f ca="1">IF($A48="","",VLOOKUP($A48,JOURNAL!$C$5:$I$1115,5,0))</f>
        <v/>
      </c>
      <c r="C48" s="202" t="str">
        <f ca="1">IF($A48="","",VLOOKUP($A48,JOURNAL!$C$5:$I$1115,2,0))</f>
        <v/>
      </c>
      <c r="D48" s="201" t="str">
        <f ca="1">IF($A48="","",VLOOKUP($A48,JOURNAL!$C$5:$I$1115,4,0))</f>
        <v/>
      </c>
      <c r="E48" s="187" t="str">
        <f ca="1">IF($A48="","",VLOOKUP($A48,JOURNAL!$C$5:$I$1115,3,0))</f>
        <v/>
      </c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6.5" customHeight="1" x14ac:dyDescent="0.2">
      <c r="A49" s="200" t="str">
        <f t="shared" ca="1" si="1"/>
        <v/>
      </c>
      <c r="B49" s="201" t="str">
        <f ca="1">IF($A49="","",VLOOKUP($A49,JOURNAL!$C$5:$I$1115,5,0))</f>
        <v/>
      </c>
      <c r="C49" s="202" t="str">
        <f ca="1">IF($A49="","",VLOOKUP($A49,JOURNAL!$C$5:$I$1115,2,0))</f>
        <v/>
      </c>
      <c r="D49" s="201" t="str">
        <f ca="1">IF($A49="","",VLOOKUP($A49,JOURNAL!$C$5:$I$1115,4,0))</f>
        <v/>
      </c>
      <c r="E49" s="187" t="str">
        <f ca="1">IF($A49="","",VLOOKUP($A49,JOURNAL!$C$5:$I$1115,3,0))</f>
        <v/>
      </c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6.5" customHeight="1" x14ac:dyDescent="0.2">
      <c r="A50" s="200" t="str">
        <f t="shared" ca="1" si="1"/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6.5" customHeight="1" x14ac:dyDescent="0.2">
      <c r="A51" s="200" t="str">
        <f t="shared" ca="1" si="1"/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6.5" customHeight="1" x14ac:dyDescent="0.2">
      <c r="A52" s="200" t="str">
        <f t="shared" ca="1" si="1"/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6.5" customHeight="1" x14ac:dyDescent="0.2">
      <c r="A53" s="200" t="str">
        <f t="shared" ca="1" si="1"/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t="shared" ca="1" si="1"/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 t="shared" ca="1" si="1"/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200" t="str">
        <f t="shared" ca="1" si="1"/>
        <v/>
      </c>
      <c r="B56" s="201" t="str">
        <f ca="1">IF($A56="","",VLOOKUP($A56,JOURNAL!$C$5:$I$1115,5,0))</f>
        <v/>
      </c>
      <c r="C56" s="202" t="str">
        <f ca="1">IF($A56="","",VLOOKUP($A56,JOURNAL!$C$5:$I$1115,2,0))</f>
        <v/>
      </c>
      <c r="D56" s="201" t="str">
        <f ca="1">IF($A56="","",VLOOKUP($A56,JOURNAL!$C$5:$I$1115,4,0))</f>
        <v/>
      </c>
      <c r="E56" s="187" t="str">
        <f ca="1">IF($A56="","",VLOOKUP($A56,JOURNAL!$C$5:$I$1115,3,0))</f>
        <v/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200" t="str">
        <f t="shared" ca="1" si="1"/>
        <v/>
      </c>
      <c r="B57" s="201" t="str">
        <f ca="1">IF($A57="","",VLOOKUP($A57,JOURNAL!$C$5:$I$1115,5,0))</f>
        <v/>
      </c>
      <c r="C57" s="202" t="str">
        <f ca="1">IF($A57="","",VLOOKUP($A57,JOURNAL!$C$5:$I$1115,2,0))</f>
        <v/>
      </c>
      <c r="D57" s="201" t="str">
        <f ca="1">IF($A57="","",VLOOKUP($A57,JOURNAL!$C$5:$I$1115,4,0))</f>
        <v/>
      </c>
      <c r="E57" s="187" t="str">
        <f ca="1">IF($A57="","",VLOOKUP($A57,JOURNAL!$C$5:$I$1115,3,0))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200" t="str">
        <f t="shared" ca="1" si="1"/>
        <v/>
      </c>
      <c r="B58" s="201" t="str">
        <f ca="1">IF($A58="","",VLOOKUP($A58,JOURNAL!$C$5:$I$1115,5,0))</f>
        <v/>
      </c>
      <c r="C58" s="202" t="str">
        <f ca="1">IF($A58="","",VLOOKUP($A58,JOURNAL!$C$5:$I$1115,2,0))</f>
        <v/>
      </c>
      <c r="D58" s="201" t="str">
        <f ca="1">IF($A58="","",VLOOKUP($A58,JOURNAL!$C$5:$I$1115,4,0))</f>
        <v/>
      </c>
      <c r="E58" s="187" t="str">
        <f ca="1">IF($A58="","",VLOOKUP($A58,JOURNAL!$C$5:$I$1115,3,0))</f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200" t="str">
        <f t="shared" ca="1" si="1"/>
        <v/>
      </c>
      <c r="B59" s="201" t="str">
        <f ca="1">IF($A59="","",VLOOKUP($A59,JOURNAL!$C$5:$I$1115,5,0))</f>
        <v/>
      </c>
      <c r="C59" s="202" t="str">
        <f ca="1">IF($A59="","",VLOOKUP($A59,JOURNAL!$C$5:$I$1115,2,0))</f>
        <v/>
      </c>
      <c r="D59" s="201" t="str">
        <f ca="1">IF($A59="","",VLOOKUP($A59,JOURNAL!$C$5:$I$1115,4,0))</f>
        <v/>
      </c>
      <c r="E59" s="187" t="str">
        <f ca="1">IF($A59="","",VLOOKUP($A59,JOURNAL!$C$5:$I$1115,3,0))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200" t="str">
        <f t="shared" ca="1" si="1"/>
        <v/>
      </c>
      <c r="B60" s="201" t="str">
        <f ca="1">IF($A60="","",VLOOKUP($A60,JOURNAL!$C$5:$I$1115,5,0))</f>
        <v/>
      </c>
      <c r="C60" s="202" t="str">
        <f ca="1">IF($A60="","",VLOOKUP($A60,JOURNAL!$C$5:$I$1115,2,0))</f>
        <v/>
      </c>
      <c r="D60" s="201" t="str">
        <f ca="1">IF($A60="","",VLOOKUP($A60,JOURNAL!$C$5:$I$1115,4,0))</f>
        <v/>
      </c>
      <c r="E60" s="187" t="str">
        <f ca="1">IF($A60="","",VLOOKUP($A60,JOURNAL!$C$5:$I$1115,3,0))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200" t="str">
        <f t="shared" ca="1" si="1"/>
        <v/>
      </c>
      <c r="B61" s="201" t="str">
        <f ca="1">IF($A61="","",VLOOKUP($A61,JOURNAL!$C$5:$I$1115,5,0))</f>
        <v/>
      </c>
      <c r="C61" s="202" t="str">
        <f ca="1">IF($A61="","",VLOOKUP($A61,JOURNAL!$C$5:$I$1115,2,0))</f>
        <v/>
      </c>
      <c r="D61" s="201" t="str">
        <f ca="1">IF($A61="","",VLOOKUP($A61,JOURNAL!$C$5:$I$1115,4,0))</f>
        <v/>
      </c>
      <c r="E61" s="187" t="str">
        <f ca="1">IF($A61="","",VLOOKUP($A61,JOURNAL!$C$5:$I$1115,3,0))</f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200" t="str">
        <f t="shared" ca="1" si="1"/>
        <v/>
      </c>
      <c r="B62" s="201" t="str">
        <f ca="1">IF($A62="","",VLOOKUP($A62,JOURNAL!$C$5:$I$1115,5,0))</f>
        <v/>
      </c>
      <c r="C62" s="202" t="str">
        <f ca="1">IF($A62="","",VLOOKUP($A62,JOURNAL!$C$5:$I$1115,2,0))</f>
        <v/>
      </c>
      <c r="D62" s="201" t="str">
        <f ca="1">IF($A62="","",VLOOKUP($A62,JOURNAL!$C$5:$I$1115,4,0))</f>
        <v/>
      </c>
      <c r="E62" s="187" t="str">
        <f ca="1">IF($A62="","",VLOOKUP($A62,JOURNAL!$C$5:$I$1115,3,0))</f>
        <v/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200" t="str">
        <f t="shared" ca="1" si="1"/>
        <v/>
      </c>
      <c r="B63" s="201" t="str">
        <f ca="1">IF($A63="","",VLOOKUP($A63,JOURNAL!$C$5:$I$1115,5,0))</f>
        <v/>
      </c>
      <c r="C63" s="202" t="str">
        <f ca="1">IF($A63="","",VLOOKUP($A63,JOURNAL!$C$5:$I$1115,2,0))</f>
        <v/>
      </c>
      <c r="D63" s="201" t="str">
        <f ca="1">IF($A63="","",VLOOKUP($A63,JOURNAL!$C$5:$I$1115,4,0))</f>
        <v/>
      </c>
      <c r="E63" s="187" t="str">
        <f ca="1">IF($A63="","",VLOOKUP($A63,JOURNAL!$C$5:$I$1115,3,0))</f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200" t="str">
        <f t="shared" ca="1" si="1"/>
        <v/>
      </c>
      <c r="B64" s="201" t="str">
        <f ca="1">IF($A64="","",VLOOKUP($A64,JOURNAL!$C$5:$I$1115,5,0))</f>
        <v/>
      </c>
      <c r="C64" s="202" t="str">
        <f ca="1">IF($A64="","",VLOOKUP($A64,JOURNAL!$C$5:$I$1115,2,0))</f>
        <v/>
      </c>
      <c r="D64" s="201" t="str">
        <f ca="1">IF($A64="","",VLOOKUP($A64,JOURNAL!$C$5:$I$1115,4,0))</f>
        <v/>
      </c>
      <c r="E64" s="187" t="str">
        <f ca="1">IF($A64="","",VLOOKUP($A64,JOURNAL!$C$5:$I$1115,3,0))</f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200" t="str">
        <f t="shared" ca="1" si="1"/>
        <v/>
      </c>
      <c r="B65" s="201" t="str">
        <f ca="1">IF($A65="","",VLOOKUP($A65,JOURNAL!$C$5:$I$1115,5,0))</f>
        <v/>
      </c>
      <c r="C65" s="202" t="str">
        <f ca="1">IF($A65="","",VLOOKUP($A65,JOURNAL!$C$5:$I$1115,2,0))</f>
        <v/>
      </c>
      <c r="D65" s="201" t="str">
        <f ca="1">IF($A65="","",VLOOKUP($A65,JOURNAL!$C$5:$I$1115,4,0))</f>
        <v/>
      </c>
      <c r="E65" s="187" t="str">
        <f ca="1">IF($A65="","",VLOOKUP($A65,JOURNAL!$C$5:$I$1115,3,0))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200" t="str">
        <f t="shared" ca="1" si="1"/>
        <v/>
      </c>
      <c r="B66" s="201" t="str">
        <f ca="1">IF($A66="","",VLOOKUP($A66,JOURNAL!$C$5:$I$1115,5,0))</f>
        <v/>
      </c>
      <c r="C66" s="202" t="str">
        <f ca="1">IF($A66="","",VLOOKUP($A66,JOURNAL!$C$5:$I$1115,2,0))</f>
        <v/>
      </c>
      <c r="D66" s="201" t="str">
        <f ca="1">IF($A66="","",VLOOKUP($A66,JOURNAL!$C$5:$I$1115,4,0))</f>
        <v/>
      </c>
      <c r="E66" s="187" t="str">
        <f ca="1">IF($A66="","",VLOOKUP($A66,JOURNAL!$C$5:$I$1115,3,0))</f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200" t="str">
        <f t="shared" ca="1" si="1"/>
        <v/>
      </c>
      <c r="B67" s="201" t="str">
        <f ca="1">IF($A67="","",VLOOKUP($A67,JOURNAL!$C$5:$I$1115,5,0))</f>
        <v/>
      </c>
      <c r="C67" s="202" t="str">
        <f ca="1">IF($A67="","",VLOOKUP($A67,JOURNAL!$C$5:$I$1115,2,0))</f>
        <v/>
      </c>
      <c r="D67" s="201" t="str">
        <f ca="1">IF($A67="","",VLOOKUP($A67,JOURNAL!$C$5:$I$1115,4,0))</f>
        <v/>
      </c>
      <c r="E67" s="187" t="str">
        <f ca="1">IF($A67="","",VLOOKUP($A67,JOURNAL!$C$5:$I$1115,3,0))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200" t="str">
        <f t="shared" ca="1" si="1"/>
        <v/>
      </c>
      <c r="B68" s="201" t="str">
        <f ca="1">IF($A68="","",VLOOKUP($A68,JOURNAL!$C$5:$I$1115,5,0))</f>
        <v/>
      </c>
      <c r="C68" s="202" t="str">
        <f ca="1">IF($A68="","",VLOOKUP($A68,JOURNAL!$C$5:$I$1115,2,0))</f>
        <v/>
      </c>
      <c r="D68" s="201" t="str">
        <f ca="1">IF($A68="","",VLOOKUP($A68,JOURNAL!$C$5:$I$1115,4,0))</f>
        <v/>
      </c>
      <c r="E68" s="187" t="str">
        <f ca="1">IF($A68="","",VLOOKUP($A68,JOURNAL!$C$5:$I$1115,3,0))</f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200" t="str">
        <f t="shared" ca="1" si="1"/>
        <v/>
      </c>
      <c r="B69" s="201" t="str">
        <f ca="1">IF($A69="","",VLOOKUP($A69,JOURNAL!$C$5:$I$1115,5,0))</f>
        <v/>
      </c>
      <c r="C69" s="202" t="str">
        <f ca="1">IF($A69="","",VLOOKUP($A69,JOURNAL!$C$5:$I$1115,2,0))</f>
        <v/>
      </c>
      <c r="D69" s="201" t="str">
        <f ca="1">IF($A69="","",VLOOKUP($A69,JOURNAL!$C$5:$I$1115,4,0))</f>
        <v/>
      </c>
      <c r="E69" s="187" t="str">
        <f ca="1">IF($A69="","",VLOOKUP($A69,JOURNAL!$C$5:$I$1115,3,0))</f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200" t="str">
        <f t="shared" ca="1" si="1"/>
        <v/>
      </c>
      <c r="B70" s="201" t="str">
        <f ca="1">IF($A70="","",VLOOKUP($A70,JOURNAL!$C$5:$I$1115,5,0))</f>
        <v/>
      </c>
      <c r="C70" s="202" t="str">
        <f ca="1">IF($A70="","",VLOOKUP($A70,JOURNAL!$C$5:$I$1115,2,0))</f>
        <v/>
      </c>
      <c r="D70" s="201" t="str">
        <f ca="1">IF($A70="","",VLOOKUP($A70,JOURNAL!$C$5:$I$1115,4,0))</f>
        <v/>
      </c>
      <c r="E70" s="187" t="str">
        <f ca="1">IF($A70="","",VLOOKUP($A70,JOURNAL!$C$5:$I$1115,3,0))</f>
        <v/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200" t="str">
        <f t="shared" ca="1" si="1"/>
        <v/>
      </c>
      <c r="B71" s="201" t="str">
        <f ca="1">IF($A71="","",VLOOKUP($A71,JOURNAL!$C$5:$I$1115,5,0))</f>
        <v/>
      </c>
      <c r="C71" s="202" t="str">
        <f ca="1">IF($A71="","",VLOOKUP($A71,JOURNAL!$C$5:$I$1115,2,0))</f>
        <v/>
      </c>
      <c r="D71" s="201" t="str">
        <f ca="1">IF($A71="","",VLOOKUP($A71,JOURNAL!$C$5:$I$1115,4,0))</f>
        <v/>
      </c>
      <c r="E71" s="187" t="str">
        <f ca="1">IF($A71="","",VLOOKUP($A71,JOURNAL!$C$5:$I$1115,3,0))</f>
        <v/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200" t="str">
        <f t="shared" ca="1" si="1"/>
        <v/>
      </c>
      <c r="B72" s="201" t="str">
        <f ca="1">IF($A72="","",VLOOKUP($A72,JOURNAL!$C$5:$I$1115,5,0))</f>
        <v/>
      </c>
      <c r="C72" s="202" t="str">
        <f ca="1">IF($A72="","",VLOOKUP($A72,JOURNAL!$C$5:$I$1115,2,0))</f>
        <v/>
      </c>
      <c r="D72" s="201" t="str">
        <f ca="1">IF($A72="","",VLOOKUP($A72,JOURNAL!$C$5:$I$1115,4,0))</f>
        <v/>
      </c>
      <c r="E72" s="187" t="str">
        <f ca="1">IF($A72="","",VLOOKUP($A72,JOURNAL!$C$5:$I$1115,3,0))</f>
        <v/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200" t="str">
        <f t="shared" ca="1" si="1"/>
        <v/>
      </c>
      <c r="B73" s="201" t="str">
        <f ca="1">IF($A73="","",VLOOKUP($A73,JOURNAL!$C$5:$I$1115,5,0))</f>
        <v/>
      </c>
      <c r="C73" s="202" t="str">
        <f ca="1">IF($A73="","",VLOOKUP($A73,JOURNAL!$C$5:$I$1115,2,0))</f>
        <v/>
      </c>
      <c r="D73" s="201" t="str">
        <f ca="1">IF($A73="","",VLOOKUP($A73,JOURNAL!$C$5:$I$1115,4,0))</f>
        <v/>
      </c>
      <c r="E73" s="187" t="str">
        <f ca="1">IF($A73="","",VLOOKUP($A73,JOURNAL!$C$5:$I$1115,3,0))</f>
        <v/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200" t="str">
        <f t="shared" ca="1" si="1"/>
        <v/>
      </c>
      <c r="B74" s="201" t="str">
        <f ca="1">IF($A74="","",VLOOKUP($A74,JOURNAL!$C$5:$I$1115,5,0))</f>
        <v/>
      </c>
      <c r="C74" s="202" t="str">
        <f ca="1">IF($A74="","",VLOOKUP($A74,JOURNAL!$C$5:$I$1115,2,0))</f>
        <v/>
      </c>
      <c r="D74" s="201" t="str">
        <f ca="1">IF($A74="","",VLOOKUP($A74,JOURNAL!$C$5:$I$1115,4,0))</f>
        <v/>
      </c>
      <c r="E74" s="187" t="str">
        <f ca="1">IF($A74="","",VLOOKUP($A74,JOURNAL!$C$5:$I$1115,3,0))</f>
        <v/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200" t="str">
        <f t="shared" ca="1" si="1"/>
        <v/>
      </c>
      <c r="B75" s="201" t="str">
        <f ca="1">IF($A75="","",VLOOKUP($A75,JOURNAL!$C$5:$I$1115,5,0))</f>
        <v/>
      </c>
      <c r="C75" s="202" t="str">
        <f ca="1">IF($A75="","",VLOOKUP($A75,JOURNAL!$C$5:$I$1115,2,0))</f>
        <v/>
      </c>
      <c r="D75" s="201" t="str">
        <f ca="1">IF($A75="","",VLOOKUP($A75,JOURNAL!$C$5:$I$1115,4,0))</f>
        <v/>
      </c>
      <c r="E75" s="187" t="str">
        <f ca="1">IF($A75="","",VLOOKUP($A75,JOURNAL!$C$5:$I$1115,3,0))</f>
        <v/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200" t="str">
        <f t="shared" ca="1" si="1"/>
        <v/>
      </c>
      <c r="B76" s="201" t="str">
        <f ca="1">IF($A76="","",VLOOKUP($A76,JOURNAL!$C$5:$I$1115,5,0))</f>
        <v/>
      </c>
      <c r="C76" s="202" t="str">
        <f ca="1">IF($A76="","",VLOOKUP($A76,JOURNAL!$C$5:$I$1115,2,0))</f>
        <v/>
      </c>
      <c r="D76" s="201" t="str">
        <f ca="1">IF($A76="","",VLOOKUP($A76,JOURNAL!$C$5:$I$1115,4,0))</f>
        <v/>
      </c>
      <c r="E76" s="187" t="str">
        <f ca="1">IF($A76="","",VLOOKUP($A76,JOURNAL!$C$5:$I$1115,3,0))</f>
        <v/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200" t="str">
        <f t="shared" ca="1" si="1"/>
        <v/>
      </c>
      <c r="B77" s="201" t="str">
        <f ca="1">IF($A77="","",VLOOKUP($A77,JOURNAL!$C$5:$I$1115,5,0))</f>
        <v/>
      </c>
      <c r="C77" s="202" t="str">
        <f ca="1">IF($A77="","",VLOOKUP($A77,JOURNAL!$C$5:$I$1115,2,0))</f>
        <v/>
      </c>
      <c r="D77" s="201" t="str">
        <f ca="1">IF($A77="","",VLOOKUP($A77,JOURNAL!$C$5:$I$1115,4,0))</f>
        <v/>
      </c>
      <c r="E77" s="187" t="str">
        <f ca="1">IF($A77="","",VLOOKUP($A77,JOURNAL!$C$5:$I$1115,3,0))</f>
        <v/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200" t="str">
        <f t="shared" ca="1" si="1"/>
        <v/>
      </c>
      <c r="B78" s="201" t="str">
        <f ca="1">IF($A78="","",VLOOKUP($A78,JOURNAL!$C$5:$I$1115,5,0))</f>
        <v/>
      </c>
      <c r="C78" s="202" t="str">
        <f ca="1">IF($A78="","",VLOOKUP($A78,JOURNAL!$C$5:$I$1115,2,0))</f>
        <v/>
      </c>
      <c r="D78" s="201" t="str">
        <f ca="1">IF($A78="","",VLOOKUP($A78,JOURNAL!$C$5:$I$1115,4,0))</f>
        <v/>
      </c>
      <c r="E78" s="187" t="str">
        <f ca="1">IF($A78="","",VLOOKUP($A78,JOURNAL!$C$5:$I$1115,3,0))</f>
        <v/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200" t="str">
        <f t="shared" ca="1" si="1"/>
        <v/>
      </c>
      <c r="B79" s="201" t="str">
        <f ca="1">IF($A79="","",VLOOKUP($A79,JOURNAL!$C$5:$I$1115,5,0))</f>
        <v/>
      </c>
      <c r="C79" s="202" t="str">
        <f ca="1">IF($A79="","",VLOOKUP($A79,JOURNAL!$C$5:$I$1115,2,0))</f>
        <v/>
      </c>
      <c r="D79" s="201" t="str">
        <f ca="1">IF($A79="","",VLOOKUP($A79,JOURNAL!$C$5:$I$1115,4,0))</f>
        <v/>
      </c>
      <c r="E79" s="187" t="str">
        <f ca="1">IF($A79="","",VLOOKUP($A79,JOURNAL!$C$5:$I$1115,3,0))</f>
        <v/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200" t="str">
        <f t="shared" ca="1" si="1"/>
        <v/>
      </c>
      <c r="B80" s="201" t="str">
        <f ca="1">IF($A80="","",VLOOKUP($A80,JOURNAL!$C$5:$I$1115,5,0))</f>
        <v/>
      </c>
      <c r="C80" s="202" t="str">
        <f ca="1">IF($A80="","",VLOOKUP($A80,JOURNAL!$C$5:$I$1115,2,0))</f>
        <v/>
      </c>
      <c r="D80" s="201" t="str">
        <f ca="1">IF($A80="","",VLOOKUP($A80,JOURNAL!$C$5:$I$1115,4,0))</f>
        <v/>
      </c>
      <c r="E80" s="187" t="str">
        <f ca="1">IF($A80="","",VLOOKUP($A80,JOURNAL!$C$5:$I$1115,3,0))</f>
        <v/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200" t="str">
        <f t="shared" ca="1" si="1"/>
        <v/>
      </c>
      <c r="B81" s="201" t="str">
        <f ca="1">IF($A81="","",VLOOKUP($A81,JOURNAL!$C$5:$I$1115,5,0))</f>
        <v/>
      </c>
      <c r="C81" s="202" t="str">
        <f ca="1">IF($A81="","",VLOOKUP($A81,JOURNAL!$C$5:$I$1115,2,0))</f>
        <v/>
      </c>
      <c r="D81" s="201" t="str">
        <f ca="1">IF($A81="","",VLOOKUP($A81,JOURNAL!$C$5:$I$1115,4,0))</f>
        <v/>
      </c>
      <c r="E81" s="187" t="str">
        <f ca="1">IF($A81="","",VLOOKUP($A81,JOURNAL!$C$5:$I$1115,3,0))</f>
        <v/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200" t="str">
        <f t="shared" ca="1" si="1"/>
        <v/>
      </c>
      <c r="B82" s="201" t="str">
        <f ca="1">IF($A82="","",VLOOKUP($A82,JOURNAL!$C$5:$I$1115,5,0))</f>
        <v/>
      </c>
      <c r="C82" s="202" t="str">
        <f ca="1">IF($A82="","",VLOOKUP($A82,JOURNAL!$C$5:$I$1115,2,0))</f>
        <v/>
      </c>
      <c r="D82" s="201" t="str">
        <f ca="1">IF($A82="","",VLOOKUP($A82,JOURNAL!$C$5:$I$1115,4,0))</f>
        <v/>
      </c>
      <c r="E82" s="187" t="str">
        <f ca="1">IF($A82="","",VLOOKUP($A82,JOURNAL!$C$5:$I$1115,3,0))</f>
        <v/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200" t="str">
        <f t="shared" ca="1" si="1"/>
        <v/>
      </c>
      <c r="B83" s="201" t="str">
        <f ca="1">IF($A83="","",VLOOKUP($A83,JOURNAL!$C$5:$I$1115,5,0))</f>
        <v/>
      </c>
      <c r="C83" s="202" t="str">
        <f ca="1">IF($A83="","",VLOOKUP($A83,JOURNAL!$C$5:$I$1115,2,0))</f>
        <v/>
      </c>
      <c r="D83" s="201" t="str">
        <f ca="1">IF($A83="","",VLOOKUP($A83,JOURNAL!$C$5:$I$1115,4,0))</f>
        <v/>
      </c>
      <c r="E83" s="187" t="str">
        <f ca="1">IF($A83="","",VLOOKUP($A83,JOURNAL!$C$5:$I$1115,3,0))</f>
        <v/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200" t="str">
        <f t="shared" ca="1" si="1"/>
        <v/>
      </c>
      <c r="B84" s="201" t="str">
        <f ca="1">IF($A84="","",VLOOKUP($A84,JOURNAL!$C$5:$I$1115,5,0))</f>
        <v/>
      </c>
      <c r="C84" s="202" t="str">
        <f ca="1">IF($A84="","",VLOOKUP($A84,JOURNAL!$C$5:$I$1115,2,0))</f>
        <v/>
      </c>
      <c r="D84" s="201" t="str">
        <f ca="1">IF($A84="","",VLOOKUP($A84,JOURNAL!$C$5:$I$1115,4,0))</f>
        <v/>
      </c>
      <c r="E84" s="187" t="str">
        <f ca="1">IF($A84="","",VLOOKUP($A84,JOURNAL!$C$5:$I$1115,3,0))</f>
        <v/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200" t="str">
        <f t="shared" ca="1" si="1"/>
        <v/>
      </c>
      <c r="B85" s="201" t="str">
        <f ca="1">IF($A85="","",VLOOKUP($A85,JOURNAL!$C$5:$I$1115,5,0))</f>
        <v/>
      </c>
      <c r="C85" s="202" t="str">
        <f ca="1">IF($A85="","",VLOOKUP($A85,JOURNAL!$C$5:$I$1115,2,0))</f>
        <v/>
      </c>
      <c r="D85" s="201" t="str">
        <f ca="1">IF($A85="","",VLOOKUP($A85,JOURNAL!$C$5:$I$1115,4,0))</f>
        <v/>
      </c>
      <c r="E85" s="187" t="str">
        <f ca="1">IF($A85="","",VLOOKUP($A85,JOURNAL!$C$5:$I$1115,3,0))</f>
        <v/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200" t="str">
        <f t="shared" ca="1" si="1"/>
        <v/>
      </c>
      <c r="B86" s="201" t="str">
        <f ca="1">IF($A86="","",VLOOKUP($A86,JOURNAL!$C$5:$I$1115,5,0))</f>
        <v/>
      </c>
      <c r="C86" s="202" t="str">
        <f ca="1">IF($A86="","",VLOOKUP($A86,JOURNAL!$C$5:$I$1115,2,0))</f>
        <v/>
      </c>
      <c r="D86" s="201" t="str">
        <f ca="1">IF($A86="","",VLOOKUP($A86,JOURNAL!$C$5:$I$1115,4,0))</f>
        <v/>
      </c>
      <c r="E86" s="187" t="str">
        <f ca="1">IF($A86="","",VLOOKUP($A86,JOURNAL!$C$5:$I$1115,3,0))</f>
        <v/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200" t="str">
        <f t="shared" ca="1" si="1"/>
        <v/>
      </c>
      <c r="B87" s="201" t="str">
        <f ca="1">IF($A87="","",VLOOKUP($A87,JOURNAL!$C$5:$I$1115,5,0))</f>
        <v/>
      </c>
      <c r="C87" s="202" t="str">
        <f ca="1">IF($A87="","",VLOOKUP($A87,JOURNAL!$C$5:$I$1115,2,0))</f>
        <v/>
      </c>
      <c r="D87" s="201" t="str">
        <f ca="1">IF($A87="","",VLOOKUP($A87,JOURNAL!$C$5:$I$1115,4,0))</f>
        <v/>
      </c>
      <c r="E87" s="187" t="str">
        <f ca="1">IF($A87="","",VLOOKUP($A87,JOURNAL!$C$5:$I$1115,3,0))</f>
        <v/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200" t="str">
        <f t="shared" ca="1" si="1"/>
        <v/>
      </c>
      <c r="B88" s="201" t="str">
        <f ca="1">IF($A88="","",VLOOKUP($A88,JOURNAL!$C$5:$I$1115,5,0))</f>
        <v/>
      </c>
      <c r="C88" s="202" t="str">
        <f ca="1">IF($A88="","",VLOOKUP($A88,JOURNAL!$C$5:$I$1115,2,0))</f>
        <v/>
      </c>
      <c r="D88" s="201" t="str">
        <f ca="1">IF($A88="","",VLOOKUP($A88,JOURNAL!$C$5:$I$1115,4,0))</f>
        <v/>
      </c>
      <c r="E88" s="187" t="str">
        <f ca="1">IF($A88="","",VLOOKUP($A88,JOURNAL!$C$5:$I$1115,3,0))</f>
        <v/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200" t="str">
        <f t="shared" ca="1" si="1"/>
        <v/>
      </c>
      <c r="B89" s="201" t="str">
        <f ca="1">IF($A89="","",VLOOKUP($A89,JOURNAL!$C$5:$I$1115,5,0))</f>
        <v/>
      </c>
      <c r="C89" s="202" t="str">
        <f ca="1">IF($A89="","",VLOOKUP($A89,JOURNAL!$C$5:$I$1115,2,0))</f>
        <v/>
      </c>
      <c r="D89" s="201" t="str">
        <f ca="1">IF($A89="","",VLOOKUP($A89,JOURNAL!$C$5:$I$1115,4,0))</f>
        <v/>
      </c>
      <c r="E89" s="187" t="str">
        <f ca="1">IF($A89="","",VLOOKUP($A89,JOURNAL!$C$5:$I$1115,3,0))</f>
        <v/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200" t="str">
        <f t="shared" ca="1" si="1"/>
        <v/>
      </c>
      <c r="B90" s="201" t="str">
        <f ca="1">IF($A90="","",VLOOKUP($A90,JOURNAL!$C$5:$I$1115,5,0))</f>
        <v/>
      </c>
      <c r="C90" s="202" t="str">
        <f ca="1">IF($A90="","",VLOOKUP($A90,JOURNAL!$C$5:$I$1115,2,0))</f>
        <v/>
      </c>
      <c r="D90" s="201" t="str">
        <f ca="1">IF($A90="","",VLOOKUP($A90,JOURNAL!$C$5:$I$1115,4,0))</f>
        <v/>
      </c>
      <c r="E90" s="187" t="str">
        <f ca="1">IF($A90="","",VLOOKUP($A90,JOURNAL!$C$5:$I$1115,3,0))</f>
        <v/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200" t="str">
        <f t="shared" ca="1" si="1"/>
        <v/>
      </c>
      <c r="B91" s="201" t="str">
        <f ca="1">IF($A91="","",VLOOKUP($A91,JOURNAL!$C$5:$I$1115,5,0))</f>
        <v/>
      </c>
      <c r="C91" s="202" t="str">
        <f ca="1">IF($A91="","",VLOOKUP($A91,JOURNAL!$C$5:$I$1115,2,0))</f>
        <v/>
      </c>
      <c r="D91" s="201" t="str">
        <f ca="1">IF($A91="","",VLOOKUP($A91,JOURNAL!$C$5:$I$1115,4,0))</f>
        <v/>
      </c>
      <c r="E91" s="187" t="str">
        <f ca="1">IF($A91="","",VLOOKUP($A91,JOURNAL!$C$5:$I$1115,3,0))</f>
        <v/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200" t="str">
        <f t="shared" ca="1" si="1"/>
        <v/>
      </c>
      <c r="B92" s="201" t="str">
        <f ca="1">IF($A92="","",VLOOKUP($A92,JOURNAL!$C$5:$I$1115,5,0))</f>
        <v/>
      </c>
      <c r="C92" s="202" t="str">
        <f ca="1">IF($A92="","",VLOOKUP($A92,JOURNAL!$C$5:$I$1115,2,0))</f>
        <v/>
      </c>
      <c r="D92" s="201" t="str">
        <f ca="1">IF($A92="","",VLOOKUP($A92,JOURNAL!$C$5:$I$1115,4,0))</f>
        <v/>
      </c>
      <c r="E92" s="187" t="str">
        <f ca="1">IF($A92="","",VLOOKUP($A92,JOURNAL!$C$5:$I$1115,3,0))</f>
        <v/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200" t="str">
        <f t="shared" ca="1" si="1"/>
        <v/>
      </c>
      <c r="B93" s="201" t="str">
        <f ca="1">IF($A93="","",VLOOKUP($A93,JOURNAL!$C$5:$I$1115,5,0))</f>
        <v/>
      </c>
      <c r="C93" s="202" t="str">
        <f ca="1">IF($A93="","",VLOOKUP($A93,JOURNAL!$C$5:$I$1115,2,0))</f>
        <v/>
      </c>
      <c r="D93" s="201" t="str">
        <f ca="1">IF($A93="","",VLOOKUP($A93,JOURNAL!$C$5:$I$1115,4,0))</f>
        <v/>
      </c>
      <c r="E93" s="187" t="str">
        <f ca="1">IF($A93="","",VLOOKUP($A93,JOURNAL!$C$5:$I$1115,3,0))</f>
        <v/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200" t="str">
        <f t="shared" ca="1" si="1"/>
        <v/>
      </c>
      <c r="B94" s="201" t="str">
        <f ca="1">IF($A94="","",VLOOKUP($A94,JOURNAL!$C$5:$I$1115,5,0))</f>
        <v/>
      </c>
      <c r="C94" s="202" t="str">
        <f ca="1">IF($A94="","",VLOOKUP($A94,JOURNAL!$C$5:$I$1115,2,0))</f>
        <v/>
      </c>
      <c r="D94" s="201" t="str">
        <f ca="1">IF($A94="","",VLOOKUP($A94,JOURNAL!$C$5:$I$1115,4,0))</f>
        <v/>
      </c>
      <c r="E94" s="187" t="str">
        <f ca="1">IF($A94="","",VLOOKUP($A94,JOURNAL!$C$5:$I$1115,3,0))</f>
        <v/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200" t="str">
        <f t="shared" ca="1" si="1"/>
        <v/>
      </c>
      <c r="B95" s="201" t="str">
        <f ca="1">IF($A95="","",VLOOKUP($A95,JOURNAL!$C$5:$I$1115,5,0))</f>
        <v/>
      </c>
      <c r="C95" s="202" t="str">
        <f ca="1">IF($A95="","",VLOOKUP($A95,JOURNAL!$C$5:$I$1115,2,0))</f>
        <v/>
      </c>
      <c r="D95" s="201" t="str">
        <f ca="1">IF($A95="","",VLOOKUP($A95,JOURNAL!$C$5:$I$1115,4,0))</f>
        <v/>
      </c>
      <c r="E95" s="187" t="str">
        <f ca="1">IF($A95="","",VLOOKUP($A95,JOURNAL!$C$5:$I$1115,3,0))</f>
        <v/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200" t="str">
        <f t="shared" ca="1" si="1"/>
        <v/>
      </c>
      <c r="B96" s="201" t="str">
        <f ca="1">IF($A96="","",VLOOKUP($A96,JOURNAL!$C$5:$I$1115,5,0))</f>
        <v/>
      </c>
      <c r="C96" s="202" t="str">
        <f ca="1">IF($A96="","",VLOOKUP($A96,JOURNAL!$C$5:$I$1115,2,0))</f>
        <v/>
      </c>
      <c r="D96" s="201" t="str">
        <f ca="1">IF($A96="","",VLOOKUP($A96,JOURNAL!$C$5:$I$1115,4,0))</f>
        <v/>
      </c>
      <c r="E96" s="187" t="str">
        <f ca="1">IF($A96="","",VLOOKUP($A96,JOURNAL!$C$5:$I$1115,3,0))</f>
        <v/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200" t="str">
        <f t="shared" ca="1" si="1"/>
        <v/>
      </c>
      <c r="B97" s="201" t="str">
        <f ca="1">IF($A97="","",VLOOKUP($A97,JOURNAL!$C$5:$I$1115,5,0))</f>
        <v/>
      </c>
      <c r="C97" s="202" t="str">
        <f ca="1">IF($A97="","",VLOOKUP($A97,JOURNAL!$C$5:$I$1115,2,0))</f>
        <v/>
      </c>
      <c r="D97" s="201" t="str">
        <f ca="1">IF($A97="","",VLOOKUP($A97,JOURNAL!$C$5:$I$1115,4,0))</f>
        <v/>
      </c>
      <c r="E97" s="187" t="str">
        <f ca="1">IF($A97="","",VLOOKUP($A97,JOURNAL!$C$5:$I$1115,3,0))</f>
        <v/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200" t="str">
        <f t="shared" ca="1" si="1"/>
        <v/>
      </c>
      <c r="B98" s="201" t="str">
        <f ca="1">IF($A98="","",VLOOKUP($A98,JOURNAL!$C$5:$I$1115,5,0))</f>
        <v/>
      </c>
      <c r="C98" s="202" t="str">
        <f ca="1">IF($A98="","",VLOOKUP($A98,JOURNAL!$C$5:$I$1115,2,0))</f>
        <v/>
      </c>
      <c r="D98" s="201" t="str">
        <f ca="1">IF($A98="","",VLOOKUP($A98,JOURNAL!$C$5:$I$1115,4,0))</f>
        <v/>
      </c>
      <c r="E98" s="187" t="str">
        <f ca="1">IF($A98="","",VLOOKUP($A98,JOURNAL!$C$5:$I$1115,3,0))</f>
        <v/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200" t="str">
        <f t="shared" ca="1" si="1"/>
        <v/>
      </c>
      <c r="B99" s="201" t="str">
        <f ca="1">IF($A99="","",VLOOKUP($A99,JOURNAL!$C$5:$I$1115,5,0))</f>
        <v/>
      </c>
      <c r="C99" s="202" t="str">
        <f ca="1">IF($A99="","",VLOOKUP($A99,JOURNAL!$C$5:$I$1115,2,0))</f>
        <v/>
      </c>
      <c r="D99" s="201" t="str">
        <f ca="1">IF($A99="","",VLOOKUP($A99,JOURNAL!$C$5:$I$1115,4,0))</f>
        <v/>
      </c>
      <c r="E99" s="187" t="str">
        <f ca="1">IF($A99="","",VLOOKUP($A99,JOURNAL!$C$5:$I$1115,3,0))</f>
        <v/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200" t="str">
        <f t="shared" ca="1" si="1"/>
        <v/>
      </c>
      <c r="B100" s="201" t="str">
        <f ca="1">IF($A100="","",VLOOKUP($A100,JOURNAL!$C$5:$I$1115,5,0))</f>
        <v/>
      </c>
      <c r="C100" s="202" t="str">
        <f ca="1">IF($A100="","",VLOOKUP($A100,JOURNAL!$C$5:$I$1115,2,0))</f>
        <v/>
      </c>
      <c r="D100" s="201" t="str">
        <f ca="1">IF($A100="","",VLOOKUP($A100,JOURNAL!$C$5:$I$1115,4,0))</f>
        <v/>
      </c>
      <c r="E100" s="187" t="str">
        <f ca="1">IF($A100="","",VLOOKUP($A100,JOURNAL!$C$5:$I$1115,3,0))</f>
        <v/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200" t="str">
        <f t="shared" ca="1" si="1"/>
        <v/>
      </c>
      <c r="B101" s="201" t="str">
        <f ca="1">IF($A101="","",VLOOKUP($A101,JOURNAL!$C$5:$I$1115,5,0))</f>
        <v/>
      </c>
      <c r="C101" s="202" t="str">
        <f ca="1">IF($A101="","",VLOOKUP($A101,JOURNAL!$C$5:$I$1115,2,0))</f>
        <v/>
      </c>
      <c r="D101" s="201" t="str">
        <f ca="1">IF($A101="","",VLOOKUP($A101,JOURNAL!$C$5:$I$1115,4,0))</f>
        <v/>
      </c>
      <c r="E101" s="187" t="str">
        <f ca="1">IF($A101="","",VLOOKUP($A101,JOURNAL!$C$5:$I$1115,3,0))</f>
        <v/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200" t="str">
        <f t="shared" ca="1" si="1"/>
        <v/>
      </c>
      <c r="B102" s="201" t="str">
        <f ca="1">IF($A102="","",VLOOKUP($A102,JOURNAL!$C$5:$I$1115,5,0))</f>
        <v/>
      </c>
      <c r="C102" s="202" t="str">
        <f ca="1">IF($A102="","",VLOOKUP($A102,JOURNAL!$C$5:$I$1115,2,0))</f>
        <v/>
      </c>
      <c r="D102" s="201" t="str">
        <f ca="1">IF($A102="","",VLOOKUP($A102,JOURNAL!$C$5:$I$1115,4,0))</f>
        <v/>
      </c>
      <c r="E102" s="187" t="str">
        <f ca="1">IF($A102="","",VLOOKUP($A102,JOURNAL!$C$5:$I$1115,3,0))</f>
        <v/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200" t="str">
        <f t="shared" ca="1" si="1"/>
        <v/>
      </c>
      <c r="B103" s="201" t="str">
        <f ca="1">IF($A103="","",VLOOKUP($A103,JOURNAL!$C$5:$I$1115,5,0))</f>
        <v/>
      </c>
      <c r="C103" s="202" t="str">
        <f ca="1">IF($A103="","",VLOOKUP($A103,JOURNAL!$C$5:$I$1115,2,0))</f>
        <v/>
      </c>
      <c r="D103" s="201" t="str">
        <f ca="1">IF($A103="","",VLOOKUP($A103,JOURNAL!$C$5:$I$1115,4,0))</f>
        <v/>
      </c>
      <c r="E103" s="187" t="str">
        <f ca="1">IF($A103="","",VLOOKUP($A103,JOURNAL!$C$5:$I$1115,3,0))</f>
        <v/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200" t="str">
        <f t="shared" ca="1" si="1"/>
        <v/>
      </c>
      <c r="B104" s="201" t="str">
        <f ca="1">IF($A104="","",VLOOKUP($A104,JOURNAL!$C$5:$I$1115,5,0))</f>
        <v/>
      </c>
      <c r="C104" s="202" t="str">
        <f ca="1">IF($A104="","",VLOOKUP($A104,JOURNAL!$C$5:$I$1115,2,0))</f>
        <v/>
      </c>
      <c r="D104" s="201" t="str">
        <f ca="1">IF($A104="","",VLOOKUP($A104,JOURNAL!$C$5:$I$1115,4,0))</f>
        <v/>
      </c>
      <c r="E104" s="187" t="str">
        <f ca="1">IF($A104="","",VLOOKUP($A104,JOURNAL!$C$5:$I$1115,3,0))</f>
        <v/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200" t="str">
        <f t="shared" ca="1" si="1"/>
        <v/>
      </c>
      <c r="B105" s="201" t="str">
        <f ca="1">IF($A105="","",VLOOKUP($A105,JOURNAL!$C$5:$I$1115,5,0))</f>
        <v/>
      </c>
      <c r="C105" s="202" t="str">
        <f ca="1">IF($A105="","",VLOOKUP($A105,JOURNAL!$C$5:$I$1115,2,0))</f>
        <v/>
      </c>
      <c r="D105" s="201" t="str">
        <f ca="1">IF($A105="","",VLOOKUP($A105,JOURNAL!$C$5:$I$1115,4,0))</f>
        <v/>
      </c>
      <c r="E105" s="187" t="str">
        <f ca="1">IF($A105="","",VLOOKUP($A105,JOURNAL!$C$5:$I$1115,3,0))</f>
        <v/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200" t="str">
        <f t="shared" ca="1" si="1"/>
        <v/>
      </c>
      <c r="B106" s="201" t="str">
        <f ca="1">IF($A106="","",VLOOKUP($A106,JOURNAL!$C$5:$I$1115,5,0))</f>
        <v/>
      </c>
      <c r="C106" s="202" t="str">
        <f ca="1">IF($A106="","",VLOOKUP($A106,JOURNAL!$C$5:$I$1115,2,0))</f>
        <v/>
      </c>
      <c r="D106" s="201" t="str">
        <f ca="1">IF($A106="","",VLOOKUP($A106,JOURNAL!$C$5:$I$1115,4,0))</f>
        <v/>
      </c>
      <c r="E106" s="187" t="str">
        <f ca="1">IF($A106="","",VLOOKUP($A106,JOURNAL!$C$5:$I$1115,3,0))</f>
        <v/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200" t="str">
        <f t="array" aca="1" ref="A107" ca="1">IF(A106="","",IF(ISNA(VLOOKUP($A$1&amp;" / "&amp;$A$25,INDIRECT(ADDRESS(A106+5,2,1,,"JOURNAL")&amp;":G500"),2,0)),"",VLOOKUP($A$1&amp;" / "&amp;$A$25,INDIRECT(ADDRESS(A106+5,2,1,,"JOURNAL")&amp;":G500"),2,0)))</f>
        <v/>
      </c>
      <c r="B107" s="201" t="str">
        <f ca="1">IF($A107="","",VLOOKUP($A107,JOURNAL!$C$5:$I$1115,5,0))</f>
        <v/>
      </c>
      <c r="C107" s="202" t="str">
        <f ca="1">IF($A107="","",VLOOKUP($A107,JOURNAL!$C$5:$I$1115,2,0))</f>
        <v/>
      </c>
      <c r="D107" s="201" t="str">
        <f ca="1">IF($A107="","",VLOOKUP($A107,JOURNAL!$C$5:$I$1115,4,0))</f>
        <v/>
      </c>
      <c r="E107" s="187" t="str">
        <f ca="1">IF($A107="","",VLOOKUP($A107,JOURNAL!$C$5:$I$1115,3,0))</f>
        <v/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178" t="s">
        <v>16</v>
      </c>
      <c r="B108" s="179"/>
      <c r="C108" s="180"/>
      <c r="D108" s="181"/>
      <c r="E108" s="182">
        <f ca="1">SUM(E27:E75)</f>
        <v>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204" t="s">
        <v>206</v>
      </c>
      <c r="B109" s="205"/>
      <c r="C109" s="206"/>
      <c r="D109" s="205"/>
      <c r="E109" s="20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300" t="s">
        <v>3</v>
      </c>
      <c r="B110" s="197" t="s">
        <v>7</v>
      </c>
      <c r="C110" s="198" t="s">
        <v>4</v>
      </c>
      <c r="D110" s="197" t="s">
        <v>6</v>
      </c>
      <c r="E110" s="301" t="s">
        <v>5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302">
        <f>IF(ISNA(VLOOKUP($A$1&amp;" / "&amp;$A$109,JOURNAL!$B$5:$I$1115,2,0)),"",VLOOKUP($A$1&amp;" / "&amp;$A$109,JOURNAL!$B$5:$I$1115,2,0))</f>
        <v>87</v>
      </c>
      <c r="B111" s="201" t="str">
        <f>IF($A111="","",VLOOKUP($A111,JOURNAL!$C$5:$I$1115,5,0))</f>
        <v>AGE : achat vin AG</v>
      </c>
      <c r="C111" s="202">
        <f>IF($A111="","",VLOOKUP($A111,JOURNAL!$C$5:$I$1115,2,0))</f>
        <v>45988</v>
      </c>
      <c r="D111" s="201" t="str">
        <f>IF($A111="","",VLOOKUP($A111,JOURNAL!$C$5:$I$1115,4,0))</f>
        <v>BLV</v>
      </c>
      <c r="E111" s="303">
        <f>IF($A111="","",VLOOKUP($A111,JOURNAL!$C$5:$I$1115,3,0))</f>
        <v>54</v>
      </c>
      <c r="F111" s="4"/>
      <c r="G111" s="4"/>
      <c r="H111" s="4"/>
      <c r="I111" s="4"/>
      <c r="J111" s="42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302">
        <f ca="1">IF(A111="","",IF(ISNA(VLOOKUP($A$1&amp;" / "&amp;$A$109,INDIRECT(ADDRESS(A111+5,2,1,,"JOURNAL")&amp;":G500"),2,0)),"",VLOOKUP($A$1&amp;" / "&amp;$A$109,INDIRECT(ADDRESS(A111+5,2,1,,"JOURNAL")&amp;":G500"),2,0)))</f>
        <v>165</v>
      </c>
      <c r="B112" s="201" t="str">
        <f ca="1">IF($A112="","",VLOOKUP($A112,JOURNAL!$C$5:$I$1115,5,0))</f>
        <v>Vin pour AGE</v>
      </c>
      <c r="C112" s="202">
        <f ca="1">IF($A112="","",VLOOKUP($A112,JOURNAL!$C$5:$I$1115,2,0))</f>
        <v>46042</v>
      </c>
      <c r="D112" s="201" t="str">
        <f ca="1">IF($A112="","",VLOOKUP($A112,JOURNAL!$C$5:$I$1115,4,0))</f>
        <v>BLV</v>
      </c>
      <c r="E112" s="303">
        <f ca="1">IF($A112="","",VLOOKUP($A112,JOURNAL!$C$5:$I$1115,3,0))</f>
        <v>54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302" t="str">
        <f ca="1">IF(A112="","",IF(ISNA(VLOOKUP($A$1&amp;" / "&amp;$A$109,INDIRECT(ADDRESS(A112+5,2,1,,"JOURNAL")&amp;":G500"),2,0)),"",VLOOKUP($A$1&amp;" / "&amp;$A$109,INDIRECT(ADDRESS(A112+5,2,1,,"JOURNAL")&amp;":G500"),2,0)))</f>
        <v/>
      </c>
      <c r="B113" s="201" t="str">
        <f ca="1">IF($A113="","",VLOOKUP($A113,JOURNAL!$C$5:$I$1115,5,0))</f>
        <v/>
      </c>
      <c r="C113" s="202" t="str">
        <f ca="1">IF($A113="","",VLOOKUP($A113,JOURNAL!$C$5:$I$1115,2,0))</f>
        <v/>
      </c>
      <c r="D113" s="201" t="str">
        <f ca="1">IF($A113="","",VLOOKUP($A113,JOURNAL!$C$5:$I$1115,4,0))</f>
        <v/>
      </c>
      <c r="E113" s="303" t="str">
        <f ca="1">IF($A113="","",VLOOKUP($A113,JOURNAL!$C$5:$I$1115,3,0))</f>
        <v/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302" t="str">
        <f ca="1">IF(A113="","",IF(ISNA(VLOOKUP($A$1&amp;" / "&amp;$A$109,INDIRECT(ADDRESS(A113+5,2,1,,"JOURNAL")&amp;":G500"),2,0)),"",VLOOKUP($A$1&amp;" / "&amp;$A$109,INDIRECT(ADDRESS(A113+5,2,1,,"JOURNAL")&amp;":G500"),2,0)))</f>
        <v/>
      </c>
      <c r="B114" s="201" t="str">
        <f ca="1">IF($A114="","",VLOOKUP($A114,JOURNAL!$C$5:$I$1115,5,0))</f>
        <v/>
      </c>
      <c r="C114" s="202" t="str">
        <f ca="1">IF($A114="","",VLOOKUP($A114,JOURNAL!$C$5:$I$1115,2,0))</f>
        <v/>
      </c>
      <c r="D114" s="201" t="str">
        <f ca="1">IF($A114="","",VLOOKUP($A114,JOURNAL!$C$5:$I$1115,4,0))</f>
        <v/>
      </c>
      <c r="E114" s="303" t="str">
        <f ca="1">IF($A114="","",VLOOKUP($A114,JOURNAL!$C$5:$I$1115,3,0))</f>
        <v/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302" t="str">
        <f ca="1">IF(A114="","",IF(ISNA(VLOOKUP($A$1&amp;" / "&amp;$A$109,INDIRECT(ADDRESS(A114+5,2,1,,"JOURNAL")&amp;":G500"),2,0)),"",VLOOKUP($A$1&amp;" / "&amp;$A$109,INDIRECT(ADDRESS(A114+5,2,1,,"JOURNAL")&amp;":G500"),2,0)))</f>
        <v/>
      </c>
      <c r="B115" s="201" t="str">
        <f ca="1">IF($A115="","",VLOOKUP($A115,JOURNAL!$C$5:$I$1115,5,0))</f>
        <v/>
      </c>
      <c r="C115" s="202" t="str">
        <f ca="1">IF($A115="","",VLOOKUP($A115,JOURNAL!$C$5:$I$1115,2,0))</f>
        <v/>
      </c>
      <c r="D115" s="201" t="str">
        <f ca="1">IF($A115="","",VLOOKUP($A115,JOURNAL!$C$5:$I$1115,4,0))</f>
        <v/>
      </c>
      <c r="E115" s="303" t="str">
        <f ca="1">IF($A115="","",VLOOKUP($A115,JOURNAL!$C$5:$I$1115,3,0))</f>
        <v/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302" t="str">
        <f ca="1">IF(A115="","",IF(ISNA(VLOOKUP($A$1&amp;" / "&amp;$A$109,INDIRECT(ADDRESS(A115+5,2,1,,"JOURNAL")&amp;":G500"),2,0)),"",VLOOKUP($A$1&amp;" / "&amp;$A$109,INDIRECT(ADDRESS(A115+5,2,1,,"JOURNAL")&amp;":G500"),2,0)))</f>
        <v/>
      </c>
      <c r="B116" s="201" t="str">
        <f ca="1">IF($A116="","",VLOOKUP($A116,JOURNAL!$C$5:$I$1115,5,0))</f>
        <v/>
      </c>
      <c r="C116" s="202" t="str">
        <f ca="1">IF($A116="","",VLOOKUP($A116,JOURNAL!$C$5:$I$1115,2,0))</f>
        <v/>
      </c>
      <c r="D116" s="201" t="str">
        <f ca="1">IF($A116="","",VLOOKUP($A116,JOURNAL!$C$5:$I$1115,4,0))</f>
        <v/>
      </c>
      <c r="E116" s="303" t="str">
        <f ca="1">IF($A116="","",VLOOKUP($A116,JOURNAL!$C$5:$I$1115,3,0))</f>
        <v/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302" t="str">
        <f t="shared" ref="A117:A143" ca="1" si="2">IF(A116="","",IF(ISNA(VLOOKUP($A$1&amp;" / "&amp;$A$109,INDIRECT(ADDRESS(A116+5,2,1,,"JOURNAL")&amp;":G700"),2,0)),"",VLOOKUP($A$1&amp;" / "&amp;$A$109,INDIRECT(ADDRESS(A116+5,2,1,,"JOURNAL")&amp;":G700"),2,0)))</f>
        <v/>
      </c>
      <c r="B117" s="201" t="str">
        <f ca="1">IF($A117="","",VLOOKUP($A117,JOURNAL!$C$5:$I$1115,5,0))</f>
        <v/>
      </c>
      <c r="C117" s="202" t="str">
        <f ca="1">IF($A117="","",VLOOKUP($A117,JOURNAL!$C$5:$I$1115,2,0))</f>
        <v/>
      </c>
      <c r="D117" s="201" t="str">
        <f ca="1">IF($A117="","",VLOOKUP($A117,JOURNAL!$C$5:$I$1115,4,0))</f>
        <v/>
      </c>
      <c r="E117" s="303" t="str">
        <f ca="1">IF($A117="","",VLOOKUP($A117,JOURNAL!$C$5:$I$1115,3,0))</f>
        <v/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302" t="str">
        <f t="shared" ca="1" si="2"/>
        <v/>
      </c>
      <c r="B118" s="201" t="str">
        <f ca="1">IF($A118="","",VLOOKUP($A118,JOURNAL!$C$5:$I$1115,5,0))</f>
        <v/>
      </c>
      <c r="C118" s="202" t="str">
        <f ca="1">IF($A118="","",VLOOKUP($A118,JOURNAL!$C$5:$I$1115,2,0))</f>
        <v/>
      </c>
      <c r="D118" s="201" t="str">
        <f ca="1">IF($A118="","",VLOOKUP($A118,JOURNAL!$C$5:$I$1115,4,0))</f>
        <v/>
      </c>
      <c r="E118" s="303" t="str">
        <f ca="1">IF($A118="","",VLOOKUP($A118,JOURNAL!$C$5:$I$1115,3,0))</f>
        <v/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302" t="str">
        <f t="shared" ca="1" si="2"/>
        <v/>
      </c>
      <c r="B119" s="201" t="str">
        <f ca="1">IF($A119="","",VLOOKUP($A119,JOURNAL!$C$5:$I$1115,5,0))</f>
        <v/>
      </c>
      <c r="C119" s="202" t="str">
        <f ca="1">IF($A119="","",VLOOKUP($A119,JOURNAL!$C$5:$I$1115,2,0))</f>
        <v/>
      </c>
      <c r="D119" s="201" t="str">
        <f ca="1">IF($A119="","",VLOOKUP($A119,JOURNAL!$C$5:$I$1115,4,0))</f>
        <v/>
      </c>
      <c r="E119" s="303" t="str">
        <f ca="1">IF($A119="","",VLOOKUP($A119,JOURNAL!$C$5:$I$1115,3,0))</f>
        <v/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302" t="str">
        <f t="shared" ca="1" si="2"/>
        <v/>
      </c>
      <c r="B120" s="201" t="str">
        <f ca="1">IF($A120="","",VLOOKUP($A120,JOURNAL!$C$5:$I$1115,5,0))</f>
        <v/>
      </c>
      <c r="C120" s="202" t="str">
        <f ca="1">IF($A120="","",VLOOKUP($A120,JOURNAL!$C$5:$I$1115,2,0))</f>
        <v/>
      </c>
      <c r="D120" s="201" t="str">
        <f ca="1">IF($A120="","",VLOOKUP($A120,JOURNAL!$C$5:$I$1115,4,0))</f>
        <v/>
      </c>
      <c r="E120" s="303" t="str">
        <f ca="1">IF($A120="","",VLOOKUP($A120,JOURNAL!$C$5:$I$1115,3,0))</f>
        <v/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302" t="str">
        <f t="shared" ca="1" si="2"/>
        <v/>
      </c>
      <c r="B121" s="201" t="str">
        <f ca="1">IF($A121="","",VLOOKUP($A121,JOURNAL!$C$5:$I$1115,5,0))</f>
        <v/>
      </c>
      <c r="C121" s="202" t="str">
        <f ca="1">IF($A121="","",VLOOKUP($A121,JOURNAL!$C$5:$I$1115,2,0))</f>
        <v/>
      </c>
      <c r="D121" s="201" t="str">
        <f ca="1">IF($A121="","",VLOOKUP($A121,JOURNAL!$C$5:$I$1115,4,0))</f>
        <v/>
      </c>
      <c r="E121" s="303" t="str">
        <f ca="1">IF($A121="","",VLOOKUP($A121,JOURNAL!$C$5:$I$1115,3,0))</f>
        <v/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302" t="str">
        <f t="shared" ca="1" si="2"/>
        <v/>
      </c>
      <c r="B122" s="201" t="str">
        <f ca="1">IF($A122="","",VLOOKUP($A122,JOURNAL!$C$5:$I$1115,5,0))</f>
        <v/>
      </c>
      <c r="C122" s="202" t="str">
        <f ca="1">IF($A122="","",VLOOKUP($A122,JOURNAL!$C$5:$I$1115,2,0))</f>
        <v/>
      </c>
      <c r="D122" s="201" t="str">
        <f ca="1">IF($A122="","",VLOOKUP($A122,JOURNAL!$C$5:$I$1115,4,0))</f>
        <v/>
      </c>
      <c r="E122" s="303" t="str">
        <f ca="1">IF($A122="","",VLOOKUP($A122,JOURNAL!$C$5:$I$1115,3,0))</f>
        <v/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302" t="str">
        <f t="shared" ca="1" si="2"/>
        <v/>
      </c>
      <c r="B123" s="201" t="str">
        <f ca="1">IF($A123="","",VLOOKUP($A123,JOURNAL!$C$5:$I$1115,5,0))</f>
        <v/>
      </c>
      <c r="C123" s="202" t="str">
        <f ca="1">IF($A123="","",VLOOKUP($A123,JOURNAL!$C$5:$I$1115,2,0))</f>
        <v/>
      </c>
      <c r="D123" s="201" t="str">
        <f ca="1">IF($A123="","",VLOOKUP($A123,JOURNAL!$C$5:$I$1115,4,0))</f>
        <v/>
      </c>
      <c r="E123" s="303" t="str">
        <f ca="1">IF($A123="","",VLOOKUP($A123,JOURNAL!$C$5:$I$1115,3,0))</f>
        <v/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302" t="str">
        <f t="shared" ca="1" si="2"/>
        <v/>
      </c>
      <c r="B124" s="201" t="str">
        <f ca="1">IF($A124="","",VLOOKUP($A124,JOURNAL!$C$5:$I$1115,5,0))</f>
        <v/>
      </c>
      <c r="C124" s="202" t="str">
        <f ca="1">IF($A124="","",VLOOKUP($A124,JOURNAL!$C$5:$I$1115,2,0))</f>
        <v/>
      </c>
      <c r="D124" s="201" t="str">
        <f ca="1">IF($A124="","",VLOOKUP($A124,JOURNAL!$C$5:$I$1115,4,0))</f>
        <v/>
      </c>
      <c r="E124" s="303" t="str">
        <f ca="1">IF($A124="","",VLOOKUP($A124,JOURNAL!$C$5:$I$1115,3,0))</f>
        <v/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302" t="str">
        <f t="shared" ca="1" si="2"/>
        <v/>
      </c>
      <c r="B125" s="201" t="str">
        <f ca="1">IF($A125="","",VLOOKUP($A125,JOURNAL!$C$5:$I$1115,5,0))</f>
        <v/>
      </c>
      <c r="C125" s="202" t="str">
        <f ca="1">IF($A125="","",VLOOKUP($A125,JOURNAL!$C$5:$I$1115,2,0))</f>
        <v/>
      </c>
      <c r="D125" s="201" t="str">
        <f ca="1">IF($A125="","",VLOOKUP($A125,JOURNAL!$C$5:$I$1115,4,0))</f>
        <v/>
      </c>
      <c r="E125" s="303" t="str">
        <f ca="1">IF($A125="","",VLOOKUP($A125,JOURNAL!$C$5:$I$1115,3,0))</f>
        <v/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302" t="str">
        <f t="shared" ca="1" si="2"/>
        <v/>
      </c>
      <c r="B126" s="201" t="str">
        <f ca="1">IF($A126="","",VLOOKUP($A126,JOURNAL!$C$5:$I$1115,5,0))</f>
        <v/>
      </c>
      <c r="C126" s="202" t="str">
        <f ca="1">IF($A126="","",VLOOKUP($A126,JOURNAL!$C$5:$I$1115,2,0))</f>
        <v/>
      </c>
      <c r="D126" s="201" t="str">
        <f ca="1">IF($A126="","",VLOOKUP($A126,JOURNAL!$C$5:$I$1115,4,0))</f>
        <v/>
      </c>
      <c r="E126" s="303" t="str">
        <f ca="1">IF($A126="","",VLOOKUP($A126,JOURNAL!$C$5:$I$1115,3,0))</f>
        <v/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302" t="str">
        <f t="shared" ca="1" si="2"/>
        <v/>
      </c>
      <c r="B127" s="201" t="str">
        <f ca="1">IF($A127="","",VLOOKUP($A127,JOURNAL!$C$5:$I$1115,5,0))</f>
        <v/>
      </c>
      <c r="C127" s="202" t="str">
        <f ca="1">IF($A127="","",VLOOKUP($A127,JOURNAL!$C$5:$I$1115,2,0))</f>
        <v/>
      </c>
      <c r="D127" s="201" t="str">
        <f ca="1">IF($A127="","",VLOOKUP($A127,JOURNAL!$C$5:$I$1115,4,0))</f>
        <v/>
      </c>
      <c r="E127" s="303" t="str">
        <f ca="1">IF($A127="","",VLOOKUP($A127,JOURNAL!$C$5:$I$1115,3,0))</f>
        <v/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302" t="str">
        <f t="shared" ca="1" si="2"/>
        <v/>
      </c>
      <c r="B128" s="201" t="str">
        <f ca="1">IF($A128="","",VLOOKUP($A128,JOURNAL!$C$5:$I$1115,5,0))</f>
        <v/>
      </c>
      <c r="C128" s="202" t="str">
        <f ca="1">IF($A128="","",VLOOKUP($A128,JOURNAL!$C$5:$I$1115,2,0))</f>
        <v/>
      </c>
      <c r="D128" s="201" t="str">
        <f ca="1">IF($A128="","",VLOOKUP($A128,JOURNAL!$C$5:$I$1115,4,0))</f>
        <v/>
      </c>
      <c r="E128" s="303" t="str">
        <f ca="1">IF($A128="","",VLOOKUP($A128,JOURNAL!$C$5:$I$1115,3,0))</f>
        <v/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302" t="str">
        <f t="shared" ca="1" si="2"/>
        <v/>
      </c>
      <c r="B129" s="201" t="str">
        <f ca="1">IF($A129="","",VLOOKUP($A129,JOURNAL!$C$5:$I$1115,5,0))</f>
        <v/>
      </c>
      <c r="C129" s="202" t="str">
        <f ca="1">IF($A129="","",VLOOKUP($A129,JOURNAL!$C$5:$I$1115,2,0))</f>
        <v/>
      </c>
      <c r="D129" s="201" t="str">
        <f ca="1">IF($A129="","",VLOOKUP($A129,JOURNAL!$C$5:$I$1115,4,0))</f>
        <v/>
      </c>
      <c r="E129" s="303" t="str">
        <f ca="1">IF($A129="","",VLOOKUP($A129,JOURNAL!$C$5:$I$1115,3,0))</f>
        <v/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302" t="str">
        <f t="shared" ca="1" si="2"/>
        <v/>
      </c>
      <c r="B130" s="201" t="str">
        <f ca="1">IF($A130="","",VLOOKUP($A130,JOURNAL!$C$5:$I$1115,5,0))</f>
        <v/>
      </c>
      <c r="C130" s="202" t="str">
        <f ca="1">IF($A130="","",VLOOKUP($A130,JOURNAL!$C$5:$I$1115,2,0))</f>
        <v/>
      </c>
      <c r="D130" s="201" t="str">
        <f ca="1">IF($A130="","",VLOOKUP($A130,JOURNAL!$C$5:$I$1115,4,0))</f>
        <v/>
      </c>
      <c r="E130" s="303" t="str">
        <f ca="1">IF($A130="","",VLOOKUP($A130,JOURNAL!$C$5:$I$1115,3,0))</f>
        <v/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302" t="str">
        <f t="shared" ca="1" si="2"/>
        <v/>
      </c>
      <c r="B131" s="201" t="str">
        <f ca="1">IF($A131="","",VLOOKUP($A131,JOURNAL!$C$5:$I$1115,5,0))</f>
        <v/>
      </c>
      <c r="C131" s="202" t="str">
        <f ca="1">IF($A131="","",VLOOKUP($A131,JOURNAL!$C$5:$I$1115,2,0))</f>
        <v/>
      </c>
      <c r="D131" s="201" t="str">
        <f ca="1">IF($A131="","",VLOOKUP($A131,JOURNAL!$C$5:$I$1115,4,0))</f>
        <v/>
      </c>
      <c r="E131" s="303" t="str">
        <f ca="1">IF($A131="","",VLOOKUP($A131,JOURNAL!$C$5:$I$1115,3,0))</f>
        <v/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302" t="str">
        <f t="shared" ca="1" si="2"/>
        <v/>
      </c>
      <c r="B132" s="201" t="str">
        <f ca="1">IF($A132="","",VLOOKUP($A132,JOURNAL!$C$5:$I$1115,5,0))</f>
        <v/>
      </c>
      <c r="C132" s="202" t="str">
        <f ca="1">IF($A132="","",VLOOKUP($A132,JOURNAL!$C$5:$I$1115,2,0))</f>
        <v/>
      </c>
      <c r="D132" s="201" t="str">
        <f ca="1">IF($A132="","",VLOOKUP($A132,JOURNAL!$C$5:$I$1115,4,0))</f>
        <v/>
      </c>
      <c r="E132" s="303" t="str">
        <f ca="1">IF($A132="","",VLOOKUP($A132,JOURNAL!$C$5:$I$1115,3,0))</f>
        <v/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302" t="str">
        <f t="shared" ca="1" si="2"/>
        <v/>
      </c>
      <c r="B133" s="201" t="str">
        <f ca="1">IF($A133="","",VLOOKUP($A133,JOURNAL!$C$5:$I$1115,5,0))</f>
        <v/>
      </c>
      <c r="C133" s="202" t="str">
        <f ca="1">IF($A133="","",VLOOKUP($A133,JOURNAL!$C$5:$I$1115,2,0))</f>
        <v/>
      </c>
      <c r="D133" s="201" t="str">
        <f ca="1">IF($A133="","",VLOOKUP($A133,JOURNAL!$C$5:$I$1115,4,0))</f>
        <v/>
      </c>
      <c r="E133" s="303" t="str">
        <f ca="1">IF($A133="","",VLOOKUP($A133,JOURNAL!$C$5:$I$1115,3,0))</f>
        <v/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302" t="str">
        <f t="shared" ca="1" si="2"/>
        <v/>
      </c>
      <c r="B134" s="201" t="str">
        <f ca="1">IF($A134="","",VLOOKUP($A134,JOURNAL!$C$5:$I$1115,5,0))</f>
        <v/>
      </c>
      <c r="C134" s="202" t="str">
        <f ca="1">IF($A134="","",VLOOKUP($A134,JOURNAL!$C$5:$I$1115,2,0))</f>
        <v/>
      </c>
      <c r="D134" s="201" t="str">
        <f ca="1">IF($A134="","",VLOOKUP($A134,JOURNAL!$C$5:$I$1115,4,0))</f>
        <v/>
      </c>
      <c r="E134" s="303" t="str">
        <f ca="1">IF($A134="","",VLOOKUP($A134,JOURNAL!$C$5:$I$1115,3,0))</f>
        <v/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302" t="str">
        <f t="shared" ca="1" si="2"/>
        <v/>
      </c>
      <c r="B135" s="201" t="str">
        <f ca="1">IF($A135="","",VLOOKUP($A135,JOURNAL!$C$5:$I$1115,5,0))</f>
        <v/>
      </c>
      <c r="C135" s="202" t="str">
        <f ca="1">IF($A135="","",VLOOKUP($A135,JOURNAL!$C$5:$I$1115,2,0))</f>
        <v/>
      </c>
      <c r="D135" s="201" t="str">
        <f ca="1">IF($A135="","",VLOOKUP($A135,JOURNAL!$C$5:$I$1115,4,0))</f>
        <v/>
      </c>
      <c r="E135" s="303" t="str">
        <f ca="1">IF($A135="","",VLOOKUP($A135,JOURNAL!$C$5:$I$1115,3,0))</f>
        <v/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302" t="str">
        <f t="shared" ca="1" si="2"/>
        <v/>
      </c>
      <c r="B136" s="201" t="str">
        <f ca="1">IF($A136="","",VLOOKUP($A136,JOURNAL!$C$5:$I$1115,5,0))</f>
        <v/>
      </c>
      <c r="C136" s="202" t="str">
        <f ca="1">IF($A136="","",VLOOKUP($A136,JOURNAL!$C$5:$I$1115,2,0))</f>
        <v/>
      </c>
      <c r="D136" s="201" t="str">
        <f ca="1">IF($A136="","",VLOOKUP($A136,JOURNAL!$C$5:$I$1115,4,0))</f>
        <v/>
      </c>
      <c r="E136" s="303" t="str">
        <f ca="1">IF($A136="","",VLOOKUP($A136,JOURNAL!$C$5:$I$1115,3,0))</f>
        <v/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302" t="str">
        <f t="shared" ca="1" si="2"/>
        <v/>
      </c>
      <c r="B137" s="201" t="str">
        <f ca="1">IF($A137="","",VLOOKUP($A137,JOURNAL!$C$5:$I$1115,5,0))</f>
        <v/>
      </c>
      <c r="C137" s="202" t="str">
        <f ca="1">IF($A137="","",VLOOKUP($A137,JOURNAL!$C$5:$I$1115,2,0))</f>
        <v/>
      </c>
      <c r="D137" s="201" t="str">
        <f ca="1">IF($A137="","",VLOOKUP($A137,JOURNAL!$C$5:$I$1115,4,0))</f>
        <v/>
      </c>
      <c r="E137" s="303" t="str">
        <f ca="1">IF($A137="","",VLOOKUP($A137,JOURNAL!$C$5:$I$1115,3,0))</f>
        <v/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302" t="str">
        <f t="shared" ca="1" si="2"/>
        <v/>
      </c>
      <c r="B138" s="201" t="str">
        <f ca="1">IF($A138="","",VLOOKUP($A138,JOURNAL!$C$5:$I$1115,5,0))</f>
        <v/>
      </c>
      <c r="C138" s="202" t="str">
        <f ca="1">IF($A138="","",VLOOKUP($A138,JOURNAL!$C$5:$I$1115,2,0))</f>
        <v/>
      </c>
      <c r="D138" s="201" t="str">
        <f ca="1">IF($A138="","",VLOOKUP($A138,JOURNAL!$C$5:$I$1115,4,0))</f>
        <v/>
      </c>
      <c r="E138" s="303" t="str">
        <f ca="1">IF($A138="","",VLOOKUP($A138,JOURNAL!$C$5:$I$1115,3,0))</f>
        <v/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302" t="str">
        <f t="shared" ca="1" si="2"/>
        <v/>
      </c>
      <c r="B139" s="201" t="str">
        <f ca="1">IF($A139="","",VLOOKUP($A139,JOURNAL!$C$5:$I$1115,5,0))</f>
        <v/>
      </c>
      <c r="C139" s="202" t="str">
        <f ca="1">IF($A139="","",VLOOKUP($A139,JOURNAL!$C$5:$I$1115,2,0))</f>
        <v/>
      </c>
      <c r="D139" s="201" t="str">
        <f ca="1">IF($A139="","",VLOOKUP($A139,JOURNAL!$C$5:$I$1115,4,0))</f>
        <v/>
      </c>
      <c r="E139" s="303" t="str">
        <f ca="1">IF($A139="","",VLOOKUP($A139,JOURNAL!$C$5:$I$1115,3,0))</f>
        <v/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302" t="str">
        <f t="shared" ca="1" si="2"/>
        <v/>
      </c>
      <c r="B140" s="201" t="str">
        <f ca="1">IF($A140="","",VLOOKUP($A140,JOURNAL!$C$5:$I$1115,5,0))</f>
        <v/>
      </c>
      <c r="C140" s="202" t="str">
        <f ca="1">IF($A140="","",VLOOKUP($A140,JOURNAL!$C$5:$I$1115,2,0))</f>
        <v/>
      </c>
      <c r="D140" s="201" t="str">
        <f ca="1">IF($A140="","",VLOOKUP($A140,JOURNAL!$C$5:$I$1115,4,0))</f>
        <v/>
      </c>
      <c r="E140" s="303" t="str">
        <f ca="1">IF($A140="","",VLOOKUP($A140,JOURNAL!$C$5:$I$1115,3,0))</f>
        <v/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302" t="str">
        <f t="shared" ca="1" si="2"/>
        <v/>
      </c>
      <c r="B141" s="201" t="str">
        <f ca="1">IF($A141="","",VLOOKUP($A141,JOURNAL!$C$5:$I$1115,5,0))</f>
        <v/>
      </c>
      <c r="C141" s="202" t="str">
        <f ca="1">IF($A141="","",VLOOKUP($A141,JOURNAL!$C$5:$I$1115,2,0))</f>
        <v/>
      </c>
      <c r="D141" s="201" t="str">
        <f ca="1">IF($A141="","",VLOOKUP($A141,JOURNAL!$C$5:$I$1115,4,0))</f>
        <v/>
      </c>
      <c r="E141" s="303" t="str">
        <f ca="1">IF($A141="","",VLOOKUP($A141,JOURNAL!$C$5:$I$1115,3,0))</f>
        <v/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302" t="str">
        <f t="shared" ca="1" si="2"/>
        <v/>
      </c>
      <c r="B142" s="201" t="str">
        <f ca="1">IF($A142="","",VLOOKUP($A142,JOURNAL!$C$5:$I$1115,5,0))</f>
        <v/>
      </c>
      <c r="C142" s="202" t="str">
        <f ca="1">IF($A142="","",VLOOKUP($A142,JOURNAL!$C$5:$I$1115,2,0))</f>
        <v/>
      </c>
      <c r="D142" s="201" t="str">
        <f ca="1">IF($A142="","",VLOOKUP($A142,JOURNAL!$C$5:$I$1115,4,0))</f>
        <v/>
      </c>
      <c r="E142" s="303" t="str">
        <f ca="1">IF($A142="","",VLOOKUP($A142,JOURNAL!$C$5:$I$1115,3,0))</f>
        <v/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302" t="str">
        <f t="shared" ca="1" si="2"/>
        <v/>
      </c>
      <c r="B143" s="201" t="str">
        <f ca="1">IF($A143="","",VLOOKUP($A143,JOURNAL!$C$5:$I$1115,5,0))</f>
        <v/>
      </c>
      <c r="C143" s="202" t="str">
        <f ca="1">IF($A143="","",VLOOKUP($A143,JOURNAL!$C$5:$I$1115,2,0))</f>
        <v/>
      </c>
      <c r="D143" s="201" t="str">
        <f ca="1">IF($A143="","",VLOOKUP($A143,JOURNAL!$C$5:$I$1115,4,0))</f>
        <v/>
      </c>
      <c r="E143" s="303" t="str">
        <f ca="1">IF($A143="","",VLOOKUP($A143,JOURNAL!$C$5:$I$1115,3,0))</f>
        <v/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300" t="s">
        <v>16</v>
      </c>
      <c r="B144" s="197"/>
      <c r="C144" s="198"/>
      <c r="D144" s="197"/>
      <c r="E144" s="301">
        <f ca="1">SUM(E111:E133)</f>
        <v>108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">
      <c r="A257" s="51"/>
      <c r="B257" s="4"/>
      <c r="C257" s="149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">
      <c r="A258" s="51"/>
      <c r="B258" s="4"/>
      <c r="C258" s="149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2">
      <c r="A259" s="51"/>
      <c r="B259" s="4"/>
      <c r="C259" s="149"/>
      <c r="D259" s="4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2">
      <c r="A260" s="51"/>
      <c r="B260" s="4"/>
      <c r="C260" s="149"/>
      <c r="D260" s="4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2">
      <c r="A261" s="51"/>
      <c r="B261" s="4"/>
      <c r="C261" s="149"/>
      <c r="D261" s="4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2">
      <c r="A262" s="51"/>
      <c r="B262" s="4"/>
      <c r="C262" s="149"/>
      <c r="D262" s="4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2">
      <c r="A263" s="51"/>
      <c r="B263" s="4"/>
      <c r="C263" s="149"/>
      <c r="D263" s="4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2">
      <c r="A264" s="51"/>
      <c r="B264" s="4"/>
      <c r="C264" s="149"/>
      <c r="D264" s="4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2">
      <c r="A265" s="51"/>
      <c r="B265" s="4"/>
      <c r="C265" s="149"/>
      <c r="D265" s="4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2">
      <c r="A266" s="51"/>
      <c r="B266" s="4"/>
      <c r="C266" s="149"/>
      <c r="D266" s="4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2">
      <c r="A267" s="51"/>
      <c r="B267" s="4"/>
      <c r="C267" s="149"/>
      <c r="D267" s="4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2">
      <c r="A268" s="51"/>
      <c r="B268" s="4"/>
      <c r="C268" s="149"/>
      <c r="D268" s="4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2">
      <c r="A269" s="51"/>
      <c r="B269" s="4"/>
      <c r="C269" s="149"/>
      <c r="D269" s="4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2">
      <c r="A270" s="51"/>
      <c r="B270" s="4"/>
      <c r="C270" s="149"/>
      <c r="D270" s="4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2">
      <c r="A271" s="51"/>
      <c r="B271" s="4"/>
      <c r="C271" s="149"/>
      <c r="D271" s="4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2">
      <c r="A272" s="51"/>
      <c r="B272" s="4"/>
      <c r="C272" s="149"/>
      <c r="D272" s="4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2">
      <c r="A273" s="51"/>
      <c r="B273" s="4"/>
      <c r="C273" s="149"/>
      <c r="D273" s="4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 x14ac:dyDescent="0.2">
      <c r="A274" s="51"/>
      <c r="B274" s="4"/>
      <c r="C274" s="149"/>
      <c r="D274" s="4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2">
      <c r="A275" s="51"/>
      <c r="B275" s="4"/>
      <c r="C275" s="149"/>
      <c r="D275" s="4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2">
      <c r="A276" s="51"/>
      <c r="B276" s="4"/>
      <c r="C276" s="149"/>
      <c r="D276" s="4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2">
      <c r="A277" s="51"/>
      <c r="B277" s="4"/>
      <c r="C277" s="149"/>
      <c r="D277" s="4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2">
      <c r="A278" s="51"/>
      <c r="B278" s="4"/>
      <c r="C278" s="149"/>
      <c r="D278" s="4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2">
      <c r="A279" s="51"/>
      <c r="B279" s="4"/>
      <c r="C279" s="149"/>
      <c r="D279" s="4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 x14ac:dyDescent="0.2">
      <c r="A280" s="51"/>
      <c r="B280" s="4"/>
      <c r="C280" s="149"/>
      <c r="D280" s="4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 x14ac:dyDescent="0.2">
      <c r="A281" s="51"/>
      <c r="B281" s="4"/>
      <c r="C281" s="149"/>
      <c r="D281" s="4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 x14ac:dyDescent="0.2">
      <c r="A282" s="51"/>
      <c r="B282" s="4"/>
      <c r="C282" s="149"/>
      <c r="D282" s="4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 x14ac:dyDescent="0.2">
      <c r="A283" s="51"/>
      <c r="B283" s="4"/>
      <c r="C283" s="149"/>
      <c r="D283" s="4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 x14ac:dyDescent="0.2">
      <c r="A284" s="51"/>
      <c r="B284" s="4"/>
      <c r="C284" s="149"/>
      <c r="D284" s="4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 x14ac:dyDescent="0.2">
      <c r="A285" s="51"/>
      <c r="B285" s="4"/>
      <c r="C285" s="149"/>
      <c r="D285" s="4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 x14ac:dyDescent="0.2">
      <c r="A286" s="51"/>
      <c r="B286" s="4"/>
      <c r="C286" s="149"/>
      <c r="D286" s="4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 x14ac:dyDescent="0.2">
      <c r="A287" s="51"/>
      <c r="B287" s="4"/>
      <c r="C287" s="149"/>
      <c r="D287" s="4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 x14ac:dyDescent="0.2">
      <c r="A288" s="51"/>
      <c r="B288" s="4"/>
      <c r="C288" s="149"/>
      <c r="D288" s="4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 x14ac:dyDescent="0.2">
      <c r="A289" s="51"/>
      <c r="B289" s="4"/>
      <c r="C289" s="149"/>
      <c r="D289" s="4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 x14ac:dyDescent="0.2">
      <c r="A290" s="51"/>
      <c r="B290" s="4"/>
      <c r="C290" s="149"/>
      <c r="D290" s="4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 x14ac:dyDescent="0.2">
      <c r="A291" s="51"/>
      <c r="B291" s="4"/>
      <c r="C291" s="149"/>
      <c r="D291" s="4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 x14ac:dyDescent="0.2">
      <c r="A292" s="51"/>
      <c r="B292" s="4"/>
      <c r="C292" s="149"/>
      <c r="D292" s="4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 x14ac:dyDescent="0.2">
      <c r="A293" s="51"/>
      <c r="B293" s="4"/>
      <c r="C293" s="149"/>
      <c r="D293" s="4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 x14ac:dyDescent="0.2">
      <c r="A294" s="51"/>
      <c r="B294" s="4"/>
      <c r="C294" s="149"/>
      <c r="D294" s="4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 x14ac:dyDescent="0.2">
      <c r="A295" s="51"/>
      <c r="B295" s="4"/>
      <c r="C295" s="149"/>
      <c r="D295" s="4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 x14ac:dyDescent="0.2">
      <c r="A296" s="51"/>
      <c r="B296" s="4"/>
      <c r="C296" s="149"/>
      <c r="D296" s="4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 x14ac:dyDescent="0.2">
      <c r="A297" s="51"/>
      <c r="B297" s="4"/>
      <c r="C297" s="149"/>
      <c r="D297" s="4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 x14ac:dyDescent="0.2">
      <c r="A298" s="51"/>
      <c r="B298" s="4"/>
      <c r="C298" s="149"/>
      <c r="D298" s="4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 x14ac:dyDescent="0.2">
      <c r="A299" s="51"/>
      <c r="B299" s="4"/>
      <c r="C299" s="149"/>
      <c r="D299" s="4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 x14ac:dyDescent="0.2">
      <c r="A300" s="51"/>
      <c r="B300" s="4"/>
      <c r="C300" s="149"/>
      <c r="D300" s="4"/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 x14ac:dyDescent="0.2">
      <c r="A301" s="51"/>
      <c r="B301" s="4"/>
      <c r="C301" s="149"/>
      <c r="D301" s="4"/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 x14ac:dyDescent="0.2">
      <c r="A302" s="51"/>
      <c r="B302" s="4"/>
      <c r="C302" s="149"/>
      <c r="D302" s="4"/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 x14ac:dyDescent="0.2">
      <c r="A303" s="51"/>
      <c r="B303" s="4"/>
      <c r="C303" s="149"/>
      <c r="D303" s="4"/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 x14ac:dyDescent="0.2">
      <c r="A304" s="51"/>
      <c r="B304" s="4"/>
      <c r="C304" s="149"/>
      <c r="D304" s="4"/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 x14ac:dyDescent="0.2">
      <c r="A305" s="51"/>
      <c r="B305" s="4"/>
      <c r="C305" s="149"/>
      <c r="D305" s="4"/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 x14ac:dyDescent="0.2">
      <c r="A306" s="51"/>
      <c r="B306" s="4"/>
      <c r="C306" s="149"/>
      <c r="D306" s="4"/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 x14ac:dyDescent="0.2">
      <c r="A307" s="51"/>
      <c r="B307" s="4"/>
      <c r="C307" s="149"/>
      <c r="D307" s="4"/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 x14ac:dyDescent="0.2">
      <c r="A308" s="51"/>
      <c r="B308" s="4"/>
      <c r="C308" s="149"/>
      <c r="D308" s="4"/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 x14ac:dyDescent="0.2">
      <c r="A309" s="51"/>
      <c r="B309" s="4"/>
      <c r="C309" s="149"/>
      <c r="D309" s="4"/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 x14ac:dyDescent="0.2">
      <c r="A310" s="51"/>
      <c r="B310" s="4"/>
      <c r="C310" s="149"/>
      <c r="D310" s="4"/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 x14ac:dyDescent="0.2">
      <c r="A311" s="51"/>
      <c r="B311" s="4"/>
      <c r="C311" s="149"/>
      <c r="D311" s="4"/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 x14ac:dyDescent="0.2">
      <c r="A312" s="51"/>
      <c r="B312" s="4"/>
      <c r="C312" s="149"/>
      <c r="D312" s="4"/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 x14ac:dyDescent="0.2">
      <c r="A313" s="51"/>
      <c r="B313" s="4"/>
      <c r="C313" s="149"/>
      <c r="D313" s="4"/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 x14ac:dyDescent="0.2">
      <c r="A314" s="51"/>
      <c r="B314" s="4"/>
      <c r="C314" s="149"/>
      <c r="D314" s="4"/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 x14ac:dyDescent="0.2">
      <c r="A315" s="51"/>
      <c r="B315" s="4"/>
      <c r="C315" s="149"/>
      <c r="D315" s="4"/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 x14ac:dyDescent="0.2">
      <c r="A316" s="51"/>
      <c r="B316" s="4"/>
      <c r="C316" s="149"/>
      <c r="D316" s="4"/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 x14ac:dyDescent="0.2">
      <c r="A317" s="51"/>
      <c r="B317" s="4"/>
      <c r="C317" s="149"/>
      <c r="D317" s="4"/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 x14ac:dyDescent="0.2">
      <c r="A318" s="51"/>
      <c r="B318" s="4"/>
      <c r="C318" s="149"/>
      <c r="D318" s="4"/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 x14ac:dyDescent="0.2">
      <c r="A319" s="51"/>
      <c r="B319" s="4"/>
      <c r="C319" s="149"/>
      <c r="D319" s="4"/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 x14ac:dyDescent="0.2">
      <c r="A320" s="51"/>
      <c r="B320" s="4"/>
      <c r="C320" s="149"/>
      <c r="D320" s="4"/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 x14ac:dyDescent="0.2">
      <c r="A321" s="51"/>
      <c r="B321" s="4"/>
      <c r="C321" s="149"/>
      <c r="D321" s="4"/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 x14ac:dyDescent="0.2">
      <c r="A322" s="51"/>
      <c r="B322" s="4"/>
      <c r="C322" s="149"/>
      <c r="D322" s="4"/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 x14ac:dyDescent="0.2">
      <c r="A323" s="51"/>
      <c r="B323" s="4"/>
      <c r="C323" s="149"/>
      <c r="D323" s="4"/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 x14ac:dyDescent="0.2">
      <c r="A324" s="51"/>
      <c r="B324" s="4"/>
      <c r="C324" s="149"/>
      <c r="D324" s="4"/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 x14ac:dyDescent="0.2">
      <c r="A325" s="51"/>
      <c r="B325" s="4"/>
      <c r="C325" s="149"/>
      <c r="D325" s="4"/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 x14ac:dyDescent="0.2">
      <c r="A326" s="51"/>
      <c r="B326" s="4"/>
      <c r="C326" s="149"/>
      <c r="D326" s="4"/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 x14ac:dyDescent="0.2">
      <c r="A327" s="51"/>
      <c r="B327" s="4"/>
      <c r="C327" s="149"/>
      <c r="D327" s="4"/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 x14ac:dyDescent="0.2">
      <c r="A328" s="51"/>
      <c r="B328" s="4"/>
      <c r="C328" s="149"/>
      <c r="D328" s="4"/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 x14ac:dyDescent="0.2">
      <c r="A329" s="51"/>
      <c r="B329" s="4"/>
      <c r="C329" s="149"/>
      <c r="D329" s="4"/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 x14ac:dyDescent="0.2">
      <c r="A330" s="51"/>
      <c r="B330" s="4"/>
      <c r="C330" s="149"/>
      <c r="D330" s="4"/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 x14ac:dyDescent="0.2">
      <c r="A331" s="51"/>
      <c r="B331" s="4"/>
      <c r="C331" s="149"/>
      <c r="D331" s="4"/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 x14ac:dyDescent="0.2">
      <c r="A332" s="51"/>
      <c r="B332" s="4"/>
      <c r="C332" s="149"/>
      <c r="D332" s="4"/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 x14ac:dyDescent="0.2">
      <c r="A333" s="51"/>
      <c r="B333" s="4"/>
      <c r="C333" s="149"/>
      <c r="D333" s="4"/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 x14ac:dyDescent="0.2">
      <c r="A334" s="51"/>
      <c r="B334" s="4"/>
      <c r="C334" s="149"/>
      <c r="D334" s="4"/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 x14ac:dyDescent="0.2">
      <c r="A335" s="51"/>
      <c r="B335" s="4"/>
      <c r="C335" s="149"/>
      <c r="D335" s="4"/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 x14ac:dyDescent="0.2">
      <c r="A336" s="51"/>
      <c r="B336" s="4"/>
      <c r="C336" s="149"/>
      <c r="D336" s="4"/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 x14ac:dyDescent="0.2">
      <c r="A337" s="51"/>
      <c r="B337" s="4"/>
      <c r="C337" s="149"/>
      <c r="D337" s="4"/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 x14ac:dyDescent="0.2">
      <c r="A338" s="51"/>
      <c r="B338" s="4"/>
      <c r="C338" s="149"/>
      <c r="D338" s="4"/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 x14ac:dyDescent="0.2">
      <c r="A339" s="51"/>
      <c r="B339" s="4"/>
      <c r="C339" s="149"/>
      <c r="D339" s="4"/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 x14ac:dyDescent="0.2">
      <c r="A340" s="51"/>
      <c r="B340" s="4"/>
      <c r="C340" s="149"/>
      <c r="D340" s="4"/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 x14ac:dyDescent="0.2">
      <c r="A341" s="51"/>
      <c r="B341" s="4"/>
      <c r="C341" s="149"/>
      <c r="D341" s="4"/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 x14ac:dyDescent="0.2">
      <c r="A342" s="51"/>
      <c r="B342" s="4"/>
      <c r="C342" s="149"/>
      <c r="D342" s="4"/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 x14ac:dyDescent="0.2">
      <c r="A343" s="51"/>
      <c r="B343" s="4"/>
      <c r="C343" s="149"/>
      <c r="D343" s="4"/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 x14ac:dyDescent="0.2">
      <c r="A344" s="51"/>
      <c r="B344" s="4"/>
      <c r="C344" s="149"/>
      <c r="D344" s="4"/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/>
    <row r="346" spans="1:26" ht="15.75" customHeight="1" x14ac:dyDescent="0.2"/>
    <row r="347" spans="1:26" ht="15.75" customHeight="1" x14ac:dyDescent="0.2"/>
    <row r="348" spans="1:26" ht="15.75" customHeight="1" x14ac:dyDescent="0.2"/>
    <row r="349" spans="1:26" ht="15.75" customHeight="1" x14ac:dyDescent="0.2"/>
    <row r="350" spans="1:26" ht="15.75" customHeight="1" x14ac:dyDescent="0.2"/>
    <row r="351" spans="1:26" ht="15.75" customHeight="1" x14ac:dyDescent="0.2"/>
    <row r="352" spans="1:26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4:E24"/>
  </mergeCells>
  <dataValidations count="1">
    <dataValidation type="list" allowBlank="1" showErrorMessage="1" sqref="A6:A12 A16:A21" xr:uid="{00000000-0002-0000-0D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65.1640625" customWidth="1"/>
    <col min="3" max="3" width="13.1640625" customWidth="1"/>
    <col min="4" max="4" width="12" customWidth="1"/>
    <col min="5" max="5" width="15.6640625" customWidth="1"/>
    <col min="6" max="8" width="9.1640625" hidden="1" customWidth="1"/>
    <col min="9" max="9" width="15.5" hidden="1" customWidth="1"/>
    <col min="10" max="10" width="30.33203125" customWidth="1"/>
    <col min="11" max="26" width="9" customWidth="1"/>
  </cols>
  <sheetData>
    <row r="1" spans="1:26" ht="25.5" customHeight="1" x14ac:dyDescent="0.25">
      <c r="A1" s="360" t="s">
        <v>354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7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17" t="s">
        <v>7</v>
      </c>
      <c r="C5" s="158"/>
      <c r="D5" s="159"/>
      <c r="E5" s="218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215" t="s">
        <v>355</v>
      </c>
      <c r="C6" s="189"/>
      <c r="D6" s="190"/>
      <c r="E6" s="216">
        <v>2400</v>
      </c>
      <c r="F6" s="48" t="s">
        <v>261</v>
      </c>
      <c r="G6" s="4"/>
      <c r="H6" s="4"/>
      <c r="I6" s="48" t="s">
        <v>262</v>
      </c>
      <c r="J6" s="4" t="s">
        <v>356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215" t="s">
        <v>357</v>
      </c>
      <c r="C7" s="189"/>
      <c r="D7" s="190"/>
      <c r="E7" s="216">
        <v>300</v>
      </c>
      <c r="F7" s="4"/>
      <c r="G7" s="4"/>
      <c r="H7" s="4"/>
      <c r="I7" s="4"/>
      <c r="J7" s="48" t="s">
        <v>358</v>
      </c>
      <c r="K7" s="48" t="s">
        <v>359</v>
      </c>
      <c r="L7" s="4"/>
      <c r="M7" s="48">
        <v>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215" t="s">
        <v>360</v>
      </c>
      <c r="C8" s="189"/>
      <c r="D8" s="215"/>
      <c r="E8" s="216">
        <v>9000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215" t="s">
        <v>58</v>
      </c>
      <c r="C9" s="189"/>
      <c r="D9" s="215"/>
      <c r="E9" s="216">
        <v>200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215"/>
      <c r="C10" s="189"/>
      <c r="D10" s="215"/>
      <c r="E10" s="2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188"/>
      <c r="C11" s="189"/>
      <c r="D11" s="190"/>
      <c r="E11" s="21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188"/>
      <c r="C12" s="189"/>
      <c r="D12" s="190"/>
      <c r="E12" s="2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61"/>
      <c r="B13" s="188"/>
      <c r="C13" s="189"/>
      <c r="D13" s="190"/>
      <c r="E13" s="2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78" t="s">
        <v>16</v>
      </c>
      <c r="B14" s="179"/>
      <c r="C14" s="180"/>
      <c r="D14" s="181"/>
      <c r="E14" s="182">
        <f>SUM(E6:E13)</f>
        <v>11900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83" t="s">
        <v>206</v>
      </c>
      <c r="B15" s="184"/>
      <c r="C15" s="185"/>
      <c r="D15" s="184"/>
      <c r="E15" s="18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56" t="s">
        <v>218</v>
      </c>
      <c r="B16" s="208" t="s">
        <v>7</v>
      </c>
      <c r="C16" s="158"/>
      <c r="D16" s="159"/>
      <c r="E16" s="160" t="s">
        <v>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61"/>
      <c r="B17" s="188"/>
      <c r="C17" s="189"/>
      <c r="D17" s="190"/>
      <c r="E17" s="18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188"/>
      <c r="C18" s="189"/>
      <c r="D18" s="190"/>
      <c r="E18" s="18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188"/>
      <c r="C19" s="189"/>
      <c r="D19" s="190"/>
      <c r="E19" s="18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188"/>
      <c r="C20" s="189"/>
      <c r="D20" s="190"/>
      <c r="E20" s="18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188"/>
      <c r="C21" s="189"/>
      <c r="D21" s="190"/>
      <c r="E21" s="18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61"/>
      <c r="B22" s="188"/>
      <c r="C22" s="189"/>
      <c r="D22" s="190"/>
      <c r="E22" s="18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61"/>
      <c r="B23" s="188"/>
      <c r="C23" s="189"/>
      <c r="D23" s="190"/>
      <c r="E23" s="18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78" t="s">
        <v>16</v>
      </c>
      <c r="B24" s="179"/>
      <c r="C24" s="180"/>
      <c r="D24" s="181"/>
      <c r="E24" s="182">
        <f>SUM(E17:E23)</f>
        <v>0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6.5" customHeight="1" x14ac:dyDescent="0.2">
      <c r="A25" s="51"/>
      <c r="B25" s="4"/>
      <c r="C25" s="149"/>
      <c r="D25" s="4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377" t="s">
        <v>204</v>
      </c>
      <c r="B26" s="375"/>
      <c r="C26" s="375"/>
      <c r="D26" s="375"/>
      <c r="E26" s="37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193" t="s">
        <v>205</v>
      </c>
      <c r="B27" s="194"/>
      <c r="C27" s="195"/>
      <c r="D27" s="194"/>
      <c r="E27" s="19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56" t="s">
        <v>3</v>
      </c>
      <c r="B28" s="197" t="s">
        <v>7</v>
      </c>
      <c r="C28" s="198" t="s">
        <v>4</v>
      </c>
      <c r="D28" s="199" t="s">
        <v>6</v>
      </c>
      <c r="E28" s="160" t="s">
        <v>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200" t="str">
        <f>IF(ISNA(VLOOKUP($A$1&amp;" / "&amp;$A$27,JOURNAL!$B$5:$I$1115,2,0)),"",VLOOKUP($A$1&amp;" / "&amp;$A$27,JOURNAL!$B$5:$I$1115,2,0))</f>
        <v/>
      </c>
      <c r="B29" s="201"/>
      <c r="C29" s="202" t="str">
        <f>IF($A29="","",VLOOKUP($A29,JOURNAL!$C$5:$I$1115,2,0))</f>
        <v/>
      </c>
      <c r="D29" s="201" t="str">
        <f>IF($A29="","",VLOOKUP($A29,JOURNAL!$C$5:$I$1115,4,0))</f>
        <v/>
      </c>
      <c r="E29" s="187" t="str">
        <f>IF($A29="","",VLOOKUP($A29,JOURNAL!$C$5:$I$1115,3,0))</f>
        <v/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 t="str">
        <f t="array" aca="1" ref="A30" ca="1">IF(A29="","",IF(ISNA(VLOOKUP($A$1&amp;" / "&amp;$A$27,INDIRECT(ADDRESS(A29+5,2,1,,"JOURNAL")&amp;":G500"),2,0)),"",VLOOKUP($A$1&amp;" / "&amp;$A$27,INDIRECT(ADDRESS(A29+5,2,1,,"JOURNAL")&amp;":G500"),2,0)))</f>
        <v/>
      </c>
      <c r="B30" s="201" t="str">
        <f ca="1">IF($A30="","",VLOOKUP($A30,JOURNAL!$C$5:$I$1115,5,0))</f>
        <v/>
      </c>
      <c r="C30" s="202" t="str">
        <f ca="1">IF($A30="","",VLOOKUP($A30,JOURNAL!$C$5:$I$1115,2,0))</f>
        <v/>
      </c>
      <c r="D30" s="201" t="str">
        <f ca="1">IF($A30="","",VLOOKUP($A30,JOURNAL!$C$5:$I$1115,4,0))</f>
        <v/>
      </c>
      <c r="E30" s="187" t="str">
        <f ca="1">IF($A30="","",VLOOKUP($A30,JOURNAL!$C$5:$I$1115,3,0))</f>
        <v/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 t="str">
        <f t="shared" ref="A31:A44" ca="1" si="0">IF(A30="","",IF(ISNA(VLOOKUP($A$1&amp;" / "&amp;$A$27,INDIRECT(ADDRESS(A30+5,2,1,,"JOURNAL")&amp;":G700"),2,0)),"",VLOOKUP($A$1&amp;" / "&amp;$A$27,INDIRECT(ADDRESS(A30+5,2,1,,"JOURNAL")&amp;":G700"),2,0)))</f>
        <v/>
      </c>
      <c r="B31" s="201" t="str">
        <f ca="1">IF($A31="","",VLOOKUP($A31,JOURNAL!$C$5:$I$1115,5,0))</f>
        <v/>
      </c>
      <c r="C31" s="202" t="str">
        <f ca="1">IF($A31="","",VLOOKUP($A31,JOURNAL!$C$5:$I$1115,2,0))</f>
        <v/>
      </c>
      <c r="D31" s="201" t="str">
        <f ca="1">IF($A31="","",VLOOKUP($A31,JOURNAL!$C$5:$I$1115,4,0))</f>
        <v/>
      </c>
      <c r="E31" s="187" t="str">
        <f ca="1">IF($A31="","",VLOOKUP($A31,JOURNAL!$C$5:$I$1115,3,0))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 t="str">
        <f t="shared" ca="1" si="0"/>
        <v/>
      </c>
      <c r="B32" s="201" t="str">
        <f ca="1">IF($A32="","",VLOOKUP($A32,JOURNAL!$C$5:$I$1115,5,0))</f>
        <v/>
      </c>
      <c r="C32" s="202" t="str">
        <f ca="1">IF($A32="","",VLOOKUP($A32,JOURNAL!$C$5:$I$1115,2,0))</f>
        <v/>
      </c>
      <c r="D32" s="201" t="str">
        <f ca="1">IF($A32="","",VLOOKUP($A32,JOURNAL!$C$5:$I$1115,4,0))</f>
        <v/>
      </c>
      <c r="E32" s="187" t="str">
        <f ca="1">IF($A32="","",VLOOKUP($A32,JOURNAL!$C$5:$I$1115,3,0))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t="shared" ca="1" si="0"/>
        <v/>
      </c>
      <c r="B33" s="201" t="str">
        <f ca="1">IF($A33="","",VLOOKUP($A33,JOURNAL!$C$5:$I$1115,5,0))</f>
        <v/>
      </c>
      <c r="C33" s="202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shared" ca="1" si="0"/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t="shared" ca="1" si="0"/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178" t="s">
        <v>16</v>
      </c>
      <c r="B45" s="179"/>
      <c r="C45" s="180"/>
      <c r="D45" s="181"/>
      <c r="E45" s="182">
        <f ca="1">SUM(E29:E44)</f>
        <v>0</v>
      </c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6.5" customHeight="1" x14ac:dyDescent="0.2">
      <c r="A46" s="204" t="s">
        <v>206</v>
      </c>
      <c r="B46" s="205"/>
      <c r="C46" s="206"/>
      <c r="D46" s="205"/>
      <c r="E46" s="20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156" t="s">
        <v>3</v>
      </c>
      <c r="B47" s="197" t="s">
        <v>7</v>
      </c>
      <c r="C47" s="198" t="s">
        <v>4</v>
      </c>
      <c r="D47" s="199" t="s">
        <v>6</v>
      </c>
      <c r="E47" s="160" t="s">
        <v>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200" t="str">
        <f>IF(ISNA(VLOOKUP($A$1&amp;" / "&amp;$A$46,JOURNAL!$B$5:$I$1115,2,0)),"",VLOOKUP($A$1&amp;" / "&amp;$A$46,JOURNAL!$B$5:$I$1115,2,0))</f>
        <v/>
      </c>
      <c r="B48" s="201" t="str">
        <f>IF($A48="","",VLOOKUP($A48,JOURNAL!$C$5:$I$1115,5,0))</f>
        <v/>
      </c>
      <c r="C48" s="202" t="str">
        <f>IF($A48="","",VLOOKUP($A48,JOURNAL!$C$5:$I$1115,2,0))</f>
        <v/>
      </c>
      <c r="D48" s="201" t="str">
        <f>IF($A48="","",VLOOKUP($A48,JOURNAL!$C$5:$I$1115,4,0))</f>
        <v/>
      </c>
      <c r="E48" s="187" t="str">
        <f>IF($A48="","",VLOOKUP($A48,JOURNAL!$C$5:$I$1115,3,0))</f>
        <v/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200" t="str">
        <f t="shared" ref="A49:A54" ca="1" si="1">IF(A48="","",IF(ISNA(VLOOKUP($A$1&amp;" / "&amp;$A$46,INDIRECT(ADDRESS(A48+5,2,1,,"JOURNAL")&amp;":G700"),2,0)),"",VLOOKUP($A$1&amp;" / "&amp;$A$46,INDIRECT(ADDRESS(A48+5,2,1,,"JOURNAL")&amp;":G700"),2,0)))</f>
        <v/>
      </c>
      <c r="B49" s="201" t="str">
        <f ca="1">IF($A49="","",VLOOKUP($A49,JOURNAL!$C$5:$I$1115,5,0))</f>
        <v/>
      </c>
      <c r="C49" s="202" t="str">
        <f ca="1">IF($A49="","",VLOOKUP($A49,JOURNAL!$C$5:$I$1115,2,0))</f>
        <v/>
      </c>
      <c r="D49" s="201" t="str">
        <f ca="1">IF($A49="","",VLOOKUP($A49,JOURNAL!$C$5:$I$1115,4,0))</f>
        <v/>
      </c>
      <c r="E49" s="187" t="str">
        <f ca="1">IF($A49="","",VLOOKUP($A49,JOURNAL!$C$5:$I$1115,3,0))</f>
        <v/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200" t="str">
        <f t="shared" ca="1" si="1"/>
        <v/>
      </c>
      <c r="B50" s="201" t="str">
        <f ca="1">IF($A50="","",VLOOKUP($A50,JOURNAL!$C$5:$I$1115,5,0))</f>
        <v/>
      </c>
      <c r="C50" s="202" t="str">
        <f ca="1">IF($A50="","",VLOOKUP($A50,JOURNAL!$C$5:$I$1115,2,0))</f>
        <v/>
      </c>
      <c r="D50" s="201" t="str">
        <f ca="1">IF($A50="","",VLOOKUP($A50,JOURNAL!$C$5:$I$1115,4,0))</f>
        <v/>
      </c>
      <c r="E50" s="187" t="str">
        <f ca="1">IF($A50="","",VLOOKUP($A50,JOURNAL!$C$5:$I$1115,3,0))</f>
        <v/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 t="str">
        <f t="shared" ca="1" si="1"/>
        <v/>
      </c>
      <c r="B51" s="201" t="str">
        <f ca="1">IF($A51="","",VLOOKUP($A51,JOURNAL!$C$5:$I$1115,5,0))</f>
        <v/>
      </c>
      <c r="C51" s="202" t="str">
        <f ca="1">IF($A51="","",VLOOKUP($A51,JOURNAL!$C$5:$I$1115,2,0))</f>
        <v/>
      </c>
      <c r="D51" s="201" t="str">
        <f ca="1">IF($A51="","",VLOOKUP($A51,JOURNAL!$C$5:$I$1115,4,0))</f>
        <v/>
      </c>
      <c r="E51" s="187" t="str">
        <f ca="1"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 t="str">
        <f t="shared" ca="1" si="1"/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 t="str">
        <f t="shared" ca="1" si="1"/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t="shared" ca="1" si="1"/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178" t="s">
        <v>16</v>
      </c>
      <c r="B55" s="179"/>
      <c r="C55" s="180"/>
      <c r="D55" s="181"/>
      <c r="E55" s="182">
        <f ca="1">SUM(E48:E54)</f>
        <v>0</v>
      </c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6.5" customHeight="1" x14ac:dyDescent="0.2">
      <c r="A56" s="51"/>
      <c r="B56" s="4"/>
      <c r="C56" s="149"/>
      <c r="D56" s="4"/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51"/>
      <c r="B57" s="4"/>
      <c r="C57" s="149"/>
      <c r="D57" s="4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51"/>
      <c r="B58" s="4"/>
      <c r="C58" s="149"/>
      <c r="D58" s="4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51"/>
      <c r="B59" s="4"/>
      <c r="C59" s="149"/>
      <c r="D59" s="4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51"/>
      <c r="B60" s="4"/>
      <c r="C60" s="149"/>
      <c r="D60" s="4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51"/>
      <c r="B61" s="4"/>
      <c r="C61" s="149"/>
      <c r="D61" s="4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51"/>
      <c r="B62" s="4"/>
      <c r="C62" s="149"/>
      <c r="D62" s="4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51"/>
      <c r="B63" s="4"/>
      <c r="C63" s="149"/>
      <c r="D63" s="4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51"/>
      <c r="B64" s="4"/>
      <c r="C64" s="149"/>
      <c r="D64" s="4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51"/>
      <c r="B65" s="4"/>
      <c r="C65" s="149"/>
      <c r="D65" s="4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51"/>
      <c r="B66" s="4"/>
      <c r="C66" s="149"/>
      <c r="D66" s="4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51"/>
      <c r="B67" s="4"/>
      <c r="C67" s="149"/>
      <c r="D67" s="4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51"/>
      <c r="B68" s="4"/>
      <c r="C68" s="149"/>
      <c r="D68" s="4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51"/>
      <c r="B69" s="4"/>
      <c r="C69" s="149"/>
      <c r="D69" s="4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51"/>
      <c r="B70" s="4"/>
      <c r="C70" s="149"/>
      <c r="D70" s="4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51"/>
      <c r="B71" s="4"/>
      <c r="C71" s="149"/>
      <c r="D71" s="4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51"/>
      <c r="B72" s="4"/>
      <c r="C72" s="149"/>
      <c r="D72" s="4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51"/>
      <c r="B73" s="4"/>
      <c r="C73" s="149"/>
      <c r="D73" s="4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51"/>
      <c r="B74" s="4"/>
      <c r="C74" s="149"/>
      <c r="D74" s="4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51"/>
      <c r="B75" s="4"/>
      <c r="C75" s="149"/>
      <c r="D75" s="4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51"/>
      <c r="B76" s="4"/>
      <c r="C76" s="149"/>
      <c r="D76" s="4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51"/>
      <c r="B77" s="4"/>
      <c r="C77" s="149"/>
      <c r="D77" s="4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51"/>
      <c r="B78" s="4"/>
      <c r="C78" s="149"/>
      <c r="D78" s="4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51"/>
      <c r="B79" s="4"/>
      <c r="C79" s="149"/>
      <c r="D79" s="4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51"/>
      <c r="B80" s="4"/>
      <c r="C80" s="149"/>
      <c r="D80" s="4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51"/>
      <c r="B81" s="4"/>
      <c r="C81" s="149"/>
      <c r="D81" s="4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51"/>
      <c r="B82" s="4"/>
      <c r="C82" s="149"/>
      <c r="D82" s="4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51"/>
      <c r="B83" s="4"/>
      <c r="C83" s="149"/>
      <c r="D83" s="4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51"/>
      <c r="B84" s="4"/>
      <c r="C84" s="149"/>
      <c r="D84" s="4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51"/>
      <c r="B85" s="4"/>
      <c r="C85" s="149"/>
      <c r="D85" s="4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51"/>
      <c r="B86" s="4"/>
      <c r="C86" s="149"/>
      <c r="D86" s="4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51"/>
      <c r="B87" s="4"/>
      <c r="C87" s="149"/>
      <c r="D87" s="4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6:E26"/>
  </mergeCells>
  <dataValidations count="1">
    <dataValidation type="list" allowBlank="1" showErrorMessage="1" sqref="A6:A13 A17:A23" xr:uid="{00000000-0002-0000-0E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2015</oddHeader>
    <oddFooter>&amp;L&amp;F&amp;R&amp;D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topLeftCell="A19"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44" customWidth="1"/>
    <col min="3" max="3" width="23.6640625" customWidth="1"/>
    <col min="4" max="4" width="14" customWidth="1"/>
    <col min="5" max="5" width="16.1640625" customWidth="1"/>
    <col min="6" max="6" width="18.6640625" customWidth="1"/>
    <col min="12" max="12" width="25.83203125" customWidth="1"/>
    <col min="13" max="13" width="9" customWidth="1"/>
    <col min="14" max="14" width="16.1640625" customWidth="1"/>
    <col min="15" max="26" width="9" customWidth="1"/>
  </cols>
  <sheetData>
    <row r="1" spans="1:26" ht="22" x14ac:dyDescent="0.25">
      <c r="A1" s="360" t="s">
        <v>361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157" t="s">
        <v>7</v>
      </c>
      <c r="C5" s="158"/>
      <c r="D5" s="159"/>
      <c r="E5" s="160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188"/>
      <c r="C6" s="189"/>
      <c r="D6" s="190"/>
      <c r="E6" s="18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188"/>
      <c r="C7" s="189"/>
      <c r="D7" s="190"/>
      <c r="E7" s="21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188"/>
      <c r="C8" s="189"/>
      <c r="D8" s="190"/>
      <c r="E8" s="2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188"/>
      <c r="C9" s="189"/>
      <c r="D9" s="190"/>
      <c r="E9" s="18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73"/>
      <c r="B10" s="220"/>
      <c r="C10" s="304"/>
      <c r="D10" s="225"/>
      <c r="E10" s="17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78" t="s">
        <v>16</v>
      </c>
      <c r="B11" s="179"/>
      <c r="C11" s="180"/>
      <c r="D11" s="181"/>
      <c r="E11" s="182">
        <f>SUM(E6:E10)</f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83" t="s">
        <v>206</v>
      </c>
      <c r="B12" s="184"/>
      <c r="C12" s="185"/>
      <c r="D12" s="184"/>
      <c r="E12" s="18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56" t="s">
        <v>218</v>
      </c>
      <c r="B13" s="208" t="s">
        <v>7</v>
      </c>
      <c r="C13" s="158"/>
      <c r="D13" s="159"/>
      <c r="E13" s="160" t="s">
        <v>5</v>
      </c>
      <c r="F13" s="4"/>
      <c r="G13" s="4"/>
      <c r="H13" s="4"/>
      <c r="I13" s="4"/>
      <c r="J13" s="4"/>
      <c r="K13" s="4"/>
      <c r="L13" s="4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61"/>
      <c r="B14" s="162" t="s">
        <v>168</v>
      </c>
      <c r="C14" s="167"/>
      <c r="D14" s="164"/>
      <c r="E14" s="165">
        <v>6000</v>
      </c>
      <c r="F14" s="43"/>
      <c r="G14" s="4"/>
      <c r="H14" s="4"/>
      <c r="I14" s="4"/>
      <c r="J14" s="4"/>
      <c r="K14" s="4"/>
      <c r="L14" s="4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61"/>
      <c r="B15" s="162" t="s">
        <v>362</v>
      </c>
      <c r="C15" s="305"/>
      <c r="D15" s="164"/>
      <c r="E15" s="165">
        <v>8000</v>
      </c>
      <c r="F15" s="43"/>
      <c r="G15" s="148"/>
      <c r="H15" s="148"/>
      <c r="I15" s="148"/>
      <c r="J15" s="148"/>
      <c r="K15" s="4"/>
      <c r="L15" s="48"/>
      <c r="M15" s="4"/>
      <c r="N15" s="4">
        <f>L15-L14</f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61"/>
      <c r="B16" s="306" t="s">
        <v>42</v>
      </c>
      <c r="C16" s="167"/>
      <c r="D16" s="164"/>
      <c r="E16" s="165">
        <v>1500</v>
      </c>
      <c r="F16" s="43"/>
      <c r="G16" s="4"/>
      <c r="H16" s="4"/>
      <c r="I16" s="4"/>
      <c r="J16" s="4"/>
      <c r="K16" s="4"/>
      <c r="L16" s="4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61"/>
      <c r="B17" s="171" t="s">
        <v>363</v>
      </c>
      <c r="C17" s="167"/>
      <c r="D17" s="164"/>
      <c r="E17" s="165">
        <v>1000</v>
      </c>
      <c r="F17" s="43"/>
      <c r="G17" s="4"/>
      <c r="H17" s="4"/>
      <c r="I17" s="4"/>
      <c r="J17" s="4"/>
      <c r="K17" s="4"/>
      <c r="L17" s="48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307" t="s">
        <v>364</v>
      </c>
      <c r="C18" s="167"/>
      <c r="D18" s="164"/>
      <c r="E18" s="165">
        <v>1000</v>
      </c>
      <c r="F18" s="43"/>
      <c r="G18" s="4"/>
      <c r="H18" s="4"/>
      <c r="I18" s="4"/>
      <c r="J18" s="4"/>
      <c r="K18" s="4"/>
      <c r="L18" s="4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308" t="s">
        <v>365</v>
      </c>
      <c r="C19" s="167"/>
      <c r="D19" s="164"/>
      <c r="E19" s="165">
        <v>1000</v>
      </c>
      <c r="F19" s="309" t="s">
        <v>366</v>
      </c>
      <c r="G19" s="4"/>
      <c r="H19" s="4"/>
      <c r="I19" s="4"/>
      <c r="J19" s="4"/>
      <c r="K19" s="4"/>
      <c r="L19" s="48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308"/>
      <c r="C20" s="167"/>
      <c r="D20" s="164"/>
      <c r="E20" s="165"/>
      <c r="F20" s="43"/>
      <c r="G20" s="4"/>
      <c r="H20" s="4"/>
      <c r="I20" s="4"/>
      <c r="J20" s="4"/>
      <c r="K20" s="4"/>
      <c r="L20" s="48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308"/>
      <c r="C21" s="167"/>
      <c r="D21" s="164"/>
      <c r="E21" s="165"/>
      <c r="F21" s="43"/>
      <c r="G21" s="4"/>
      <c r="H21" s="4"/>
      <c r="I21" s="4"/>
      <c r="J21" s="4"/>
      <c r="K21" s="4"/>
      <c r="L21" s="48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61"/>
      <c r="B22" s="308"/>
      <c r="C22" s="167"/>
      <c r="D22" s="164"/>
      <c r="E22" s="165"/>
      <c r="F22" s="43"/>
      <c r="G22" s="4"/>
      <c r="H22" s="4"/>
      <c r="I22" s="4"/>
      <c r="J22" s="4"/>
      <c r="K22" s="4"/>
      <c r="L22" s="48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61"/>
      <c r="B23" s="308"/>
      <c r="C23" s="167"/>
      <c r="D23" s="164"/>
      <c r="E23" s="165"/>
      <c r="F23" s="43"/>
      <c r="G23" s="4"/>
      <c r="H23" s="4"/>
      <c r="I23" s="4"/>
      <c r="J23" s="4"/>
      <c r="K23" s="4"/>
      <c r="L23" s="48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61"/>
      <c r="B24" s="308"/>
      <c r="C24" s="167"/>
      <c r="D24" s="164"/>
      <c r="E24" s="165"/>
      <c r="F24" s="43"/>
      <c r="G24" s="4"/>
      <c r="H24" s="4"/>
      <c r="I24" s="4"/>
      <c r="J24" s="4"/>
      <c r="K24" s="4"/>
      <c r="L24" s="48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61"/>
      <c r="B25" s="264"/>
      <c r="C25" s="189"/>
      <c r="D25" s="190"/>
      <c r="E25" s="187"/>
      <c r="F25" s="43"/>
      <c r="G25" s="4"/>
      <c r="H25" s="4"/>
      <c r="I25" s="4"/>
      <c r="J25" s="4"/>
      <c r="K25" s="4"/>
      <c r="L25" s="48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161"/>
      <c r="B26" s="264"/>
      <c r="C26" s="189"/>
      <c r="D26" s="190"/>
      <c r="E26" s="187"/>
      <c r="F26" s="43"/>
      <c r="G26" s="4"/>
      <c r="H26" s="4"/>
      <c r="I26" s="4"/>
      <c r="J26" s="4"/>
      <c r="K26" s="4"/>
      <c r="L26" s="48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161"/>
      <c r="B27" s="264"/>
      <c r="C27" s="189"/>
      <c r="D27" s="190"/>
      <c r="E27" s="187"/>
      <c r="F27" s="43"/>
      <c r="G27" s="4"/>
      <c r="H27" s="4"/>
      <c r="I27" s="4"/>
      <c r="J27" s="4"/>
      <c r="K27" s="4"/>
      <c r="L27" s="48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61"/>
      <c r="B28" s="188"/>
      <c r="C28" s="189"/>
      <c r="D28" s="190"/>
      <c r="E28" s="187"/>
      <c r="F28" s="48"/>
      <c r="G28" s="4"/>
      <c r="H28" s="4"/>
      <c r="I28" s="4"/>
      <c r="J28" s="4"/>
      <c r="K28" s="4"/>
      <c r="L28" s="48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161"/>
      <c r="B29" s="188"/>
      <c r="C29" s="189"/>
      <c r="D29" s="190"/>
      <c r="E29" s="187"/>
      <c r="F29" s="48"/>
      <c r="G29" s="4"/>
      <c r="H29" s="4"/>
      <c r="I29" s="4"/>
      <c r="J29" s="4"/>
      <c r="K29" s="4"/>
      <c r="L29" s="4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161"/>
      <c r="B30" s="188"/>
      <c r="C30" s="189"/>
      <c r="D30" s="190"/>
      <c r="E30" s="187"/>
      <c r="F30" s="48"/>
      <c r="G30" s="4"/>
      <c r="H30" s="4"/>
      <c r="I30" s="4"/>
      <c r="J30" s="4"/>
      <c r="K30" s="4"/>
      <c r="L30" s="4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161"/>
      <c r="B31" s="188"/>
      <c r="C31" s="189"/>
      <c r="D31" s="190"/>
      <c r="E31" s="187"/>
      <c r="F31" s="48"/>
      <c r="G31" s="4"/>
      <c r="H31" s="4"/>
      <c r="I31" s="4"/>
      <c r="J31" s="4"/>
      <c r="K31" s="4"/>
      <c r="L31" s="48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173"/>
      <c r="B32" s="188"/>
      <c r="C32" s="189"/>
      <c r="D32" s="190"/>
      <c r="E32" s="187"/>
      <c r="F32" s="48"/>
      <c r="G32" s="4"/>
      <c r="H32" s="4"/>
      <c r="I32" s="4"/>
      <c r="J32" s="4"/>
      <c r="K32" s="4"/>
      <c r="L32" s="48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173"/>
      <c r="B33" s="188"/>
      <c r="C33" s="189"/>
      <c r="D33" s="190"/>
      <c r="E33" s="187"/>
      <c r="F33" s="48"/>
      <c r="G33" s="4"/>
      <c r="H33" s="4"/>
      <c r="I33" s="4"/>
      <c r="J33" s="4"/>
      <c r="K33" s="4"/>
      <c r="L33" s="48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173"/>
      <c r="B34" s="188"/>
      <c r="C34" s="189"/>
      <c r="D34" s="190"/>
      <c r="E34" s="187"/>
      <c r="F34" s="48"/>
      <c r="G34" s="4"/>
      <c r="H34" s="4"/>
      <c r="I34" s="4"/>
      <c r="J34" s="4"/>
      <c r="K34" s="4"/>
      <c r="L34" s="48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173"/>
      <c r="B35" s="188"/>
      <c r="C35" s="189"/>
      <c r="D35" s="190"/>
      <c r="E35" s="187"/>
      <c r="F35" s="48"/>
      <c r="G35" s="4"/>
      <c r="H35" s="4"/>
      <c r="I35" s="4"/>
      <c r="J35" s="4"/>
      <c r="K35" s="4"/>
      <c r="L35" s="48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173"/>
      <c r="B36" s="188"/>
      <c r="C36" s="189"/>
      <c r="D36" s="190"/>
      <c r="E36" s="187"/>
      <c r="F36" s="4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173"/>
      <c r="B37" s="188"/>
      <c r="C37" s="189"/>
      <c r="D37" s="190"/>
      <c r="E37" s="187"/>
      <c r="F37" s="4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173"/>
      <c r="B38" s="188"/>
      <c r="C38" s="189"/>
      <c r="D38" s="190"/>
      <c r="E38" s="187"/>
      <c r="F38" s="43"/>
      <c r="G38" s="4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173"/>
      <c r="B39" s="188"/>
      <c r="C39" s="310"/>
      <c r="D39" s="190"/>
      <c r="E39" s="187"/>
      <c r="F39" s="43"/>
      <c r="G39" s="48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173"/>
      <c r="B40" s="188"/>
      <c r="C40" s="189"/>
      <c r="D40" s="190"/>
      <c r="E40" s="187"/>
      <c r="F40" s="43"/>
      <c r="G40" s="4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173"/>
      <c r="B41" s="188"/>
      <c r="C41" s="189"/>
      <c r="D41" s="190"/>
      <c r="E41" s="187"/>
      <c r="F41" s="43"/>
      <c r="G41" s="48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173"/>
      <c r="B42" s="188"/>
      <c r="C42" s="189"/>
      <c r="D42" s="190"/>
      <c r="E42" s="187"/>
      <c r="F42" s="43"/>
      <c r="G42" s="4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173"/>
      <c r="B43" s="162"/>
      <c r="C43" s="189"/>
      <c r="D43" s="190"/>
      <c r="E43" s="18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173"/>
      <c r="B44" s="162"/>
      <c r="C44" s="189"/>
      <c r="D44" s="190"/>
      <c r="E44" s="18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173"/>
      <c r="B45" s="162"/>
      <c r="C45" s="189"/>
      <c r="D45" s="190"/>
      <c r="E45" s="18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173"/>
      <c r="B46" s="162"/>
      <c r="C46" s="189"/>
      <c r="D46" s="190"/>
      <c r="E46" s="18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173"/>
      <c r="B47" s="162"/>
      <c r="C47" s="189"/>
      <c r="D47" s="190"/>
      <c r="E47" s="18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173"/>
      <c r="B48" s="162"/>
      <c r="C48" s="189"/>
      <c r="D48" s="190"/>
      <c r="E48" s="18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311"/>
      <c r="B49" s="188"/>
      <c r="C49" s="189"/>
      <c r="D49" s="190"/>
      <c r="E49" s="18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178" t="s">
        <v>16</v>
      </c>
      <c r="B50" s="312"/>
      <c r="C50" s="313"/>
      <c r="D50" s="314"/>
      <c r="E50" s="226">
        <f>SUM(E14:E49)</f>
        <v>18500</v>
      </c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6.5" customHeight="1" x14ac:dyDescent="0.2">
      <c r="A51" s="51"/>
      <c r="B51" s="4"/>
      <c r="C51" s="149"/>
      <c r="D51" s="4"/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377" t="s">
        <v>204</v>
      </c>
      <c r="B52" s="375"/>
      <c r="C52" s="375"/>
      <c r="D52" s="375"/>
      <c r="E52" s="37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193" t="s">
        <v>205</v>
      </c>
      <c r="B53" s="194"/>
      <c r="C53" s="195"/>
      <c r="D53" s="194"/>
      <c r="E53" s="19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156" t="s">
        <v>3</v>
      </c>
      <c r="B54" s="197" t="s">
        <v>7</v>
      </c>
      <c r="C54" s="198" t="s">
        <v>4</v>
      </c>
      <c r="D54" s="199" t="s">
        <v>6</v>
      </c>
      <c r="E54" s="160" t="s">
        <v>5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>IF(ISNA(VLOOKUP($A$1&amp;" / "&amp;$A$53,JOURNAL!$B$5:$I$1115,2,0)),"",VLOOKUP($A$1&amp;" / "&amp;$A$53,JOURNAL!$B$5:$I$1115,2,0))</f>
        <v/>
      </c>
      <c r="B55" s="201" t="str">
        <f>IF($A55="","",VLOOKUP($A55,JOURNAL!$C$5:$I$1115,5,0))</f>
        <v/>
      </c>
      <c r="C55" s="202" t="str">
        <f>IF($A55="","",VLOOKUP($A55,JOURNAL!$C$5:$I$1115,2,0))</f>
        <v/>
      </c>
      <c r="D55" s="201" t="str">
        <f>IF($A55="","",VLOOKUP($A55,JOURNAL!$C$5:$I$1115,4,0))</f>
        <v/>
      </c>
      <c r="E55" s="187" t="str">
        <f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200" t="str">
        <f t="shared" ref="A56:A69" ca="1" si="0">IF(A55="","",IF(ISNA(VLOOKUP($A$1&amp;" / "&amp;$A$53,INDIRECT(ADDRESS(A55+5,2,1,,"JOURNAL")&amp;":G700"),2,0)),"",VLOOKUP($A$1&amp;" / "&amp;$A$53,INDIRECT(ADDRESS(A55+5,2,1,,"JOURNAL")&amp;":G700"),2,0)))</f>
        <v/>
      </c>
      <c r="B56" s="201" t="str">
        <f ca="1">IF($A56="","",VLOOKUP($A56,JOURNAL!$C$5:$I$1115,5,0))</f>
        <v/>
      </c>
      <c r="C56" s="202" t="str">
        <f ca="1">IF($A56="","",VLOOKUP($A56,JOURNAL!$C$5:$I$1115,2,0))</f>
        <v/>
      </c>
      <c r="D56" s="201" t="str">
        <f ca="1">IF($A56="","",VLOOKUP($A56,JOURNAL!$C$5:$I$1115,4,0))</f>
        <v/>
      </c>
      <c r="E56" s="187" t="str">
        <f ca="1">IF($A56="","",VLOOKUP($A56,JOURNAL!$C$5:$I$1115,3,0))</f>
        <v/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200" t="str">
        <f t="shared" ca="1" si="0"/>
        <v/>
      </c>
      <c r="B57" s="201" t="str">
        <f ca="1">IF($A57="","",VLOOKUP($A57,JOURNAL!$C$5:$I$1115,5,0))</f>
        <v/>
      </c>
      <c r="C57" s="202" t="str">
        <f ca="1">IF($A57="","",VLOOKUP($A57,JOURNAL!$C$5:$I$1115,2,0))</f>
        <v/>
      </c>
      <c r="D57" s="201" t="str">
        <f ca="1">IF($A57="","",VLOOKUP($A57,JOURNAL!$C$5:$I$1115,4,0))</f>
        <v/>
      </c>
      <c r="E57" s="187" t="str">
        <f ca="1">IF($A57="","",VLOOKUP($A57,JOURNAL!$C$5:$I$1115,3,0))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200" t="str">
        <f t="shared" ca="1" si="0"/>
        <v/>
      </c>
      <c r="B58" s="201" t="str">
        <f ca="1">IF($A58="","",VLOOKUP($A58,JOURNAL!$C$5:$I$1115,5,0))</f>
        <v/>
      </c>
      <c r="C58" s="202" t="str">
        <f ca="1">IF($A58="","",VLOOKUP($A58,JOURNAL!$C$5:$I$1115,2,0))</f>
        <v/>
      </c>
      <c r="D58" s="201" t="str">
        <f ca="1">IF($A58="","",VLOOKUP($A58,JOURNAL!$C$5:$I$1115,4,0))</f>
        <v/>
      </c>
      <c r="E58" s="187" t="str">
        <f ca="1">IF($A58="","",VLOOKUP($A58,JOURNAL!$C$5:$I$1115,3,0))</f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200" t="str">
        <f t="shared" ca="1" si="0"/>
        <v/>
      </c>
      <c r="B59" s="201" t="str">
        <f ca="1">IF($A59="","",VLOOKUP($A59,JOURNAL!$C$5:$I$1115,5,0))</f>
        <v/>
      </c>
      <c r="C59" s="202" t="str">
        <f ca="1">IF($A59="","",VLOOKUP($A59,JOURNAL!$C$5:$I$1115,2,0))</f>
        <v/>
      </c>
      <c r="D59" s="201" t="str">
        <f ca="1">IF($A59="","",VLOOKUP($A59,JOURNAL!$C$5:$I$1115,4,0))</f>
        <v/>
      </c>
      <c r="E59" s="187" t="str">
        <f ca="1">IF($A59="","",VLOOKUP($A59,JOURNAL!$C$5:$I$1115,3,0))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200" t="str">
        <f t="shared" ca="1" si="0"/>
        <v/>
      </c>
      <c r="B60" s="201" t="str">
        <f ca="1">IF($A60="","",VLOOKUP($A60,JOURNAL!$C$5:$I$1115,5,0))</f>
        <v/>
      </c>
      <c r="C60" s="202" t="str">
        <f ca="1">IF($A60="","",VLOOKUP($A60,JOURNAL!$C$5:$I$1115,2,0))</f>
        <v/>
      </c>
      <c r="D60" s="201" t="str">
        <f ca="1">IF($A60="","",VLOOKUP($A60,JOURNAL!$C$5:$I$1115,4,0))</f>
        <v/>
      </c>
      <c r="E60" s="187" t="str">
        <f ca="1">IF($A60="","",VLOOKUP($A60,JOURNAL!$C$5:$I$1115,3,0))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200" t="str">
        <f t="shared" ca="1" si="0"/>
        <v/>
      </c>
      <c r="B61" s="201" t="str">
        <f ca="1">IF($A61="","",VLOOKUP($A61,JOURNAL!$C$5:$I$1115,5,0))</f>
        <v/>
      </c>
      <c r="C61" s="202" t="str">
        <f ca="1">IF($A61="","",VLOOKUP($A61,JOURNAL!$C$5:$I$1115,2,0))</f>
        <v/>
      </c>
      <c r="D61" s="201" t="str">
        <f ca="1">IF($A61="","",VLOOKUP($A61,JOURNAL!$C$5:$I$1115,4,0))</f>
        <v/>
      </c>
      <c r="E61" s="187" t="str">
        <f ca="1">IF($A61="","",VLOOKUP($A61,JOURNAL!$C$5:$I$1115,3,0))</f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200" t="str">
        <f t="shared" ca="1" si="0"/>
        <v/>
      </c>
      <c r="B62" s="201" t="str">
        <f ca="1">IF($A62="","",VLOOKUP($A62,JOURNAL!$C$5:$I$1115,5,0))</f>
        <v/>
      </c>
      <c r="C62" s="202" t="str">
        <f ca="1">IF($A62="","",VLOOKUP($A62,JOURNAL!$C$5:$I$1115,2,0))</f>
        <v/>
      </c>
      <c r="D62" s="201" t="str">
        <f ca="1">IF($A62="","",VLOOKUP($A62,JOURNAL!$C$5:$I$1115,4,0))</f>
        <v/>
      </c>
      <c r="E62" s="187" t="str">
        <f ca="1">IF($A62="","",VLOOKUP($A62,JOURNAL!$C$5:$I$1115,3,0))</f>
        <v/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200" t="str">
        <f t="shared" ca="1" si="0"/>
        <v/>
      </c>
      <c r="B63" s="201" t="str">
        <f ca="1">IF($A63="","",VLOOKUP($A63,JOURNAL!$C$5:$I$1115,5,0))</f>
        <v/>
      </c>
      <c r="C63" s="202" t="str">
        <f ca="1">IF($A63="","",VLOOKUP($A63,JOURNAL!$C$5:$I$1115,2,0))</f>
        <v/>
      </c>
      <c r="D63" s="201" t="str">
        <f ca="1">IF($A63="","",VLOOKUP($A63,JOURNAL!$C$5:$I$1115,4,0))</f>
        <v/>
      </c>
      <c r="E63" s="187" t="str">
        <f ca="1">IF($A63="","",VLOOKUP($A63,JOURNAL!$C$5:$I$1115,3,0))</f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200" t="str">
        <f t="shared" ca="1" si="0"/>
        <v/>
      </c>
      <c r="B64" s="201" t="str">
        <f ca="1">IF($A64="","",VLOOKUP($A64,JOURNAL!$C$5:$I$1115,5,0))</f>
        <v/>
      </c>
      <c r="C64" s="202" t="str">
        <f ca="1">IF($A64="","",VLOOKUP($A64,JOURNAL!$C$5:$I$1115,2,0))</f>
        <v/>
      </c>
      <c r="D64" s="201" t="str">
        <f ca="1">IF($A64="","",VLOOKUP($A64,JOURNAL!$C$5:$I$1115,4,0))</f>
        <v/>
      </c>
      <c r="E64" s="187" t="str">
        <f ca="1">IF($A64="","",VLOOKUP($A64,JOURNAL!$C$5:$I$1115,3,0))</f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200" t="str">
        <f t="shared" ca="1" si="0"/>
        <v/>
      </c>
      <c r="B65" s="201" t="str">
        <f ca="1">IF($A65="","",VLOOKUP($A65,JOURNAL!$C$5:$I$1115,5,0))</f>
        <v/>
      </c>
      <c r="C65" s="202" t="str">
        <f ca="1">IF($A65="","",VLOOKUP($A65,JOURNAL!$C$5:$I$1115,2,0))</f>
        <v/>
      </c>
      <c r="D65" s="201" t="str">
        <f ca="1">IF($A65="","",VLOOKUP($A65,JOURNAL!$C$5:$I$1115,4,0))</f>
        <v/>
      </c>
      <c r="E65" s="187" t="str">
        <f ca="1">IF($A65="","",VLOOKUP($A65,JOURNAL!$C$5:$I$1115,3,0))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200" t="str">
        <f t="shared" ca="1" si="0"/>
        <v/>
      </c>
      <c r="B66" s="201" t="str">
        <f ca="1">IF($A66="","",VLOOKUP($A66,JOURNAL!$C$5:$I$1115,5,0))</f>
        <v/>
      </c>
      <c r="C66" s="202" t="str">
        <f ca="1">IF($A66="","",VLOOKUP($A66,JOURNAL!$C$5:$I$1115,2,0))</f>
        <v/>
      </c>
      <c r="D66" s="201" t="str">
        <f ca="1">IF($A66="","",VLOOKUP($A66,JOURNAL!$C$5:$I$1115,4,0))</f>
        <v/>
      </c>
      <c r="E66" s="187" t="str">
        <f ca="1">IF($A66="","",VLOOKUP($A66,JOURNAL!$C$5:$I$1115,3,0))</f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200" t="str">
        <f t="shared" ca="1" si="0"/>
        <v/>
      </c>
      <c r="B67" s="201" t="str">
        <f ca="1">IF($A67="","",VLOOKUP($A67,JOURNAL!$C$5:$I$1115,5,0))</f>
        <v/>
      </c>
      <c r="C67" s="202" t="str">
        <f ca="1">IF($A67="","",VLOOKUP($A67,JOURNAL!$C$5:$I$1115,2,0))</f>
        <v/>
      </c>
      <c r="D67" s="201" t="str">
        <f ca="1">IF($A67="","",VLOOKUP($A67,JOURNAL!$C$5:$I$1115,4,0))</f>
        <v/>
      </c>
      <c r="E67" s="187" t="str">
        <f ca="1">IF($A67="","",VLOOKUP($A67,JOURNAL!$C$5:$I$1115,3,0))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200" t="str">
        <f t="shared" ca="1" si="0"/>
        <v/>
      </c>
      <c r="B68" s="201" t="str">
        <f ca="1">IF($A68="","",VLOOKUP($A68,JOURNAL!$C$5:$I$1115,5,0))</f>
        <v/>
      </c>
      <c r="C68" s="202" t="str">
        <f ca="1">IF($A68="","",VLOOKUP($A68,JOURNAL!$C$5:$I$1115,2,0))</f>
        <v/>
      </c>
      <c r="D68" s="201" t="str">
        <f ca="1">IF($A68="","",VLOOKUP($A68,JOURNAL!$C$5:$I$1115,4,0))</f>
        <v/>
      </c>
      <c r="E68" s="187" t="str">
        <f ca="1">IF($A68="","",VLOOKUP($A68,JOURNAL!$C$5:$I$1115,3,0))</f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200" t="str">
        <f t="shared" ca="1" si="0"/>
        <v/>
      </c>
      <c r="B69" s="201" t="str">
        <f ca="1">IF($A69="","",VLOOKUP($A69,JOURNAL!$C$5:$I$1115,5,0))</f>
        <v/>
      </c>
      <c r="C69" s="202" t="str">
        <f ca="1">IF($A69="","",VLOOKUP($A69,JOURNAL!$C$5:$I$1115,2,0))</f>
        <v/>
      </c>
      <c r="D69" s="201" t="str">
        <f ca="1">IF($A69="","",VLOOKUP($A69,JOURNAL!$C$5:$I$1115,4,0))</f>
        <v/>
      </c>
      <c r="E69" s="187" t="str">
        <f ca="1">IF($A69="","",VLOOKUP($A69,JOURNAL!$C$5:$I$1115,3,0))</f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200" t="str">
        <f t="array" aca="1" ref="A70" ca="1">IF(A69="","",IF(ISNA(VLOOKUP($A$1&amp;" / "&amp;$A$53,INDIRECT(ADDRESS(A69+5,2,1,,"JOURNAL")&amp;":G500"),2,0)),"",VLOOKUP($A$1&amp;" / "&amp;$A$53,INDIRECT(ADDRESS(A69+5,2,1,,"JOURNAL")&amp;":G500"),2,0)))</f>
        <v/>
      </c>
      <c r="B70" s="201" t="str">
        <f ca="1">IF($A70="","",VLOOKUP($A70,JOURNAL!$C$5:$I$1115,5,0))</f>
        <v/>
      </c>
      <c r="C70" s="202" t="str">
        <f ca="1">IF($A70="","",VLOOKUP($A70,JOURNAL!$C$5:$I$1115,2,0))</f>
        <v/>
      </c>
      <c r="D70" s="201" t="str">
        <f ca="1">IF($A70="","",VLOOKUP($A70,JOURNAL!$C$5:$I$1115,4,0))</f>
        <v/>
      </c>
      <c r="E70" s="187" t="str">
        <f ca="1">IF($A70="","",VLOOKUP($A70,JOURNAL!$C$5:$I$1115,3,0))</f>
        <v/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178" t="s">
        <v>16</v>
      </c>
      <c r="B71" s="179"/>
      <c r="C71" s="180"/>
      <c r="D71" s="181"/>
      <c r="E71" s="182">
        <f ca="1">SUM(E55:E70)</f>
        <v>0</v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6.5" customHeight="1" x14ac:dyDescent="0.2">
      <c r="A72" s="204" t="s">
        <v>206</v>
      </c>
      <c r="B72" s="205"/>
      <c r="C72" s="206"/>
      <c r="D72" s="205"/>
      <c r="E72" s="20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156" t="s">
        <v>3</v>
      </c>
      <c r="B73" s="197" t="s">
        <v>7</v>
      </c>
      <c r="C73" s="198" t="s">
        <v>4</v>
      </c>
      <c r="D73" s="199" t="s">
        <v>6</v>
      </c>
      <c r="E73" s="160" t="s">
        <v>5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200">
        <f>IF(ISNA(VLOOKUP($A$1&amp;" / "&amp;$A$72,JOURNAL!$B$5:$I$1115,2,0)),"",VLOOKUP($A$1&amp;" / "&amp;$A$72,JOURNAL!$B$5:$I$1115,2,0))</f>
        <v>156</v>
      </c>
      <c r="B74" s="201" t="str">
        <f>IF($A74="","",VLOOKUP($A74,JOURNAL!$C$5:$I$1115,5,0))</f>
        <v>Don Jérémy Martin</v>
      </c>
      <c r="C74" s="202">
        <f>IF($A74="","",VLOOKUP($A74,JOURNAL!$C$5:$I$1115,2,0))</f>
        <v>46015</v>
      </c>
      <c r="D74" s="201" t="str">
        <f>IF($A74="","",VLOOKUP($A74,JOURNAL!$C$5:$I$1115,4,0))</f>
        <v>BLV</v>
      </c>
      <c r="E74" s="187">
        <f>IF($A74="","",VLOOKUP($A74,JOURNAL!$C$5:$I$1115,3,0))</f>
        <v>500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200" t="str">
        <f t="shared" ref="A75:A83" ca="1" si="1">IF(A74="","",IF(ISNA(VLOOKUP($A$1&amp;" / "&amp;$A$72,INDIRECT(ADDRESS(A74+5,2,1,,"JOURNAL")&amp;":G500"),2,0)),"",VLOOKUP($A$1&amp;" / "&amp;$A$72,INDIRECT(ADDRESS(A74+5,2,1,,"JOURNAL")&amp;":G500"),2,0)))</f>
        <v/>
      </c>
      <c r="B75" s="201" t="str">
        <f ca="1">IF($A75="","",VLOOKUP($A75,JOURNAL!$C$5:$I$1115,5,0))</f>
        <v/>
      </c>
      <c r="C75" s="202" t="str">
        <f ca="1">IF($A75="","",VLOOKUP($A75,JOURNAL!$C$5:$I$1115,2,0))</f>
        <v/>
      </c>
      <c r="D75" s="201" t="str">
        <f ca="1">IF($A75="","",VLOOKUP($A75,JOURNAL!$C$5:$I$1115,4,0))</f>
        <v/>
      </c>
      <c r="E75" s="187" t="str">
        <f ca="1">IF($A75="","",VLOOKUP($A75,JOURNAL!$C$5:$I$1115,3,0))</f>
        <v/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200" t="str">
        <f t="shared" ca="1" si="1"/>
        <v/>
      </c>
      <c r="B76" s="201" t="str">
        <f ca="1">IF($A76="","",VLOOKUP($A76,JOURNAL!$C$5:$I$1115,5,0))</f>
        <v/>
      </c>
      <c r="C76" s="202" t="str">
        <f ca="1">IF($A76="","",VLOOKUP($A76,JOURNAL!$C$5:$I$1115,2,0))</f>
        <v/>
      </c>
      <c r="D76" s="201" t="str">
        <f ca="1">IF($A76="","",VLOOKUP($A76,JOURNAL!$C$5:$I$1115,4,0))</f>
        <v/>
      </c>
      <c r="E76" s="187" t="str">
        <f ca="1">IF($A76="","",VLOOKUP($A76,JOURNAL!$C$5:$I$1115,3,0))</f>
        <v/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200" t="str">
        <f t="shared" ca="1" si="1"/>
        <v/>
      </c>
      <c r="B77" s="201" t="str">
        <f ca="1">IF($A77="","",VLOOKUP($A77,JOURNAL!$C$5:$I$1115,5,0))</f>
        <v/>
      </c>
      <c r="C77" s="202" t="str">
        <f ca="1">IF($A77="","",VLOOKUP($A77,JOURNAL!$C$5:$I$1115,2,0))</f>
        <v/>
      </c>
      <c r="D77" s="201" t="str">
        <f ca="1">IF($A77="","",VLOOKUP($A77,JOURNAL!$C$5:$I$1115,4,0))</f>
        <v/>
      </c>
      <c r="E77" s="187" t="str">
        <f ca="1">IF($A77="","",VLOOKUP($A77,JOURNAL!$C$5:$I$1115,3,0))</f>
        <v/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200" t="str">
        <f t="shared" ca="1" si="1"/>
        <v/>
      </c>
      <c r="B78" s="201" t="str">
        <f ca="1">IF($A78="","",VLOOKUP($A78,JOURNAL!$C$5:$I$1115,5,0))</f>
        <v/>
      </c>
      <c r="C78" s="202" t="str">
        <f ca="1">IF($A78="","",VLOOKUP($A78,JOURNAL!$C$5:$I$1115,2,0))</f>
        <v/>
      </c>
      <c r="D78" s="201" t="str">
        <f ca="1">IF($A78="","",VLOOKUP($A78,JOURNAL!$C$5:$I$1115,4,0))</f>
        <v/>
      </c>
      <c r="E78" s="187" t="str">
        <f ca="1">IF($A78="","",VLOOKUP($A78,JOURNAL!$C$5:$I$1115,3,0))</f>
        <v/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200" t="str">
        <f t="shared" ca="1" si="1"/>
        <v/>
      </c>
      <c r="B79" s="201" t="str">
        <f ca="1">IF($A79="","",VLOOKUP($A79,JOURNAL!$C$5:$I$1115,5,0))</f>
        <v/>
      </c>
      <c r="C79" s="202" t="str">
        <f ca="1">IF($A79="","",VLOOKUP($A79,JOURNAL!$C$5:$I$1115,2,0))</f>
        <v/>
      </c>
      <c r="D79" s="201" t="str">
        <f ca="1">IF($A79="","",VLOOKUP($A79,JOURNAL!$C$5:$I$1115,4,0))</f>
        <v/>
      </c>
      <c r="E79" s="187" t="str">
        <f ca="1">IF($A79="","",VLOOKUP($A79,JOURNAL!$C$5:$I$1115,3,0))</f>
        <v/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200" t="str">
        <f t="shared" ca="1" si="1"/>
        <v/>
      </c>
      <c r="B80" s="201" t="str">
        <f ca="1">IF($A80="","",VLOOKUP($A80,JOURNAL!$C$5:$I$1115,5,0))</f>
        <v/>
      </c>
      <c r="C80" s="202" t="str">
        <f ca="1">IF($A80="","",VLOOKUP($A80,JOURNAL!$C$5:$I$1115,2,0))</f>
        <v/>
      </c>
      <c r="D80" s="201" t="str">
        <f ca="1">IF($A80="","",VLOOKUP($A80,JOURNAL!$C$5:$I$1115,4,0))</f>
        <v/>
      </c>
      <c r="E80" s="187" t="str">
        <f ca="1">IF($A80="","",VLOOKUP($A80,JOURNAL!$C$5:$I$1115,3,0))</f>
        <v/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200" t="str">
        <f t="shared" ca="1" si="1"/>
        <v/>
      </c>
      <c r="B81" s="201" t="str">
        <f ca="1">IF($A81="","",VLOOKUP($A81,JOURNAL!$C$5:$I$1115,5,0))</f>
        <v/>
      </c>
      <c r="C81" s="202" t="str">
        <f ca="1">IF($A81="","",VLOOKUP($A81,JOURNAL!$C$5:$I$1115,2,0))</f>
        <v/>
      </c>
      <c r="D81" s="201" t="str">
        <f ca="1">IF($A81="","",VLOOKUP($A81,JOURNAL!$C$5:$I$1115,4,0))</f>
        <v/>
      </c>
      <c r="E81" s="187" t="str">
        <f ca="1">IF($A81="","",VLOOKUP($A81,JOURNAL!$C$5:$I$1115,3,0))</f>
        <v/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200" t="str">
        <f t="shared" ca="1" si="1"/>
        <v/>
      </c>
      <c r="B82" s="201" t="str">
        <f ca="1">IF($A82="","",VLOOKUP($A82,JOURNAL!$C$5:$I$1115,5,0))</f>
        <v/>
      </c>
      <c r="C82" s="202" t="str">
        <f ca="1">IF($A82="","",VLOOKUP($A82,JOURNAL!$C$5:$I$1115,2,0))</f>
        <v/>
      </c>
      <c r="D82" s="201" t="str">
        <f ca="1">IF($A82="","",VLOOKUP($A82,JOURNAL!$C$5:$I$1115,4,0))</f>
        <v/>
      </c>
      <c r="E82" s="187" t="str">
        <f ca="1">IF($A82="","",VLOOKUP($A82,JOURNAL!$C$5:$I$1115,3,0))</f>
        <v/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200" t="str">
        <f t="shared" ca="1" si="1"/>
        <v/>
      </c>
      <c r="B83" s="201" t="str">
        <f ca="1">IF($A83="","",VLOOKUP($A83,JOURNAL!$C$5:$I$1115,5,0))</f>
        <v/>
      </c>
      <c r="C83" s="202" t="str">
        <f ca="1">IF($A83="","",VLOOKUP($A83,JOURNAL!$C$5:$I$1115,2,0))</f>
        <v/>
      </c>
      <c r="D83" s="201" t="str">
        <f ca="1">IF($A83="","",VLOOKUP($A83,JOURNAL!$C$5:$I$1115,4,0))</f>
        <v/>
      </c>
      <c r="E83" s="187" t="str">
        <f ca="1">IF($A83="","",VLOOKUP($A83,JOURNAL!$C$5:$I$1115,3,0))</f>
        <v/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200" t="str">
        <f t="shared" ref="A84:A101" ca="1" si="2">IF(A83="","",IF(ISNA(VLOOKUP($A$1&amp;" / "&amp;$A$72,INDIRECT(ADDRESS(A83+5,2,1,,"JOURNAL")&amp;":G700"),2,0)),"",VLOOKUP($A$1&amp;" / "&amp;$A$72,INDIRECT(ADDRESS(A83+5,2,1,,"JOURNAL")&amp;":G700"),2,0)))</f>
        <v/>
      </c>
      <c r="B84" s="201" t="str">
        <f ca="1">IF($A84="","",VLOOKUP($A84,JOURNAL!$C$5:$I$1115,5,0))</f>
        <v/>
      </c>
      <c r="C84" s="202" t="str">
        <f ca="1">IF($A84="","",VLOOKUP($A84,JOURNAL!$C$5:$I$1115,2,0))</f>
        <v/>
      </c>
      <c r="D84" s="201" t="str">
        <f ca="1">IF($A84="","",VLOOKUP($A84,JOURNAL!$C$5:$I$1115,4,0))</f>
        <v/>
      </c>
      <c r="E84" s="187" t="str">
        <f ca="1">IF($A84="","",VLOOKUP($A84,JOURNAL!$C$5:$I$1115,3,0))</f>
        <v/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200" t="str">
        <f t="shared" ca="1" si="2"/>
        <v/>
      </c>
      <c r="B85" s="201" t="str">
        <f ca="1">IF($A85="","",VLOOKUP($A85,JOURNAL!$C$5:$I$1115,5,0))</f>
        <v/>
      </c>
      <c r="C85" s="202" t="str">
        <f ca="1">IF($A85="","",VLOOKUP($A85,JOURNAL!$C$5:$I$1115,2,0))</f>
        <v/>
      </c>
      <c r="D85" s="201" t="str">
        <f ca="1">IF($A85="","",VLOOKUP($A85,JOURNAL!$C$5:$I$1115,4,0))</f>
        <v/>
      </c>
      <c r="E85" s="187" t="str">
        <f ca="1">IF($A85="","",VLOOKUP($A85,JOURNAL!$C$5:$I$1115,3,0))</f>
        <v/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200" t="str">
        <f t="shared" ca="1" si="2"/>
        <v/>
      </c>
      <c r="B86" s="201" t="str">
        <f ca="1">IF($A86="","",VLOOKUP($A86,JOURNAL!$C$5:$I$1115,5,0))</f>
        <v/>
      </c>
      <c r="C86" s="202" t="str">
        <f ca="1">IF($A86="","",VLOOKUP($A86,JOURNAL!$C$5:$I$1115,2,0))</f>
        <v/>
      </c>
      <c r="D86" s="201" t="str">
        <f ca="1">IF($A86="","",VLOOKUP($A86,JOURNAL!$C$5:$I$1115,4,0))</f>
        <v/>
      </c>
      <c r="E86" s="187" t="str">
        <f ca="1">IF($A86="","",VLOOKUP($A86,JOURNAL!$C$5:$I$1115,3,0))</f>
        <v/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200" t="str">
        <f t="shared" ca="1" si="2"/>
        <v/>
      </c>
      <c r="B87" s="201" t="str">
        <f ca="1">IF($A87="","",VLOOKUP($A87,JOURNAL!$C$5:$I$1115,5,0))</f>
        <v/>
      </c>
      <c r="C87" s="202" t="str">
        <f ca="1">IF($A87="","",VLOOKUP($A87,JOURNAL!$C$5:$I$1115,2,0))</f>
        <v/>
      </c>
      <c r="D87" s="201" t="str">
        <f ca="1">IF($A87="","",VLOOKUP($A87,JOURNAL!$C$5:$I$1115,4,0))</f>
        <v/>
      </c>
      <c r="E87" s="187" t="str">
        <f ca="1">IF($A87="","",VLOOKUP($A87,JOURNAL!$C$5:$I$1115,3,0))</f>
        <v/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200" t="str">
        <f t="shared" ca="1" si="2"/>
        <v/>
      </c>
      <c r="B88" s="201" t="str">
        <f ca="1">IF($A88="","",VLOOKUP($A88,JOURNAL!$C$5:$I$1115,5,0))</f>
        <v/>
      </c>
      <c r="C88" s="202" t="str">
        <f ca="1">IF($A88="","",VLOOKUP($A88,JOURNAL!$C$5:$I$1115,2,0))</f>
        <v/>
      </c>
      <c r="D88" s="201" t="str">
        <f ca="1">IF($A88="","",VLOOKUP($A88,JOURNAL!$C$5:$I$1115,4,0))</f>
        <v/>
      </c>
      <c r="E88" s="187" t="str">
        <f ca="1">IF($A88="","",VLOOKUP($A88,JOURNAL!$C$5:$I$1115,3,0))</f>
        <v/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200" t="str">
        <f t="shared" ca="1" si="2"/>
        <v/>
      </c>
      <c r="B89" s="201" t="str">
        <f ca="1">IF($A89="","",VLOOKUP($A89,JOURNAL!$C$5:$I$1115,5,0))</f>
        <v/>
      </c>
      <c r="C89" s="202" t="str">
        <f ca="1">IF($A89="","",VLOOKUP($A89,JOURNAL!$C$5:$I$1115,2,0))</f>
        <v/>
      </c>
      <c r="D89" s="201" t="str">
        <f ca="1">IF($A89="","",VLOOKUP($A89,JOURNAL!$C$5:$I$1115,4,0))</f>
        <v/>
      </c>
      <c r="E89" s="187" t="str">
        <f ca="1">IF($A89="","",VLOOKUP($A89,JOURNAL!$C$5:$I$1115,3,0))</f>
        <v/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200" t="str">
        <f t="shared" ca="1" si="2"/>
        <v/>
      </c>
      <c r="B90" s="201" t="str">
        <f ca="1">IF($A90="","",VLOOKUP($A90,JOURNAL!$C$5:$I$1115,5,0))</f>
        <v/>
      </c>
      <c r="C90" s="202" t="str">
        <f ca="1">IF($A90="","",VLOOKUP($A90,JOURNAL!$C$5:$I$1115,2,0))</f>
        <v/>
      </c>
      <c r="D90" s="201" t="str">
        <f ca="1">IF($A90="","",VLOOKUP($A90,JOURNAL!$C$5:$I$1115,4,0))</f>
        <v/>
      </c>
      <c r="E90" s="187" t="str">
        <f ca="1">IF($A90="","",VLOOKUP($A90,JOURNAL!$C$5:$I$1115,3,0))</f>
        <v/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200" t="str">
        <f t="shared" ca="1" si="2"/>
        <v/>
      </c>
      <c r="B91" s="201" t="str">
        <f ca="1">IF($A91="","",VLOOKUP($A91,JOURNAL!$C$5:$I$1115,5,0))</f>
        <v/>
      </c>
      <c r="C91" s="202" t="str">
        <f ca="1">IF($A91="","",VLOOKUP($A91,JOURNAL!$C$5:$I$1115,2,0))</f>
        <v/>
      </c>
      <c r="D91" s="201" t="str">
        <f ca="1">IF($A91="","",VLOOKUP($A91,JOURNAL!$C$5:$I$1115,4,0))</f>
        <v/>
      </c>
      <c r="E91" s="187" t="str">
        <f ca="1">IF($A91="","",VLOOKUP($A91,JOURNAL!$C$5:$I$1115,3,0))</f>
        <v/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200" t="str">
        <f t="shared" ca="1" si="2"/>
        <v/>
      </c>
      <c r="B92" s="201" t="str">
        <f ca="1">IF($A92="","",VLOOKUP($A92,JOURNAL!$C$5:$I$1115,5,0))</f>
        <v/>
      </c>
      <c r="C92" s="202" t="str">
        <f ca="1">IF($A92="","",VLOOKUP($A92,JOURNAL!$C$5:$I$1115,2,0))</f>
        <v/>
      </c>
      <c r="D92" s="201" t="str">
        <f ca="1">IF($A92="","",VLOOKUP($A92,JOURNAL!$C$5:$I$1115,4,0))</f>
        <v/>
      </c>
      <c r="E92" s="187" t="str">
        <f ca="1">IF($A92="","",VLOOKUP($A92,JOURNAL!$C$5:$I$1115,3,0))</f>
        <v/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200" t="str">
        <f t="shared" ca="1" si="2"/>
        <v/>
      </c>
      <c r="B93" s="201" t="str">
        <f ca="1">IF($A93="","",VLOOKUP($A93,JOURNAL!$C$5:$I$1115,5,0))</f>
        <v/>
      </c>
      <c r="C93" s="202" t="str">
        <f ca="1">IF($A93="","",VLOOKUP($A93,JOURNAL!$C$5:$I$1115,2,0))</f>
        <v/>
      </c>
      <c r="D93" s="201" t="str">
        <f ca="1">IF($A93="","",VLOOKUP($A93,JOURNAL!$C$5:$I$1115,4,0))</f>
        <v/>
      </c>
      <c r="E93" s="187" t="str">
        <f ca="1">IF($A93="","",VLOOKUP($A93,JOURNAL!$C$5:$I$1115,3,0))</f>
        <v/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200" t="str">
        <f t="shared" ca="1" si="2"/>
        <v/>
      </c>
      <c r="B94" s="201" t="str">
        <f ca="1">IF($A94="","",VLOOKUP($A94,JOURNAL!$C$5:$I$1115,5,0))</f>
        <v/>
      </c>
      <c r="C94" s="202" t="str">
        <f ca="1">IF($A94="","",VLOOKUP($A94,JOURNAL!$C$5:$I$1115,2,0))</f>
        <v/>
      </c>
      <c r="D94" s="201" t="str">
        <f ca="1">IF($A94="","",VLOOKUP($A94,JOURNAL!$C$5:$I$1115,4,0))</f>
        <v/>
      </c>
      <c r="E94" s="187" t="str">
        <f ca="1">IF($A94="","",VLOOKUP($A94,JOURNAL!$C$5:$I$1115,3,0))</f>
        <v/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200" t="str">
        <f t="shared" ca="1" si="2"/>
        <v/>
      </c>
      <c r="B95" s="201" t="str">
        <f ca="1">IF($A95="","",VLOOKUP($A95,JOURNAL!$C$5:$I$1115,5,0))</f>
        <v/>
      </c>
      <c r="C95" s="202" t="str">
        <f ca="1">IF($A95="","",VLOOKUP($A95,JOURNAL!$C$5:$I$1115,2,0))</f>
        <v/>
      </c>
      <c r="D95" s="201" t="str">
        <f ca="1">IF($A95="","",VLOOKUP($A95,JOURNAL!$C$5:$I$1115,4,0))</f>
        <v/>
      </c>
      <c r="E95" s="187" t="str">
        <f ca="1">IF($A95="","",VLOOKUP($A95,JOURNAL!$C$5:$I$1115,3,0))</f>
        <v/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200" t="str">
        <f t="shared" ca="1" si="2"/>
        <v/>
      </c>
      <c r="B96" s="201" t="str">
        <f ca="1">IF($A96="","",VLOOKUP($A96,JOURNAL!$C$5:$I$1115,5,0))</f>
        <v/>
      </c>
      <c r="C96" s="202" t="str">
        <f ca="1">IF($A96="","",VLOOKUP($A96,JOURNAL!$C$5:$I$1115,2,0))</f>
        <v/>
      </c>
      <c r="D96" s="201" t="str">
        <f ca="1">IF($A96="","",VLOOKUP($A96,JOURNAL!$C$5:$I$1115,4,0))</f>
        <v/>
      </c>
      <c r="E96" s="187" t="str">
        <f ca="1">IF($A96="","",VLOOKUP($A96,JOURNAL!$C$5:$I$1115,3,0))</f>
        <v/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200" t="str">
        <f t="shared" ca="1" si="2"/>
        <v/>
      </c>
      <c r="B97" s="201" t="str">
        <f ca="1">IF($A97="","",VLOOKUP($A97,JOURNAL!$C$5:$I$1115,5,0))</f>
        <v/>
      </c>
      <c r="C97" s="202" t="str">
        <f ca="1">IF($A97="","",VLOOKUP($A97,JOURNAL!$C$5:$I$1115,2,0))</f>
        <v/>
      </c>
      <c r="D97" s="201" t="str">
        <f ca="1">IF($A97="","",VLOOKUP($A97,JOURNAL!$C$5:$I$1115,4,0))</f>
        <v/>
      </c>
      <c r="E97" s="187" t="str">
        <f ca="1">IF($A97="","",VLOOKUP($A97,JOURNAL!$C$5:$I$1115,3,0))</f>
        <v/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200" t="str">
        <f t="shared" ca="1" si="2"/>
        <v/>
      </c>
      <c r="B98" s="201" t="str">
        <f ca="1">IF($A98="","",VLOOKUP($A98,JOURNAL!$C$5:$I$1115,5,0))</f>
        <v/>
      </c>
      <c r="C98" s="202" t="str">
        <f ca="1">IF($A98="","",VLOOKUP($A98,JOURNAL!$C$5:$I$1115,2,0))</f>
        <v/>
      </c>
      <c r="D98" s="201" t="str">
        <f ca="1">IF($A98="","",VLOOKUP($A98,JOURNAL!$C$5:$I$1115,4,0))</f>
        <v/>
      </c>
      <c r="E98" s="187" t="str">
        <f ca="1">IF($A98="","",VLOOKUP($A98,JOURNAL!$C$5:$I$1115,3,0))</f>
        <v/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200" t="str">
        <f t="shared" ca="1" si="2"/>
        <v/>
      </c>
      <c r="B99" s="201" t="str">
        <f ca="1">IF($A99="","",VLOOKUP($A99,JOURNAL!$C$5:$I$1115,5,0))</f>
        <v/>
      </c>
      <c r="C99" s="202" t="str">
        <f ca="1">IF($A99="","",VLOOKUP($A99,JOURNAL!$C$5:$I$1115,2,0))</f>
        <v/>
      </c>
      <c r="D99" s="201" t="str">
        <f ca="1">IF($A99="","",VLOOKUP($A99,JOURNAL!$C$5:$I$1115,4,0))</f>
        <v/>
      </c>
      <c r="E99" s="187" t="str">
        <f ca="1">IF($A99="","",VLOOKUP($A99,JOURNAL!$C$5:$I$1115,3,0))</f>
        <v/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200" t="str">
        <f t="shared" ca="1" si="2"/>
        <v/>
      </c>
      <c r="B100" s="201" t="str">
        <f ca="1">IF($A100="","",VLOOKUP($A100,JOURNAL!$C$5:$I$1115,5,0))</f>
        <v/>
      </c>
      <c r="C100" s="202" t="str">
        <f ca="1">IF($A100="","",VLOOKUP($A100,JOURNAL!$C$5:$I$1115,2,0))</f>
        <v/>
      </c>
      <c r="D100" s="201" t="str">
        <f ca="1">IF($A100="","",VLOOKUP($A100,JOURNAL!$C$5:$I$1115,4,0))</f>
        <v/>
      </c>
      <c r="E100" s="187" t="str">
        <f ca="1">IF($A100="","",VLOOKUP($A100,JOURNAL!$C$5:$I$1115,3,0))</f>
        <v/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200" t="str">
        <f t="shared" ca="1" si="2"/>
        <v/>
      </c>
      <c r="B101" s="201" t="str">
        <f ca="1">IF($A101="","",VLOOKUP($A101,JOURNAL!$C$5:$I$1115,5,0))</f>
        <v/>
      </c>
      <c r="C101" s="202" t="str">
        <f ca="1">IF($A101="","",VLOOKUP($A101,JOURNAL!$C$5:$I$1115,2,0))</f>
        <v/>
      </c>
      <c r="D101" s="201" t="str">
        <f ca="1">IF($A101="","",VLOOKUP($A101,JOURNAL!$C$5:$I$1115,4,0))</f>
        <v/>
      </c>
      <c r="E101" s="187" t="str">
        <f ca="1">IF($A101="","",VLOOKUP($A101,JOURNAL!$C$5:$I$1115,3,0))</f>
        <v/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178" t="s">
        <v>16</v>
      </c>
      <c r="B102" s="179"/>
      <c r="C102" s="180"/>
      <c r="D102" s="181"/>
      <c r="E102" s="182">
        <f ca="1">SUM(E74:E101)</f>
        <v>500</v>
      </c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">
      <c r="A257" s="51"/>
      <c r="B257" s="4"/>
      <c r="C257" s="149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">
      <c r="A258" s="51"/>
      <c r="B258" s="4"/>
      <c r="C258" s="149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2">
      <c r="A259" s="51"/>
      <c r="B259" s="4"/>
      <c r="C259" s="149"/>
      <c r="D259" s="4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2">
      <c r="A260" s="51"/>
      <c r="B260" s="4"/>
      <c r="C260" s="149"/>
      <c r="D260" s="4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2">
      <c r="A261" s="51"/>
      <c r="B261" s="4"/>
      <c r="C261" s="149"/>
      <c r="D261" s="4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2">
      <c r="A262" s="51"/>
      <c r="B262" s="4"/>
      <c r="C262" s="149"/>
      <c r="D262" s="4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2">
      <c r="A263" s="51"/>
      <c r="B263" s="4"/>
      <c r="C263" s="149"/>
      <c r="D263" s="4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2">
      <c r="A264" s="51"/>
      <c r="B264" s="4"/>
      <c r="C264" s="149"/>
      <c r="D264" s="4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2">
      <c r="A265" s="51"/>
      <c r="B265" s="4"/>
      <c r="C265" s="149"/>
      <c r="D265" s="4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2">
      <c r="A266" s="51"/>
      <c r="B266" s="4"/>
      <c r="C266" s="149"/>
      <c r="D266" s="4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2">
      <c r="A267" s="51"/>
      <c r="B267" s="4"/>
      <c r="C267" s="149"/>
      <c r="D267" s="4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2">
      <c r="A268" s="51"/>
      <c r="B268" s="4"/>
      <c r="C268" s="149"/>
      <c r="D268" s="4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2">
      <c r="A269" s="51"/>
      <c r="B269" s="4"/>
      <c r="C269" s="149"/>
      <c r="D269" s="4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2">
      <c r="A270" s="51"/>
      <c r="B270" s="4"/>
      <c r="C270" s="149"/>
      <c r="D270" s="4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2">
      <c r="A271" s="51"/>
      <c r="B271" s="4"/>
      <c r="C271" s="149"/>
      <c r="D271" s="4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 x14ac:dyDescent="0.2">
      <c r="A272" s="51"/>
      <c r="B272" s="4"/>
      <c r="C272" s="149"/>
      <c r="D272" s="4"/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 x14ac:dyDescent="0.2">
      <c r="A273" s="51"/>
      <c r="B273" s="4"/>
      <c r="C273" s="149"/>
      <c r="D273" s="4"/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 x14ac:dyDescent="0.2">
      <c r="A274" s="51"/>
      <c r="B274" s="4"/>
      <c r="C274" s="149"/>
      <c r="D274" s="4"/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 x14ac:dyDescent="0.2">
      <c r="A275" s="51"/>
      <c r="B275" s="4"/>
      <c r="C275" s="149"/>
      <c r="D275" s="4"/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 x14ac:dyDescent="0.2">
      <c r="A276" s="51"/>
      <c r="B276" s="4"/>
      <c r="C276" s="149"/>
      <c r="D276" s="4"/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 x14ac:dyDescent="0.2">
      <c r="A277" s="51"/>
      <c r="B277" s="4"/>
      <c r="C277" s="149"/>
      <c r="D277" s="4"/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 x14ac:dyDescent="0.2">
      <c r="A278" s="51"/>
      <c r="B278" s="4"/>
      <c r="C278" s="149"/>
      <c r="D278" s="4"/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 x14ac:dyDescent="0.2">
      <c r="A279" s="51"/>
      <c r="B279" s="4"/>
      <c r="C279" s="149"/>
      <c r="D279" s="4"/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 x14ac:dyDescent="0.2">
      <c r="A280" s="51"/>
      <c r="B280" s="4"/>
      <c r="C280" s="149"/>
      <c r="D280" s="4"/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 x14ac:dyDescent="0.2">
      <c r="A281" s="51"/>
      <c r="B281" s="4"/>
      <c r="C281" s="149"/>
      <c r="D281" s="4"/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 x14ac:dyDescent="0.2">
      <c r="A282" s="51"/>
      <c r="B282" s="4"/>
      <c r="C282" s="149"/>
      <c r="D282" s="4"/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 x14ac:dyDescent="0.2">
      <c r="A283" s="51"/>
      <c r="B283" s="4"/>
      <c r="C283" s="149"/>
      <c r="D283" s="4"/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 x14ac:dyDescent="0.2">
      <c r="A284" s="51"/>
      <c r="B284" s="4"/>
      <c r="C284" s="149"/>
      <c r="D284" s="4"/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 x14ac:dyDescent="0.2">
      <c r="A285" s="51"/>
      <c r="B285" s="4"/>
      <c r="C285" s="149"/>
      <c r="D285" s="4"/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 x14ac:dyDescent="0.2">
      <c r="A286" s="51"/>
      <c r="B286" s="4"/>
      <c r="C286" s="149"/>
      <c r="D286" s="4"/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 x14ac:dyDescent="0.2">
      <c r="A287" s="51"/>
      <c r="B287" s="4"/>
      <c r="C287" s="149"/>
      <c r="D287" s="4"/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 x14ac:dyDescent="0.2">
      <c r="A288" s="51"/>
      <c r="B288" s="4"/>
      <c r="C288" s="149"/>
      <c r="D288" s="4"/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 x14ac:dyDescent="0.2">
      <c r="A289" s="51"/>
      <c r="B289" s="4"/>
      <c r="C289" s="149"/>
      <c r="D289" s="4"/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 x14ac:dyDescent="0.2">
      <c r="A290" s="51"/>
      <c r="B290" s="4"/>
      <c r="C290" s="149"/>
      <c r="D290" s="4"/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 x14ac:dyDescent="0.2">
      <c r="A291" s="51"/>
      <c r="B291" s="4"/>
      <c r="C291" s="149"/>
      <c r="D291" s="4"/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 x14ac:dyDescent="0.2">
      <c r="A292" s="51"/>
      <c r="B292" s="4"/>
      <c r="C292" s="149"/>
      <c r="D292" s="4"/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 x14ac:dyDescent="0.2">
      <c r="A293" s="51"/>
      <c r="B293" s="4"/>
      <c r="C293" s="149"/>
      <c r="D293" s="4"/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 x14ac:dyDescent="0.2">
      <c r="A294" s="51"/>
      <c r="B294" s="4"/>
      <c r="C294" s="149"/>
      <c r="D294" s="4"/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 x14ac:dyDescent="0.2">
      <c r="A295" s="51"/>
      <c r="B295" s="4"/>
      <c r="C295" s="149"/>
      <c r="D295" s="4"/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 x14ac:dyDescent="0.2">
      <c r="A296" s="51"/>
      <c r="B296" s="4"/>
      <c r="C296" s="149"/>
      <c r="D296" s="4"/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 x14ac:dyDescent="0.2">
      <c r="A297" s="51"/>
      <c r="B297" s="4"/>
      <c r="C297" s="149"/>
      <c r="D297" s="4"/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 x14ac:dyDescent="0.2">
      <c r="A298" s="51"/>
      <c r="B298" s="4"/>
      <c r="C298" s="149"/>
      <c r="D298" s="4"/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 x14ac:dyDescent="0.2">
      <c r="A299" s="51"/>
      <c r="B299" s="4"/>
      <c r="C299" s="149"/>
      <c r="D299" s="4"/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 x14ac:dyDescent="0.2">
      <c r="A300" s="51"/>
      <c r="B300" s="4"/>
      <c r="C300" s="149"/>
      <c r="D300" s="4"/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 x14ac:dyDescent="0.2">
      <c r="A301" s="51"/>
      <c r="B301" s="4"/>
      <c r="C301" s="149"/>
      <c r="D301" s="4"/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 x14ac:dyDescent="0.2">
      <c r="A302" s="51"/>
      <c r="B302" s="4"/>
      <c r="C302" s="149"/>
      <c r="D302" s="4"/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/>
    <row r="304" spans="1:26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52:E52"/>
  </mergeCells>
  <conditionalFormatting sqref="N15">
    <cfRule type="cellIs" dxfId="1" priority="1" operator="greaterThan">
      <formula>0</formula>
    </cfRule>
    <cfRule type="cellIs" dxfId="0" priority="2" operator="lessThan">
      <formula>0</formula>
    </cfRule>
  </conditionalFormatting>
  <dataValidations count="1">
    <dataValidation type="list" allowBlank="1" showErrorMessage="1" sqref="A6:A10 A14:A49" xr:uid="{00000000-0002-0000-0F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31.1640625" customWidth="1"/>
    <col min="3" max="3" width="13.1640625" customWidth="1"/>
    <col min="4" max="4" width="11.6640625" customWidth="1"/>
    <col min="5" max="5" width="16.33203125" customWidth="1"/>
    <col min="6" max="6" width="26.5" customWidth="1"/>
    <col min="7" max="7" width="9.1640625" hidden="1" customWidth="1"/>
    <col min="8" max="26" width="9" customWidth="1"/>
  </cols>
  <sheetData>
    <row r="1" spans="1:26" ht="22" x14ac:dyDescent="0.25">
      <c r="A1" s="360" t="s">
        <v>367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217" t="s">
        <v>218</v>
      </c>
      <c r="B5" s="217" t="s">
        <v>7</v>
      </c>
      <c r="C5" s="158"/>
      <c r="D5" s="159"/>
      <c r="E5" s="160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 t="s">
        <v>368</v>
      </c>
      <c r="B6" s="215" t="s">
        <v>369</v>
      </c>
      <c r="C6" s="189"/>
      <c r="D6" s="190"/>
      <c r="E6" s="187">
        <v>18000</v>
      </c>
      <c r="F6" s="4" t="s">
        <v>370</v>
      </c>
      <c r="G6" s="48" t="s">
        <v>371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215" t="s">
        <v>372</v>
      </c>
      <c r="C7" s="189"/>
      <c r="D7" s="190"/>
      <c r="E7" s="216">
        <v>1000</v>
      </c>
      <c r="F7" s="4" t="s">
        <v>373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215" t="s">
        <v>374</v>
      </c>
      <c r="C8" s="189"/>
      <c r="D8" s="4"/>
      <c r="E8" s="216">
        <v>1200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215" t="s">
        <v>375</v>
      </c>
      <c r="C9" s="189"/>
      <c r="D9" s="190"/>
      <c r="E9" s="216">
        <v>500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215"/>
      <c r="C10" s="189"/>
      <c r="D10" s="190"/>
      <c r="E10" s="18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215"/>
      <c r="C11" s="189"/>
      <c r="D11" s="190"/>
      <c r="E11" s="18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215"/>
      <c r="C12" s="189"/>
      <c r="D12" s="190"/>
      <c r="E12" s="18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61"/>
      <c r="B13" s="174"/>
      <c r="C13" s="304"/>
      <c r="D13" s="225"/>
      <c r="E13" s="18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78" t="s">
        <v>16</v>
      </c>
      <c r="B14" s="179"/>
      <c r="C14" s="180"/>
      <c r="D14" s="181"/>
      <c r="E14" s="182">
        <f>SUM(E6:E13)</f>
        <v>20700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83" t="s">
        <v>206</v>
      </c>
      <c r="B15" s="184"/>
      <c r="C15" s="185"/>
      <c r="D15" s="184"/>
      <c r="E15" s="18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56" t="s">
        <v>218</v>
      </c>
      <c r="B16" s="208" t="s">
        <v>7</v>
      </c>
      <c r="C16" s="158"/>
      <c r="D16" s="159"/>
      <c r="E16" s="160" t="s">
        <v>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61"/>
      <c r="B17" s="188"/>
      <c r="C17" s="189"/>
      <c r="D17" s="190"/>
      <c r="E17" s="18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188"/>
      <c r="C18" s="189"/>
      <c r="D18" s="190"/>
      <c r="E18" s="18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188"/>
      <c r="C19" s="189"/>
      <c r="D19" s="190"/>
      <c r="E19" s="18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188"/>
      <c r="C20" s="189"/>
      <c r="D20" s="190"/>
      <c r="E20" s="18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188"/>
      <c r="C21" s="189"/>
      <c r="D21" s="190"/>
      <c r="E21" s="18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61"/>
      <c r="B22" s="188"/>
      <c r="C22" s="189"/>
      <c r="D22" s="190"/>
      <c r="E22" s="18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61"/>
      <c r="B23" s="188"/>
      <c r="C23" s="189"/>
      <c r="D23" s="190"/>
      <c r="E23" s="18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78" t="s">
        <v>16</v>
      </c>
      <c r="B24" s="179"/>
      <c r="C24" s="180"/>
      <c r="D24" s="181"/>
      <c r="E24" s="182">
        <f>SUM(E17:E23)</f>
        <v>0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6.5" customHeight="1" x14ac:dyDescent="0.2">
      <c r="A25" s="51"/>
      <c r="B25" s="4"/>
      <c r="C25" s="149"/>
      <c r="D25" s="4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 x14ac:dyDescent="0.2">
      <c r="A26" s="377" t="s">
        <v>204</v>
      </c>
      <c r="B26" s="375"/>
      <c r="C26" s="375"/>
      <c r="D26" s="375"/>
      <c r="E26" s="37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193" t="s">
        <v>205</v>
      </c>
      <c r="B27" s="194"/>
      <c r="C27" s="195"/>
      <c r="D27" s="194"/>
      <c r="E27" s="19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56" t="s">
        <v>3</v>
      </c>
      <c r="B28" s="197" t="s">
        <v>7</v>
      </c>
      <c r="C28" s="198" t="s">
        <v>4</v>
      </c>
      <c r="D28" s="199" t="s">
        <v>6</v>
      </c>
      <c r="E28" s="160" t="s">
        <v>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200" t="str">
        <f>IF(ISNA(VLOOKUP($A$1&amp;" / "&amp;$A$27,JOURNAL!$B$5:$I$1115,2,0)),"",VLOOKUP($A$1&amp;" / "&amp;$A$27,JOURNAL!$B$5:$I$1115,2,0))</f>
        <v/>
      </c>
      <c r="B29" s="201" t="str">
        <f>IF($A29="","",VLOOKUP($A29,JOURNAL!$C$5:$I$1115,5,0))</f>
        <v/>
      </c>
      <c r="C29" s="202" t="str">
        <f>IF($A29="","",VLOOKUP($A29,JOURNAL!$C$5:$I$1115,2,0))</f>
        <v/>
      </c>
      <c r="D29" s="201" t="str">
        <f>IF($A29="","",VLOOKUP($A29,JOURNAL!$C$5:$I$1115,4,0))</f>
        <v/>
      </c>
      <c r="E29" s="187" t="str">
        <f>IF($A29="","",VLOOKUP($A29,JOURNAL!$C$5:$I$1115,3,0))</f>
        <v/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 t="str">
        <f t="array" aca="1" ref="A30" ca="1">IF(A29="","",IF(ISNA(VLOOKUP($A$1&amp;" / "&amp;$A$27,INDIRECT(ADDRESS(A29+5,2,1,,"JOURNAL")&amp;":G500"),2,0)),"",VLOOKUP($A$1&amp;" / "&amp;$A$27,INDIRECT(ADDRESS(A29+5,2,1,,"JOURNAL")&amp;":G500"),2,0)))</f>
        <v/>
      </c>
      <c r="B30" s="201" t="str">
        <f ca="1">IF($A30="","",VLOOKUP($A30,JOURNAL!$C$5:$I$1115,5,0))</f>
        <v/>
      </c>
      <c r="C30" s="202" t="str">
        <f ca="1">IF($A30="","",VLOOKUP($A30,JOURNAL!$C$5:$I$1115,2,0))</f>
        <v/>
      </c>
      <c r="D30" s="201" t="str">
        <f ca="1">IF($A30="","",VLOOKUP($A30,JOURNAL!$C$5:$I$1115,4,0))</f>
        <v/>
      </c>
      <c r="E30" s="187" t="str">
        <f ca="1">IF($A30="","",VLOOKUP($A30,JOURNAL!$C$5:$I$1115,3,0))</f>
        <v/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 t="str">
        <f t="shared" ref="A31:A46" ca="1" si="0">IF(A30="","",IF(ISNA(VLOOKUP($A$1&amp;" / "&amp;$A$27,INDIRECT(ADDRESS(A30+5,2,1,,"JOURNAL")&amp;":G700"),2,0)),"",VLOOKUP($A$1&amp;" / "&amp;$A$27,INDIRECT(ADDRESS(A30+5,2,1,,"JOURNAL")&amp;":G700"),2,0)))</f>
        <v/>
      </c>
      <c r="B31" s="201" t="str">
        <f ca="1">IF($A31="","",VLOOKUP($A31,JOURNAL!$C$5:$I$1115,5,0))</f>
        <v/>
      </c>
      <c r="C31" s="202" t="str">
        <f ca="1">IF($A31="","",VLOOKUP($A31,JOURNAL!$C$5:$I$1115,2,0))</f>
        <v/>
      </c>
      <c r="D31" s="201" t="str">
        <f ca="1">IF($A31="","",VLOOKUP($A31,JOURNAL!$C$5:$I$1115,4,0))</f>
        <v/>
      </c>
      <c r="E31" s="187" t="str">
        <f ca="1">IF($A31="","",VLOOKUP($A31,JOURNAL!$C$5:$I$1115,3,0))</f>
        <v/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 t="str">
        <f t="shared" ca="1" si="0"/>
        <v/>
      </c>
      <c r="B32" s="201" t="str">
        <f ca="1">IF($A32="","",VLOOKUP($A32,JOURNAL!$C$5:$I$1115,5,0))</f>
        <v/>
      </c>
      <c r="C32" s="202" t="str">
        <f ca="1">IF($A32="","",VLOOKUP($A32,JOURNAL!$C$5:$I$1115,2,0))</f>
        <v/>
      </c>
      <c r="D32" s="201" t="str">
        <f ca="1">IF($A32="","",VLOOKUP($A32,JOURNAL!$C$5:$I$1115,4,0))</f>
        <v/>
      </c>
      <c r="E32" s="187" t="str">
        <f ca="1">IF($A32="","",VLOOKUP($A32,JOURNAL!$C$5:$I$1115,3,0))</f>
        <v/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t="shared" ca="1" si="0"/>
        <v/>
      </c>
      <c r="B33" s="201" t="str">
        <f ca="1">IF($A33="","",VLOOKUP($A33,JOURNAL!$C$5:$I$1115,5,0))</f>
        <v/>
      </c>
      <c r="C33" s="202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shared" ca="1" si="0"/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t="shared" ca="1" si="0"/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t="shared" ca="1" si="0"/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200" t="str">
        <f t="shared" ca="1" si="0"/>
        <v/>
      </c>
      <c r="B46" s="201" t="str">
        <f ca="1">IF($A46="","",VLOOKUP($A46,JOURNAL!$C$5:$I$1115,5,0))</f>
        <v/>
      </c>
      <c r="C46" s="202" t="str">
        <f ca="1">IF($A46="","",VLOOKUP($A46,JOURNAL!$C$5:$I$1115,2,0))</f>
        <v/>
      </c>
      <c r="D46" s="201" t="str">
        <f ca="1">IF($A46="","",VLOOKUP($A46,JOURNAL!$C$5:$I$1115,4,0))</f>
        <v/>
      </c>
      <c r="E46" s="187" t="str">
        <f ca="1">IF($A46="","",VLOOKUP($A46,JOURNAL!$C$5:$I$1115,3,0))</f>
        <v/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200" t="str">
        <f t="array" aca="1" ref="A47" ca="1">IF(A46="","",IF(ISNA(VLOOKUP($A$1&amp;" / "&amp;$A$27,INDIRECT(ADDRESS(A46+5,2,1,,"JOURNAL")&amp;":G500"),2,0)),"",VLOOKUP($A$1&amp;" / "&amp;$A$27,INDIRECT(ADDRESS(A46+5,2,1,,"JOURNAL")&amp;":G500"),2,0)))</f>
        <v/>
      </c>
      <c r="B47" s="201" t="str">
        <f ca="1">IF($A47="","",VLOOKUP($A47,JOURNAL!$C$5:$I$1115,5,0))</f>
        <v/>
      </c>
      <c r="C47" s="202" t="str">
        <f ca="1">IF($A47="","",VLOOKUP($A47,JOURNAL!$C$5:$I$1115,2,0))</f>
        <v/>
      </c>
      <c r="D47" s="201" t="str">
        <f ca="1">IF($A47="","",VLOOKUP($A47,JOURNAL!$C$5:$I$1115,4,0))</f>
        <v/>
      </c>
      <c r="E47" s="187" t="str">
        <f ca="1">IF($A47="","",VLOOKUP($A47,JOURNAL!$C$5:$I$1115,3,0))</f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178" t="s">
        <v>16</v>
      </c>
      <c r="B48" s="179"/>
      <c r="C48" s="180"/>
      <c r="D48" s="181"/>
      <c r="E48" s="182">
        <f ca="1">SUM(E29:E47)</f>
        <v>0</v>
      </c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6.5" customHeight="1" x14ac:dyDescent="0.2">
      <c r="A49" s="204" t="s">
        <v>206</v>
      </c>
      <c r="B49" s="205"/>
      <c r="C49" s="206"/>
      <c r="D49" s="205"/>
      <c r="E49" s="20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156" t="s">
        <v>3</v>
      </c>
      <c r="B50" s="197" t="s">
        <v>7</v>
      </c>
      <c r="C50" s="198" t="s">
        <v>4</v>
      </c>
      <c r="D50" s="199" t="s">
        <v>6</v>
      </c>
      <c r="E50" s="160" t="s">
        <v>5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200" t="str">
        <f>IF(ISNA(VLOOKUP($A$1&amp;" / "&amp;$A$49,JOURNAL!$B$5:$I$1115,2,0)),"",VLOOKUP($A$1&amp;" / "&amp;$A$49,JOURNAL!$B$5:$I$1115,2,0))</f>
        <v/>
      </c>
      <c r="B51" s="201" t="str">
        <f>IF($A51="","",VLOOKUP($A51,JOURNAL!$C$5:$I$1115,5,0))</f>
        <v/>
      </c>
      <c r="C51" s="202" t="str">
        <f>IF($A51="","",VLOOKUP($A51,JOURNAL!$C$5:$I$1115,2,0))</f>
        <v/>
      </c>
      <c r="D51" s="201" t="str">
        <f>IF($A51="","",VLOOKUP($A51,JOURNAL!$C$5:$I$1115,4,0))</f>
        <v/>
      </c>
      <c r="E51" s="187" t="str">
        <f>IF($A51="","",VLOOKUP($A51,JOURNAL!$C$5:$I$1115,3,0))</f>
        <v/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 t="str">
        <f t="shared" ref="A52:A57" ca="1" si="1">IF(A51="","",IF(ISNA(VLOOKUP($A$1&amp;" / "&amp;$A$49,INDIRECT(ADDRESS(A51+5,2,1,,"JOURNAL")&amp;":G700"),2,0)),"",VLOOKUP($A$1&amp;" / "&amp;$A$49,INDIRECT(ADDRESS(A51+5,2,1,,"JOURNAL")&amp;":G700"),2,0)))</f>
        <v/>
      </c>
      <c r="B52" s="201" t="str">
        <f ca="1">IF($A52="","",VLOOKUP($A52,JOURNAL!$C$5:$I$1115,5,0))</f>
        <v/>
      </c>
      <c r="C52" s="202" t="str">
        <f ca="1">IF($A52="","",VLOOKUP($A52,JOURNAL!$C$5:$I$1115,2,0))</f>
        <v/>
      </c>
      <c r="D52" s="201" t="str">
        <f ca="1">IF($A52="","",VLOOKUP($A52,JOURNAL!$C$5:$I$1115,4,0))</f>
        <v/>
      </c>
      <c r="E52" s="187" t="str">
        <f ca="1">IF($A52="","",VLOOKUP($A52,JOURNAL!$C$5:$I$1115,3,0))</f>
        <v/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 t="str">
        <f t="shared" ca="1" si="1"/>
        <v/>
      </c>
      <c r="B53" s="201" t="str">
        <f ca="1">IF($A53="","",VLOOKUP($A53,JOURNAL!$C$5:$I$1115,5,0))</f>
        <v/>
      </c>
      <c r="C53" s="202" t="str">
        <f ca="1">IF($A53="","",VLOOKUP($A53,JOURNAL!$C$5:$I$1115,2,0))</f>
        <v/>
      </c>
      <c r="D53" s="201" t="str">
        <f ca="1">IF($A53="","",VLOOKUP($A53,JOURNAL!$C$5:$I$1115,4,0))</f>
        <v/>
      </c>
      <c r="E53" s="187" t="str">
        <f ca="1">IF($A53="","",VLOOKUP($A53,JOURNAL!$C$5:$I$1115,3,0))</f>
        <v/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 t="str">
        <f t="shared" ca="1" si="1"/>
        <v/>
      </c>
      <c r="B54" s="201" t="str">
        <f ca="1">IF($A54="","",VLOOKUP($A54,JOURNAL!$C$5:$I$1115,5,0))</f>
        <v/>
      </c>
      <c r="C54" s="202" t="str">
        <f ca="1">IF($A54="","",VLOOKUP($A54,JOURNAL!$C$5:$I$1115,2,0))</f>
        <v/>
      </c>
      <c r="D54" s="201" t="str">
        <f ca="1">IF($A54="","",VLOOKUP($A54,JOURNAL!$C$5:$I$1115,4,0))</f>
        <v/>
      </c>
      <c r="E54" s="187" t="str">
        <f ca="1">IF($A54="","",VLOOKUP($A54,JOURNAL!$C$5:$I$1115,3,0))</f>
        <v/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 t="str">
        <f t="shared" ca="1" si="1"/>
        <v/>
      </c>
      <c r="B55" s="201" t="str">
        <f ca="1">IF($A55="","",VLOOKUP($A55,JOURNAL!$C$5:$I$1115,5,0))</f>
        <v/>
      </c>
      <c r="C55" s="202" t="str">
        <f ca="1">IF($A55="","",VLOOKUP($A55,JOURNAL!$C$5:$I$1115,2,0))</f>
        <v/>
      </c>
      <c r="D55" s="201" t="str">
        <f ca="1">IF($A55="","",VLOOKUP($A55,JOURNAL!$C$5:$I$1115,4,0))</f>
        <v/>
      </c>
      <c r="E55" s="187" t="str">
        <f ca="1">IF($A55="","",VLOOKUP($A55,JOURNAL!$C$5:$I$1115,3,0))</f>
        <v/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200" t="str">
        <f t="shared" ca="1" si="1"/>
        <v/>
      </c>
      <c r="B56" s="201" t="str">
        <f ca="1">IF($A56="","",VLOOKUP($A56,JOURNAL!$C$5:$I$1115,5,0))</f>
        <v/>
      </c>
      <c r="C56" s="202" t="str">
        <f ca="1">IF($A56="","",VLOOKUP($A56,JOURNAL!$C$5:$I$1115,2,0))</f>
        <v/>
      </c>
      <c r="D56" s="201" t="str">
        <f ca="1">IF($A56="","",VLOOKUP($A56,JOURNAL!$C$5:$I$1115,4,0))</f>
        <v/>
      </c>
      <c r="E56" s="187" t="str">
        <f ca="1">IF($A56="","",VLOOKUP($A56,JOURNAL!$C$5:$I$1115,3,0))</f>
        <v/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200" t="str">
        <f t="shared" ca="1" si="1"/>
        <v/>
      </c>
      <c r="B57" s="201" t="str">
        <f ca="1">IF($A57="","",VLOOKUP($A57,JOURNAL!$C$5:$I$1115,5,0))</f>
        <v/>
      </c>
      <c r="C57" s="202" t="str">
        <f ca="1">IF($A57="","",VLOOKUP($A57,JOURNAL!$C$5:$I$1115,2,0))</f>
        <v/>
      </c>
      <c r="D57" s="201" t="str">
        <f ca="1">IF($A57="","",VLOOKUP($A57,JOURNAL!$C$5:$I$1115,4,0))</f>
        <v/>
      </c>
      <c r="E57" s="187" t="str">
        <f ca="1">IF($A57="","",VLOOKUP($A57,JOURNAL!$C$5:$I$1115,3,0))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178" t="s">
        <v>16</v>
      </c>
      <c r="B58" s="179"/>
      <c r="C58" s="180"/>
      <c r="D58" s="181"/>
      <c r="E58" s="182">
        <f ca="1">SUM(E51:E57)</f>
        <v>0</v>
      </c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6.5" customHeight="1" x14ac:dyDescent="0.2">
      <c r="A59" s="51"/>
      <c r="B59" s="4"/>
      <c r="C59" s="149"/>
      <c r="D59" s="4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51"/>
      <c r="B60" s="4"/>
      <c r="C60" s="149"/>
      <c r="D60" s="4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51"/>
      <c r="B61" s="4"/>
      <c r="C61" s="149"/>
      <c r="D61" s="4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51"/>
      <c r="B62" s="4"/>
      <c r="C62" s="149"/>
      <c r="D62" s="4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51"/>
      <c r="B63" s="4"/>
      <c r="C63" s="149"/>
      <c r="D63" s="4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51"/>
      <c r="B64" s="4"/>
      <c r="C64" s="149"/>
      <c r="D64" s="4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51"/>
      <c r="B65" s="4"/>
      <c r="C65" s="149"/>
      <c r="D65" s="4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51"/>
      <c r="B66" s="4"/>
      <c r="C66" s="149"/>
      <c r="D66" s="4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51"/>
      <c r="B67" s="4"/>
      <c r="C67" s="149"/>
      <c r="D67" s="4"/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51"/>
      <c r="B68" s="4"/>
      <c r="C68" s="149"/>
      <c r="D68" s="4"/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51"/>
      <c r="B69" s="4"/>
      <c r="C69" s="149"/>
      <c r="D69" s="4"/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51"/>
      <c r="B70" s="4"/>
      <c r="C70" s="149"/>
      <c r="D70" s="4"/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51"/>
      <c r="B71" s="4"/>
      <c r="C71" s="149"/>
      <c r="D71" s="4"/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51"/>
      <c r="B72" s="4"/>
      <c r="C72" s="149"/>
      <c r="D72" s="4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51"/>
      <c r="B73" s="4"/>
      <c r="C73" s="149"/>
      <c r="D73" s="4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51"/>
      <c r="B74" s="4"/>
      <c r="C74" s="149"/>
      <c r="D74" s="4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51"/>
      <c r="B75" s="4"/>
      <c r="C75" s="149"/>
      <c r="D75" s="4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51"/>
      <c r="B76" s="4"/>
      <c r="C76" s="149"/>
      <c r="D76" s="4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51"/>
      <c r="B77" s="4"/>
      <c r="C77" s="149"/>
      <c r="D77" s="4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51"/>
      <c r="B78" s="4"/>
      <c r="C78" s="149"/>
      <c r="D78" s="4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51"/>
      <c r="B79" s="4"/>
      <c r="C79" s="149"/>
      <c r="D79" s="4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51"/>
      <c r="B80" s="4"/>
      <c r="C80" s="149"/>
      <c r="D80" s="4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51"/>
      <c r="B81" s="4"/>
      <c r="C81" s="149"/>
      <c r="D81" s="4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51"/>
      <c r="B82" s="4"/>
      <c r="C82" s="149"/>
      <c r="D82" s="4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51"/>
      <c r="B83" s="4"/>
      <c r="C83" s="149"/>
      <c r="D83" s="4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51"/>
      <c r="B84" s="4"/>
      <c r="C84" s="149"/>
      <c r="D84" s="4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51"/>
      <c r="B85" s="4"/>
      <c r="C85" s="149"/>
      <c r="D85" s="4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51"/>
      <c r="B86" s="4"/>
      <c r="C86" s="149"/>
      <c r="D86" s="4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51"/>
      <c r="B87" s="4"/>
      <c r="C87" s="149"/>
      <c r="D87" s="4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">
      <c r="A257" s="51"/>
      <c r="B257" s="4"/>
      <c r="C257" s="149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">
      <c r="A258" s="51"/>
      <c r="B258" s="4"/>
      <c r="C258" s="149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/>
    <row r="260" spans="1:26" ht="15.75" customHeight="1" x14ac:dyDescent="0.2"/>
    <row r="261" spans="1:26" ht="15.75" customHeight="1" x14ac:dyDescent="0.2"/>
    <row r="262" spans="1:26" ht="15.75" customHeight="1" x14ac:dyDescent="0.2"/>
    <row r="263" spans="1:26" ht="15.75" customHeight="1" x14ac:dyDescent="0.2"/>
    <row r="264" spans="1:26" ht="15.75" customHeight="1" x14ac:dyDescent="0.2"/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6:E26"/>
  </mergeCells>
  <dataValidations count="1">
    <dataValidation type="list" allowBlank="1" showErrorMessage="1" sqref="A6:A13 A17:A23" xr:uid="{00000000-0002-0000-10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1.5" customWidth="1"/>
    <col min="2" max="2" width="49.33203125" customWidth="1"/>
    <col min="3" max="3" width="8.1640625" customWidth="1"/>
    <col min="4" max="5" width="14" customWidth="1"/>
    <col min="6" max="7" width="9.1640625" customWidth="1"/>
    <col min="8" max="25" width="9" customWidth="1"/>
  </cols>
  <sheetData>
    <row r="1" spans="1:26" ht="22" x14ac:dyDescent="0.25">
      <c r="A1" s="360" t="s">
        <v>376</v>
      </c>
      <c r="B1" s="361"/>
      <c r="C1" s="361"/>
      <c r="D1" s="361"/>
      <c r="E1" s="36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51"/>
      <c r="B2" s="4"/>
      <c r="C2" s="149"/>
      <c r="D2" s="4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374" t="s">
        <v>203</v>
      </c>
      <c r="B3" s="375"/>
      <c r="C3" s="375"/>
      <c r="D3" s="375"/>
      <c r="E3" s="37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50" t="s">
        <v>205</v>
      </c>
      <c r="B4" s="151"/>
      <c r="C4" s="152"/>
      <c r="D4" s="151"/>
      <c r="E4" s="15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56" t="s">
        <v>218</v>
      </c>
      <c r="B5" s="208" t="s">
        <v>7</v>
      </c>
      <c r="C5" s="198" t="s">
        <v>4</v>
      </c>
      <c r="D5" s="199" t="s">
        <v>6</v>
      </c>
      <c r="E5" s="160" t="s">
        <v>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61"/>
      <c r="B6" s="188"/>
      <c r="C6" s="202"/>
      <c r="D6" s="190"/>
      <c r="E6" s="18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61"/>
      <c r="B7" s="188"/>
      <c r="C7" s="202"/>
      <c r="D7" s="190"/>
      <c r="E7" s="18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61"/>
      <c r="B8" s="188"/>
      <c r="C8" s="202"/>
      <c r="D8" s="190"/>
      <c r="E8" s="2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61"/>
      <c r="B9" s="188"/>
      <c r="C9" s="202"/>
      <c r="D9" s="190"/>
      <c r="E9" s="18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61"/>
      <c r="B10" s="188"/>
      <c r="C10" s="202"/>
      <c r="D10" s="190"/>
      <c r="E10" s="18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61"/>
      <c r="B11" s="188"/>
      <c r="C11" s="202"/>
      <c r="D11" s="190"/>
      <c r="E11" s="21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61"/>
      <c r="B12" s="188"/>
      <c r="C12" s="202"/>
      <c r="D12" s="190"/>
      <c r="E12" s="2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78" t="s">
        <v>16</v>
      </c>
      <c r="B13" s="179"/>
      <c r="C13" s="180"/>
      <c r="D13" s="181"/>
      <c r="E13" s="182">
        <f>SUM(E6:E12)</f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83" t="s">
        <v>206</v>
      </c>
      <c r="B14" s="184"/>
      <c r="C14" s="185"/>
      <c r="D14" s="184"/>
      <c r="E14" s="18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56" t="s">
        <v>218</v>
      </c>
      <c r="B15" s="208" t="s">
        <v>7</v>
      </c>
      <c r="C15" s="198" t="s">
        <v>4</v>
      </c>
      <c r="D15" s="199" t="s">
        <v>6</v>
      </c>
      <c r="E15" s="160" t="s">
        <v>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61"/>
      <c r="B16" s="188"/>
      <c r="C16" s="202"/>
      <c r="D16" s="190"/>
      <c r="E16" s="18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61"/>
      <c r="B17" s="188"/>
      <c r="C17" s="202"/>
      <c r="D17" s="190"/>
      <c r="E17" s="18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61"/>
      <c r="B18" s="188"/>
      <c r="C18" s="202"/>
      <c r="D18" s="190"/>
      <c r="E18" s="18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61"/>
      <c r="B19" s="188"/>
      <c r="C19" s="202"/>
      <c r="D19" s="190"/>
      <c r="E19" s="18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61"/>
      <c r="B20" s="188"/>
      <c r="C20" s="202"/>
      <c r="D20" s="190"/>
      <c r="E20" s="18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61"/>
      <c r="B21" s="188"/>
      <c r="C21" s="202"/>
      <c r="D21" s="190"/>
      <c r="E21" s="18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61"/>
      <c r="B22" s="188"/>
      <c r="C22" s="202"/>
      <c r="D22" s="190"/>
      <c r="E22" s="18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78" t="s">
        <v>16</v>
      </c>
      <c r="B23" s="179"/>
      <c r="C23" s="180"/>
      <c r="D23" s="181"/>
      <c r="E23" s="182">
        <f>SUM(E16:E22)</f>
        <v>0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4"/>
    </row>
    <row r="24" spans="1:26" ht="16.5" customHeight="1" x14ac:dyDescent="0.2">
      <c r="A24" s="51"/>
      <c r="B24" s="4"/>
      <c r="C24" s="149"/>
      <c r="D24" s="4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377" t="s">
        <v>204</v>
      </c>
      <c r="B25" s="375"/>
      <c r="C25" s="375"/>
      <c r="D25" s="375"/>
      <c r="E25" s="37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193" t="s">
        <v>205</v>
      </c>
      <c r="B26" s="194"/>
      <c r="C26" s="195"/>
      <c r="D26" s="194"/>
      <c r="E26" s="19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156" t="s">
        <v>3</v>
      </c>
      <c r="B27" s="197" t="s">
        <v>7</v>
      </c>
      <c r="C27" s="198" t="s">
        <v>4</v>
      </c>
      <c r="D27" s="199" t="s">
        <v>6</v>
      </c>
      <c r="E27" s="160" t="s">
        <v>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200">
        <f>IF(ISNA(VLOOKUP($A$1&amp;" / "&amp;$A$26,JOURNAL!$B$5:$I$1115,2,0)),"",VLOOKUP($A$1&amp;" / "&amp;$A$26,JOURNAL!$B$5:$I$1115,2,0))</f>
        <v>61</v>
      </c>
      <c r="B28" s="201" t="str">
        <f>IF($A28="","",VLOOKUP($A28,JOURNAL!$C$5:$I$1115,5,0))</f>
        <v>Achat frigo</v>
      </c>
      <c r="C28" s="202">
        <f>IF($A28="","",VLOOKUP($A28,JOURNAL!$C$5:$I$1115,2,0))</f>
        <v>45965</v>
      </c>
      <c r="D28" s="201" t="str">
        <f>IF($A28="","",VLOOKUP($A28,JOURNAL!$C$5:$I$1115,4,0))</f>
        <v>Digitec Galaxus</v>
      </c>
      <c r="E28" s="187">
        <f>IF($A28="","",VLOOKUP($A28,JOURNAL!$C$5:$I$1115,3,0))</f>
        <v>562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200">
        <f ca="1">IF(A28="","",IF(ISNA(VLOOKUP($A$1&amp;" / "&amp;$A$26,INDIRECT(ADDRESS(A28+5,2,1,,"JOURNAL")&amp;":G500"),2,0)),"",VLOOKUP($A$1&amp;" / "&amp;$A$26,INDIRECT(ADDRESS(A28+5,2,1,,"JOURNAL")&amp;":G500"),2,0)))</f>
        <v>66</v>
      </c>
      <c r="B29" s="201" t="str">
        <f ca="1">IF($A29="","",VLOOKUP($A29,JOURNAL!$C$5:$I$1115,5,0))</f>
        <v>Location remplacement cuisine</v>
      </c>
      <c r="C29" s="202">
        <f ca="1">IF($A29="","",VLOOKUP($A29,JOURNAL!$C$5:$I$1115,2,0))</f>
        <v>45974</v>
      </c>
      <c r="D29" s="201" t="str">
        <f ca="1">IF($A29="","",VLOOKUP($A29,JOURNAL!$C$5:$I$1115,4,0))</f>
        <v>Mobility</v>
      </c>
      <c r="E29" s="187">
        <f ca="1">IF($A29="","",VLOOKUP($A29,JOURNAL!$C$5:$I$1115,3,0))</f>
        <v>74.099999999999994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200">
        <f ca="1">IF(A29="","",IF(ISNA(VLOOKUP($A$1&amp;" / "&amp;$A$26,INDIRECT(ADDRESS(A29+5,2,1,,"JOURNAL")&amp;":G500"),2,0)),"",VLOOKUP($A$1&amp;" / "&amp;$A$26,INDIRECT(ADDRESS(A29+5,2,1,,"JOURNAL")&amp;":G500"),2,0)))</f>
        <v>69</v>
      </c>
      <c r="B30" s="201" t="str">
        <f ca="1">IF($A30="","",VLOOKUP($A30,JOURNAL!$C$5:$I$1115,5,0))</f>
        <v>Mobilier divers</v>
      </c>
      <c r="C30" s="202">
        <f ca="1">IF($A30="","",VLOOKUP($A30,JOURNAL!$C$5:$I$1115,2,0))</f>
        <v>45978</v>
      </c>
      <c r="D30" s="201" t="str">
        <f ca="1">IF($A30="","",VLOOKUP($A30,JOURNAL!$C$5:$I$1115,4,0))</f>
        <v>IKEA (CembraPay)</v>
      </c>
      <c r="E30" s="187">
        <f ca="1">IF($A30="","",VLOOKUP($A30,JOURNAL!$C$5:$I$1115,3,0))</f>
        <v>305.8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200">
        <f ca="1">IF(A30="","",IF(ISNA(VLOOKUP($A$1&amp;" / "&amp;$A$26,INDIRECT(ADDRESS(A30+5,2,1,,"JOURNAL")&amp;":G500"),2,0)),"",VLOOKUP($A$1&amp;" / "&amp;$A$26,INDIRECT(ADDRESS(A30+5,2,1,,"JOURNAL")&amp;":G500"),2,0)))</f>
        <v>84</v>
      </c>
      <c r="B31" s="201" t="str">
        <f ca="1">IF($A31="","",VLOOKUP($A31,JOURNAL!$C$5:$I$1115,5,0))</f>
        <v>Transfert caisse</v>
      </c>
      <c r="C31" s="202">
        <f ca="1">IF($A31="","",VLOOKUP($A31,JOURNAL!$C$5:$I$1115,2,0))</f>
        <v>45986</v>
      </c>
      <c r="D31" s="201" t="str">
        <f ca="1">IF($A31="","",VLOOKUP($A31,JOURNAL!$C$5:$I$1115,4,0))</f>
        <v>PRELEVEMENT YVERDON</v>
      </c>
      <c r="E31" s="187">
        <f ca="1">IF($A31="","",VLOOKUP($A31,JOURNAL!$C$5:$I$1115,3,0))</f>
        <v>400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200">
        <f ca="1">IF(A31="","",IF(ISNA(VLOOKUP($A$1&amp;" / "&amp;$A$26,INDIRECT(ADDRESS(A31+5,2,1,,"JOURNAL")&amp;":G500"),2,0)),"",VLOOKUP($A$1&amp;" / "&amp;$A$26,INDIRECT(ADDRESS(A31+5,2,1,,"JOURNAL")&amp;":G500"),2,0)))</f>
        <v>91</v>
      </c>
      <c r="B32" s="201" t="str">
        <f ca="1">IF($A32="","",VLOOKUP($A32,JOURNAL!$C$5:$I$1115,5,0))</f>
        <v>Versement CC &gt; Caisse</v>
      </c>
      <c r="C32" s="202">
        <f ca="1">IF($A32="","",VLOOKUP($A32,JOURNAL!$C$5:$I$1115,2,0))</f>
        <v>45988</v>
      </c>
      <c r="D32" s="201" t="str">
        <f ca="1">IF($A32="","",VLOOKUP($A32,JOURNAL!$C$5:$I$1115,4,0))</f>
        <v>PRELEVEMENT YVERDON</v>
      </c>
      <c r="E32" s="187">
        <f ca="1">IF($A32="","",VLOOKUP($A32,JOURNAL!$C$5:$I$1115,3,0))</f>
        <v>700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200" t="str">
        <f ca="1">IF(A32="","",IF(ISNA(VLOOKUP($A$1&amp;" / "&amp;$A$26,INDIRECT(ADDRESS(A32+5,2,1,,"JOURNAL")&amp;":G500"),2,0)),"",VLOOKUP($A$1&amp;" / "&amp;$A$26,INDIRECT(ADDRESS(A32+5,2,1,,"JOURNAL")&amp;":G500"),2,0)))</f>
        <v/>
      </c>
      <c r="B33" s="201" t="str">
        <f ca="1">IF($A33="","",VLOOKUP($A33,JOURNAL!$C$5:$I$1115,5,0))</f>
        <v/>
      </c>
      <c r="C33" s="202" t="str">
        <f ca="1">IF($A33="","",VLOOKUP($A33,JOURNAL!$C$5:$I$1115,2,0))</f>
        <v/>
      </c>
      <c r="D33" s="201" t="str">
        <f ca="1">IF($A33="","",VLOOKUP($A33,JOURNAL!$C$5:$I$1115,4,0))</f>
        <v/>
      </c>
      <c r="E33" s="187" t="str">
        <f ca="1">IF($A33="","",VLOOKUP($A33,JOURNAL!$C$5:$I$1115,3,0))</f>
        <v/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200" t="str">
        <f t="shared" ref="A34:A47" ca="1" si="0">IF(A33="","",IF(ISNA(VLOOKUP($A$1&amp;" / "&amp;$A$26,INDIRECT(ADDRESS(A33+5,2,1,,"JOURNAL")&amp;":G700"),2,0)),"",VLOOKUP($A$1&amp;" / "&amp;$A$26,INDIRECT(ADDRESS(A33+5,2,1,,"JOURNAL")&amp;":G700"),2,0)))</f>
        <v/>
      </c>
      <c r="B34" s="201" t="str">
        <f ca="1">IF($A34="","",VLOOKUP($A34,JOURNAL!$C$5:$I$1115,5,0))</f>
        <v/>
      </c>
      <c r="C34" s="202" t="str">
        <f ca="1">IF($A34="","",VLOOKUP($A34,JOURNAL!$C$5:$I$1115,2,0))</f>
        <v/>
      </c>
      <c r="D34" s="201" t="str">
        <f ca="1">IF($A34="","",VLOOKUP($A34,JOURNAL!$C$5:$I$1115,4,0))</f>
        <v/>
      </c>
      <c r="E34" s="187" t="str">
        <f ca="1">IF($A34="","",VLOOKUP($A34,JOURNAL!$C$5:$I$1115,3,0))</f>
        <v/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200" t="str">
        <f t="shared" ca="1" si="0"/>
        <v/>
      </c>
      <c r="B35" s="201" t="str">
        <f ca="1">IF($A35="","",VLOOKUP($A35,JOURNAL!$C$5:$I$1115,5,0))</f>
        <v/>
      </c>
      <c r="C35" s="202" t="str">
        <f ca="1">IF($A35="","",VLOOKUP($A35,JOURNAL!$C$5:$I$1115,2,0))</f>
        <v/>
      </c>
      <c r="D35" s="201" t="str">
        <f ca="1">IF($A35="","",VLOOKUP($A35,JOURNAL!$C$5:$I$1115,4,0))</f>
        <v/>
      </c>
      <c r="E35" s="187" t="str">
        <f ca="1">IF($A35="","",VLOOKUP($A35,JOURNAL!$C$5:$I$1115,3,0))</f>
        <v/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200" t="str">
        <f t="shared" ca="1" si="0"/>
        <v/>
      </c>
      <c r="B36" s="201" t="str">
        <f ca="1">IF($A36="","",VLOOKUP($A36,JOURNAL!$C$5:$I$1115,5,0))</f>
        <v/>
      </c>
      <c r="C36" s="202" t="str">
        <f ca="1">IF($A36="","",VLOOKUP($A36,JOURNAL!$C$5:$I$1115,2,0))</f>
        <v/>
      </c>
      <c r="D36" s="201" t="str">
        <f ca="1">IF($A36="","",VLOOKUP($A36,JOURNAL!$C$5:$I$1115,4,0))</f>
        <v/>
      </c>
      <c r="E36" s="187" t="str">
        <f ca="1">IF($A36="","",VLOOKUP($A36,JOURNAL!$C$5:$I$1115,3,0))</f>
        <v/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200" t="str">
        <f t="shared" ca="1" si="0"/>
        <v/>
      </c>
      <c r="B37" s="201" t="str">
        <f ca="1">IF($A37="","",VLOOKUP($A37,JOURNAL!$C$5:$I$1115,5,0))</f>
        <v/>
      </c>
      <c r="C37" s="202" t="str">
        <f ca="1">IF($A37="","",VLOOKUP($A37,JOURNAL!$C$5:$I$1115,2,0))</f>
        <v/>
      </c>
      <c r="D37" s="201" t="str">
        <f ca="1">IF($A37="","",VLOOKUP($A37,JOURNAL!$C$5:$I$1115,4,0))</f>
        <v/>
      </c>
      <c r="E37" s="187" t="str">
        <f ca="1">IF($A37="","",VLOOKUP($A37,JOURNAL!$C$5:$I$1115,3,0))</f>
        <v/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200" t="str">
        <f t="shared" ca="1" si="0"/>
        <v/>
      </c>
      <c r="B38" s="201" t="str">
        <f ca="1">IF($A38="","",VLOOKUP($A38,JOURNAL!$C$5:$I$1115,5,0))</f>
        <v/>
      </c>
      <c r="C38" s="202" t="str">
        <f ca="1">IF($A38="","",VLOOKUP($A38,JOURNAL!$C$5:$I$1115,2,0))</f>
        <v/>
      </c>
      <c r="D38" s="201" t="str">
        <f ca="1">IF($A38="","",VLOOKUP($A38,JOURNAL!$C$5:$I$1115,4,0))</f>
        <v/>
      </c>
      <c r="E38" s="187" t="str">
        <f ca="1">IF($A38="","",VLOOKUP($A38,JOURNAL!$C$5:$I$1115,3,0))</f>
        <v/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200" t="str">
        <f t="shared" ca="1" si="0"/>
        <v/>
      </c>
      <c r="B39" s="201" t="str">
        <f ca="1">IF($A39="","",VLOOKUP($A39,JOURNAL!$C$5:$I$1115,5,0))</f>
        <v/>
      </c>
      <c r="C39" s="202" t="str">
        <f ca="1">IF($A39="","",VLOOKUP($A39,JOURNAL!$C$5:$I$1115,2,0))</f>
        <v/>
      </c>
      <c r="D39" s="201" t="str">
        <f ca="1">IF($A39="","",VLOOKUP($A39,JOURNAL!$C$5:$I$1115,4,0))</f>
        <v/>
      </c>
      <c r="E39" s="187" t="str">
        <f ca="1">IF($A39="","",VLOOKUP($A39,JOURNAL!$C$5:$I$1115,3,0))</f>
        <v/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200" t="str">
        <f t="shared" ca="1" si="0"/>
        <v/>
      </c>
      <c r="B40" s="201" t="str">
        <f ca="1">IF($A40="","",VLOOKUP($A40,JOURNAL!$C$5:$I$1115,5,0))</f>
        <v/>
      </c>
      <c r="C40" s="202" t="str">
        <f ca="1">IF($A40="","",VLOOKUP($A40,JOURNAL!$C$5:$I$1115,2,0))</f>
        <v/>
      </c>
      <c r="D40" s="201" t="str">
        <f ca="1">IF($A40="","",VLOOKUP($A40,JOURNAL!$C$5:$I$1115,4,0))</f>
        <v/>
      </c>
      <c r="E40" s="187" t="str">
        <f ca="1">IF($A40="","",VLOOKUP($A40,JOURNAL!$C$5:$I$1115,3,0))</f>
        <v/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200" t="str">
        <f t="shared" ca="1" si="0"/>
        <v/>
      </c>
      <c r="B41" s="201" t="str">
        <f ca="1">IF($A41="","",VLOOKUP($A41,JOURNAL!$C$5:$I$1115,5,0))</f>
        <v/>
      </c>
      <c r="C41" s="202" t="str">
        <f ca="1">IF($A41="","",VLOOKUP($A41,JOURNAL!$C$5:$I$1115,2,0))</f>
        <v/>
      </c>
      <c r="D41" s="201" t="str">
        <f ca="1">IF($A41="","",VLOOKUP($A41,JOURNAL!$C$5:$I$1115,4,0))</f>
        <v/>
      </c>
      <c r="E41" s="187" t="str">
        <f ca="1">IF($A41="","",VLOOKUP($A41,JOURNAL!$C$5:$I$1115,3,0))</f>
        <v/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200" t="str">
        <f t="shared" ca="1" si="0"/>
        <v/>
      </c>
      <c r="B42" s="201" t="str">
        <f ca="1">IF($A42="","",VLOOKUP($A42,JOURNAL!$C$5:$I$1115,5,0))</f>
        <v/>
      </c>
      <c r="C42" s="202" t="str">
        <f ca="1">IF($A42="","",VLOOKUP($A42,JOURNAL!$C$5:$I$1115,2,0))</f>
        <v/>
      </c>
      <c r="D42" s="201" t="str">
        <f ca="1">IF($A42="","",VLOOKUP($A42,JOURNAL!$C$5:$I$1115,4,0))</f>
        <v/>
      </c>
      <c r="E42" s="187" t="str">
        <f ca="1">IF($A42="","",VLOOKUP($A42,JOURNAL!$C$5:$I$1115,3,0))</f>
        <v/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200" t="str">
        <f t="shared" ca="1" si="0"/>
        <v/>
      </c>
      <c r="B43" s="201" t="str">
        <f ca="1">IF($A43="","",VLOOKUP($A43,JOURNAL!$C$5:$I$1115,5,0))</f>
        <v/>
      </c>
      <c r="C43" s="202" t="str">
        <f ca="1">IF($A43="","",VLOOKUP($A43,JOURNAL!$C$5:$I$1115,2,0))</f>
        <v/>
      </c>
      <c r="D43" s="201" t="str">
        <f ca="1">IF($A43="","",VLOOKUP($A43,JOURNAL!$C$5:$I$1115,4,0))</f>
        <v/>
      </c>
      <c r="E43" s="187" t="str">
        <f ca="1">IF($A43="","",VLOOKUP($A43,JOURNAL!$C$5:$I$1115,3,0))</f>
        <v/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200" t="str">
        <f t="shared" ca="1" si="0"/>
        <v/>
      </c>
      <c r="B44" s="201" t="str">
        <f ca="1">IF($A44="","",VLOOKUP($A44,JOURNAL!$C$5:$I$1115,5,0))</f>
        <v/>
      </c>
      <c r="C44" s="202" t="str">
        <f ca="1">IF($A44="","",VLOOKUP($A44,JOURNAL!$C$5:$I$1115,2,0))</f>
        <v/>
      </c>
      <c r="D44" s="201" t="str">
        <f ca="1">IF($A44="","",VLOOKUP($A44,JOURNAL!$C$5:$I$1115,4,0))</f>
        <v/>
      </c>
      <c r="E44" s="187" t="str">
        <f ca="1">IF($A44="","",VLOOKUP($A44,JOURNAL!$C$5:$I$1115,3,0))</f>
        <v/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200" t="str">
        <f t="shared" ca="1" si="0"/>
        <v/>
      </c>
      <c r="B45" s="201" t="str">
        <f ca="1">IF($A45="","",VLOOKUP($A45,JOURNAL!$C$5:$I$1115,5,0))</f>
        <v/>
      </c>
      <c r="C45" s="202" t="str">
        <f ca="1">IF($A45="","",VLOOKUP($A45,JOURNAL!$C$5:$I$1115,2,0))</f>
        <v/>
      </c>
      <c r="D45" s="201" t="str">
        <f ca="1">IF($A45="","",VLOOKUP($A45,JOURNAL!$C$5:$I$1115,4,0))</f>
        <v/>
      </c>
      <c r="E45" s="187" t="str">
        <f ca="1">IF($A45="","",VLOOKUP($A45,JOURNAL!$C$5:$I$1115,3,0))</f>
        <v/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200" t="str">
        <f t="shared" ca="1" si="0"/>
        <v/>
      </c>
      <c r="B46" s="201" t="str">
        <f ca="1">IF($A46="","",VLOOKUP($A46,JOURNAL!$C$5:$I$1115,5,0))</f>
        <v/>
      </c>
      <c r="C46" s="202" t="str">
        <f ca="1">IF($A46="","",VLOOKUP($A46,JOURNAL!$C$5:$I$1115,2,0))</f>
        <v/>
      </c>
      <c r="D46" s="201" t="str">
        <f ca="1">IF($A46="","",VLOOKUP($A46,JOURNAL!$C$5:$I$1115,4,0))</f>
        <v/>
      </c>
      <c r="E46" s="187" t="str">
        <f ca="1">IF($A46="","",VLOOKUP($A46,JOURNAL!$C$5:$I$1115,3,0))</f>
        <v/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200" t="str">
        <f t="shared" ca="1" si="0"/>
        <v/>
      </c>
      <c r="B47" s="201" t="str">
        <f ca="1">IF($A47="","",VLOOKUP($A47,JOURNAL!$C$5:$I$1115,5,0))</f>
        <v/>
      </c>
      <c r="C47" s="202" t="str">
        <f ca="1">IF($A47="","",VLOOKUP($A47,JOURNAL!$C$5:$I$1115,2,0))</f>
        <v/>
      </c>
      <c r="D47" s="201" t="str">
        <f ca="1">IF($A47="","",VLOOKUP($A47,JOURNAL!$C$5:$I$1115,4,0))</f>
        <v/>
      </c>
      <c r="E47" s="187" t="str">
        <f ca="1">IF($A47="","",VLOOKUP($A47,JOURNAL!$C$5:$I$1115,3,0))</f>
        <v/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200" t="str">
        <f t="array" aca="1" ref="A48" ca="1">IF(A47="","",IF(ISNA(VLOOKUP($A$1&amp;" / "&amp;$A$26,INDIRECT(ADDRESS(A47+5,2,1,,"JOURNAL")&amp;":G500"),2,0)),"",VLOOKUP($A$1&amp;" / "&amp;$A$26,INDIRECT(ADDRESS(A47+5,2,1,,"JOURNAL")&amp;":G500"),2,0)))</f>
        <v/>
      </c>
      <c r="B48" s="201" t="str">
        <f ca="1">IF($A48="","",VLOOKUP($A48,JOURNAL!$C$5:$I$1115,5,0))</f>
        <v/>
      </c>
      <c r="C48" s="202" t="str">
        <f ca="1">IF($A48="","",VLOOKUP($A48,JOURNAL!$C$5:$I$1115,2,0))</f>
        <v/>
      </c>
      <c r="D48" s="201" t="str">
        <f ca="1">IF($A48="","",VLOOKUP($A48,JOURNAL!$C$5:$I$1115,4,0))</f>
        <v/>
      </c>
      <c r="E48" s="187" t="str">
        <f ca="1">IF($A48="","",VLOOKUP($A48,JOURNAL!$C$5:$I$1115,3,0))</f>
        <v/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178" t="s">
        <v>16</v>
      </c>
      <c r="B49" s="179"/>
      <c r="C49" s="180"/>
      <c r="D49" s="181"/>
      <c r="E49" s="182">
        <f ca="1">SUM(E28:E48)</f>
        <v>2041.9</v>
      </c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4"/>
    </row>
    <row r="50" spans="1:26" ht="16.5" customHeight="1" x14ac:dyDescent="0.2">
      <c r="A50" s="204" t="s">
        <v>206</v>
      </c>
      <c r="B50" s="205"/>
      <c r="C50" s="206"/>
      <c r="D50" s="205"/>
      <c r="E50" s="20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156" t="s">
        <v>3</v>
      </c>
      <c r="B51" s="197" t="s">
        <v>7</v>
      </c>
      <c r="C51" s="198" t="s">
        <v>4</v>
      </c>
      <c r="D51" s="199" t="s">
        <v>6</v>
      </c>
      <c r="E51" s="160" t="s">
        <v>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200">
        <f>IF(ISNA(VLOOKUP($A$1&amp;" / "&amp;$A$50,JOURNAL!$B$5:$I$1115,2,0)),"",VLOOKUP($A$1&amp;" / "&amp;$A$50,JOURNAL!$B$5:$I$1115,2,0))</f>
        <v>23</v>
      </c>
      <c r="B52" s="201" t="str">
        <f>IF($A52="","",VLOOKUP($A52,JOURNAL!$C$5:$I$1115,5,0))</f>
        <v>UNILIVE : DEMANDER MAX</v>
      </c>
      <c r="C52" s="202">
        <f>IF($A52="","",VLOOKUP($A52,JOURNAL!$C$5:$I$1115,2,0))</f>
        <v>45914</v>
      </c>
      <c r="D52" s="201" t="str">
        <f>IF($A52="","",VLOOKUP($A52,JOURNAL!$C$5:$I$1115,4,0))</f>
        <v>BLV</v>
      </c>
      <c r="E52" s="187">
        <f>IF($A52="","",VLOOKUP($A52,JOURNAL!$C$5:$I$1115,3,0))</f>
        <v>334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200">
        <f ca="1">IF(A52="","",IF(ISNA(VLOOKUP($A$1&amp;" / "&amp;$A$50,INDIRECT(ADDRESS(A52+5,2,1,,"JOURNAL")&amp;":G500"),2,0)),"",VLOOKUP($A$1&amp;" / "&amp;$A$50,INDIRECT(ADDRESS(A52+5,2,1,,"JOURNAL")&amp;":G500"),2,0)))</f>
        <v>81</v>
      </c>
      <c r="B53" s="201" t="str">
        <f ca="1">IF($A53="","",VLOOKUP($A53,JOURNAL!$C$5:$I$1115,5,0))</f>
        <v>HEIG-VD remboursement cuisine</v>
      </c>
      <c r="C53" s="202">
        <f ca="1">IF($A53="","",VLOOKUP($A53,JOURNAL!$C$5:$I$1115,2,0))</f>
        <v>45986</v>
      </c>
      <c r="D53" s="201" t="str">
        <f ca="1">IF($A53="","",VLOOKUP($A53,JOURNAL!$C$5:$I$1115,4,0))</f>
        <v>BLV</v>
      </c>
      <c r="E53" s="187">
        <f ca="1">IF($A53="","",VLOOKUP($A53,JOURNAL!$C$5:$I$1115,3,0))</f>
        <v>3919.55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200">
        <f ca="1">IF(A53="","",IF(ISNA(VLOOKUP($A$1&amp;" / "&amp;$A$50,INDIRECT(ADDRESS(A53+5,2,1,,"JOURNAL")&amp;":G500"),2,0)),"",VLOOKUP($A$1&amp;" / "&amp;$A$50,INDIRECT(ADDRESS(A53+5,2,1,,"JOURNAL")&amp;":G500"),2,0)))</f>
        <v>89</v>
      </c>
      <c r="B54" s="201" t="str">
        <f ca="1">IF($A54="","",VLOOKUP($A54,JOURNAL!$C$5:$I$1115,5,0))</f>
        <v>Versement caisse &gt; CC</v>
      </c>
      <c r="C54" s="202">
        <f ca="1">IF($A54="","",VLOOKUP($A54,JOURNAL!$C$5:$I$1115,2,0))</f>
        <v>45988</v>
      </c>
      <c r="D54" s="201" t="str">
        <f ca="1">IF($A54="","",VLOOKUP($A54,JOURNAL!$C$5:$I$1115,4,0))</f>
        <v>BLV</v>
      </c>
      <c r="E54" s="187">
        <f ca="1">IF($A54="","",VLOOKUP($A54,JOURNAL!$C$5:$I$1115,3,0))</f>
        <v>263.89999999999998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200">
        <f ca="1">IF(A54="","",IF(ISNA(VLOOKUP($A$1&amp;" / "&amp;$A$50,INDIRECT(ADDRESS(A54+5,2,1,,"JOURNAL")&amp;":G500"),2,0)),"",VLOOKUP($A$1&amp;" / "&amp;$A$50,INDIRECT(ADDRESS(A54+5,2,1,,"JOURNAL")&amp;":G500"),2,0)))</f>
        <v>90</v>
      </c>
      <c r="B55" s="201" t="str">
        <f ca="1">IF($A55="","",VLOOKUP($A55,JOURNAL!$C$5:$I$1115,5,0))</f>
        <v>Versement caisse &gt; CC</v>
      </c>
      <c r="C55" s="202">
        <f ca="1">IF($A55="","",VLOOKUP($A55,JOURNAL!$C$5:$I$1115,2,0))</f>
        <v>45988</v>
      </c>
      <c r="D55" s="201" t="str">
        <f ca="1">IF($A55="","",VLOOKUP($A55,JOURNAL!$C$5:$I$1115,4,0))</f>
        <v>BLV</v>
      </c>
      <c r="E55" s="187">
        <f ca="1">IF($A55="","",VLOOKUP($A55,JOURNAL!$C$5:$I$1115,3,0))</f>
        <v>300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200" t="str">
        <f ca="1">IF(A55="","",IF(ISNA(VLOOKUP($A$1&amp;" / "&amp;$A$50,INDIRECT(ADDRESS(A55+5,2,1,,"JOURNAL")&amp;":G500"),2,0)),"",VLOOKUP($A$1&amp;" / "&amp;$A$50,INDIRECT(ADDRESS(A55+5,2,1,,"JOURNAL")&amp;":G500"),2,0)))</f>
        <v/>
      </c>
      <c r="B56" s="201" t="str">
        <f ca="1">IF($A56="","",VLOOKUP($A56,JOURNAL!$C$5:$I$1115,5,0))</f>
        <v/>
      </c>
      <c r="C56" s="202" t="str">
        <f ca="1">IF($A56="","",VLOOKUP($A56,JOURNAL!$C$5:$I$1115,2,0))</f>
        <v/>
      </c>
      <c r="D56" s="201" t="str">
        <f ca="1">IF($A56="","",VLOOKUP($A56,JOURNAL!$C$5:$I$1115,4,0))</f>
        <v/>
      </c>
      <c r="E56" s="187" t="str">
        <f ca="1">IF($A56="","",VLOOKUP($A56,JOURNAL!$C$5:$I$1115,3,0))</f>
        <v/>
      </c>
      <c r="F56" s="4"/>
      <c r="G56" s="31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200" t="str">
        <f t="shared" ref="A57:A70" ca="1" si="1">IF(A56="","",IF(ISNA(VLOOKUP($A$1&amp;" / "&amp;$A$50,INDIRECT(ADDRESS(A56+5,2,1,,"JOURNAL")&amp;":G700"),2,0)),"",VLOOKUP($A$1&amp;" / "&amp;$A$50,INDIRECT(ADDRESS(A56+5,2,1,,"JOURNAL")&amp;":G700"),2,0)))</f>
        <v/>
      </c>
      <c r="B57" s="201" t="str">
        <f ca="1">IF($A57="","",VLOOKUP($A57,JOURNAL!$C$5:$I$1115,5,0))</f>
        <v/>
      </c>
      <c r="C57" s="202" t="str">
        <f ca="1">IF($A57="","",VLOOKUP($A57,JOURNAL!$C$5:$I$1115,2,0))</f>
        <v/>
      </c>
      <c r="D57" s="201" t="str">
        <f ca="1">IF($A57="","",VLOOKUP($A57,JOURNAL!$C$5:$I$1115,4,0))</f>
        <v/>
      </c>
      <c r="E57" s="187" t="str">
        <f ca="1">IF($A57="","",VLOOKUP($A57,JOURNAL!$C$5:$I$1115,3,0))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200" t="str">
        <f t="shared" ca="1" si="1"/>
        <v/>
      </c>
      <c r="B58" s="201" t="str">
        <f ca="1">IF($A58="","",VLOOKUP($A58,JOURNAL!$C$5:$I$1115,5,0))</f>
        <v/>
      </c>
      <c r="C58" s="202" t="str">
        <f ca="1">IF($A58="","",VLOOKUP($A58,JOURNAL!$C$5:$I$1115,2,0))</f>
        <v/>
      </c>
      <c r="D58" s="201" t="str">
        <f ca="1">IF($A58="","",VLOOKUP($A58,JOURNAL!$C$5:$I$1115,4,0))</f>
        <v/>
      </c>
      <c r="E58" s="187" t="str">
        <f ca="1">IF($A58="","",VLOOKUP($A58,JOURNAL!$C$5:$I$1115,3,0))</f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200" t="str">
        <f t="shared" ca="1" si="1"/>
        <v/>
      </c>
      <c r="B59" s="201" t="str">
        <f ca="1">IF($A59="","",VLOOKUP($A59,JOURNAL!$C$5:$I$1115,5,0))</f>
        <v/>
      </c>
      <c r="C59" s="202" t="str">
        <f ca="1">IF($A59="","",VLOOKUP($A59,JOURNAL!$C$5:$I$1115,2,0))</f>
        <v/>
      </c>
      <c r="D59" s="201" t="str">
        <f ca="1">IF($A59="","",VLOOKUP($A59,JOURNAL!$C$5:$I$1115,4,0))</f>
        <v/>
      </c>
      <c r="E59" s="187" t="str">
        <f ca="1">IF($A59="","",VLOOKUP($A59,JOURNAL!$C$5:$I$1115,3,0))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200" t="str">
        <f t="shared" ca="1" si="1"/>
        <v/>
      </c>
      <c r="B60" s="201" t="str">
        <f ca="1">IF($A60="","",VLOOKUP($A60,JOURNAL!$C$5:$I$1115,5,0))</f>
        <v/>
      </c>
      <c r="C60" s="202" t="str">
        <f ca="1">IF($A60="","",VLOOKUP($A60,JOURNAL!$C$5:$I$1115,2,0))</f>
        <v/>
      </c>
      <c r="D60" s="201" t="str">
        <f ca="1">IF($A60="","",VLOOKUP($A60,JOURNAL!$C$5:$I$1115,4,0))</f>
        <v/>
      </c>
      <c r="E60" s="187" t="str">
        <f ca="1">IF($A60="","",VLOOKUP($A60,JOURNAL!$C$5:$I$1115,3,0))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200" t="str">
        <f t="shared" ca="1" si="1"/>
        <v/>
      </c>
      <c r="B61" s="201" t="str">
        <f ca="1">IF($A61="","",VLOOKUP($A61,JOURNAL!$C$5:$I$1115,5,0))</f>
        <v/>
      </c>
      <c r="C61" s="202" t="str">
        <f ca="1">IF($A61="","",VLOOKUP($A61,JOURNAL!$C$5:$I$1115,2,0))</f>
        <v/>
      </c>
      <c r="D61" s="201" t="str">
        <f ca="1">IF($A61="","",VLOOKUP($A61,JOURNAL!$C$5:$I$1115,4,0))</f>
        <v/>
      </c>
      <c r="E61" s="187" t="str">
        <f ca="1">IF($A61="","",VLOOKUP($A61,JOURNAL!$C$5:$I$1115,3,0))</f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200" t="str">
        <f t="shared" ca="1" si="1"/>
        <v/>
      </c>
      <c r="B62" s="201" t="str">
        <f ca="1">IF($A62="","",VLOOKUP($A62,JOURNAL!$C$5:$I$1115,5,0))</f>
        <v/>
      </c>
      <c r="C62" s="202" t="str">
        <f ca="1">IF($A62="","",VLOOKUP($A62,JOURNAL!$C$5:$I$1115,2,0))</f>
        <v/>
      </c>
      <c r="D62" s="201" t="str">
        <f ca="1">IF($A62="","",VLOOKUP($A62,JOURNAL!$C$5:$I$1115,4,0))</f>
        <v/>
      </c>
      <c r="E62" s="187" t="str">
        <f ca="1">IF($A62="","",VLOOKUP($A62,JOURNAL!$C$5:$I$1115,3,0))</f>
        <v/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200" t="str">
        <f t="shared" ca="1" si="1"/>
        <v/>
      </c>
      <c r="B63" s="201" t="str">
        <f ca="1">IF($A63="","",VLOOKUP($A63,JOURNAL!$C$5:$I$1115,5,0))</f>
        <v/>
      </c>
      <c r="C63" s="202" t="str">
        <f ca="1">IF($A63="","",VLOOKUP($A63,JOURNAL!$C$5:$I$1115,2,0))</f>
        <v/>
      </c>
      <c r="D63" s="201" t="str">
        <f ca="1">IF($A63="","",VLOOKUP($A63,JOURNAL!$C$5:$I$1115,4,0))</f>
        <v/>
      </c>
      <c r="E63" s="187" t="str">
        <f ca="1">IF($A63="","",VLOOKUP($A63,JOURNAL!$C$5:$I$1115,3,0))</f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200" t="str">
        <f t="shared" ca="1" si="1"/>
        <v/>
      </c>
      <c r="B64" s="201" t="str">
        <f ca="1">IF($A64="","",VLOOKUP($A64,JOURNAL!$C$5:$I$1115,5,0))</f>
        <v/>
      </c>
      <c r="C64" s="202" t="str">
        <f ca="1">IF($A64="","",VLOOKUP($A64,JOURNAL!$C$5:$I$1115,2,0))</f>
        <v/>
      </c>
      <c r="D64" s="201" t="str">
        <f ca="1">IF($A64="","",VLOOKUP($A64,JOURNAL!$C$5:$I$1115,4,0))</f>
        <v/>
      </c>
      <c r="E64" s="187" t="str">
        <f ca="1">IF($A64="","",VLOOKUP($A64,JOURNAL!$C$5:$I$1115,3,0))</f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200" t="str">
        <f t="shared" ca="1" si="1"/>
        <v/>
      </c>
      <c r="B65" s="201" t="str">
        <f ca="1">IF($A65="","",VLOOKUP($A65,JOURNAL!$C$5:$I$1115,5,0))</f>
        <v/>
      </c>
      <c r="C65" s="202" t="str">
        <f ca="1">IF($A65="","",VLOOKUP($A65,JOURNAL!$C$5:$I$1115,2,0))</f>
        <v/>
      </c>
      <c r="D65" s="201" t="str">
        <f ca="1">IF($A65="","",VLOOKUP($A65,JOURNAL!$C$5:$I$1115,4,0))</f>
        <v/>
      </c>
      <c r="E65" s="187" t="str">
        <f ca="1">IF($A65="","",VLOOKUP($A65,JOURNAL!$C$5:$I$1115,3,0))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200" t="str">
        <f t="shared" ca="1" si="1"/>
        <v/>
      </c>
      <c r="B66" s="201" t="str">
        <f ca="1">IF($A66="","",VLOOKUP($A66,JOURNAL!$C$5:$I$1115,5,0))</f>
        <v/>
      </c>
      <c r="C66" s="202" t="str">
        <f ca="1">IF($A66="","",VLOOKUP($A66,JOURNAL!$C$5:$I$1115,2,0))</f>
        <v/>
      </c>
      <c r="D66" s="201" t="str">
        <f ca="1">IF($A66="","",VLOOKUP($A66,JOURNAL!$C$5:$I$1115,4,0))</f>
        <v/>
      </c>
      <c r="E66" s="187" t="str">
        <f ca="1">IF($A66="","",VLOOKUP($A66,JOURNAL!$C$5:$I$1115,3,0))</f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200" t="str">
        <f t="shared" ca="1" si="1"/>
        <v/>
      </c>
      <c r="B67" s="201" t="str">
        <f ca="1">IF($A67="","",VLOOKUP($A67,JOURNAL!$C$5:$I$1115,5,0))</f>
        <v/>
      </c>
      <c r="C67" s="202" t="str">
        <f ca="1">IF($A67="","",VLOOKUP($A67,JOURNAL!$C$5:$I$1115,2,0))</f>
        <v/>
      </c>
      <c r="D67" s="201" t="str">
        <f ca="1">IF($A67="","",VLOOKUP($A67,JOURNAL!$C$5:$I$1115,4,0))</f>
        <v/>
      </c>
      <c r="E67" s="187" t="str">
        <f ca="1">IF($A67="","",VLOOKUP($A67,JOURNAL!$C$5:$I$1115,3,0))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200" t="str">
        <f t="shared" ca="1" si="1"/>
        <v/>
      </c>
      <c r="B68" s="201" t="str">
        <f ca="1">IF($A68="","",VLOOKUP($A68,JOURNAL!$C$5:$I$1115,5,0))</f>
        <v/>
      </c>
      <c r="C68" s="202" t="str">
        <f ca="1">IF($A68="","",VLOOKUP($A68,JOURNAL!$C$5:$I$1115,2,0))</f>
        <v/>
      </c>
      <c r="D68" s="201" t="str">
        <f ca="1">IF($A68="","",VLOOKUP($A68,JOURNAL!$C$5:$I$1115,4,0))</f>
        <v/>
      </c>
      <c r="E68" s="187" t="str">
        <f ca="1">IF($A68="","",VLOOKUP($A68,JOURNAL!$C$5:$I$1115,3,0))</f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200" t="str">
        <f t="shared" ca="1" si="1"/>
        <v/>
      </c>
      <c r="B69" s="201" t="str">
        <f ca="1">IF($A69="","",VLOOKUP($A69,JOURNAL!$C$5:$I$1115,5,0))</f>
        <v/>
      </c>
      <c r="C69" s="202" t="str">
        <f ca="1">IF($A69="","",VLOOKUP($A69,JOURNAL!$C$5:$I$1115,2,0))</f>
        <v/>
      </c>
      <c r="D69" s="201" t="str">
        <f ca="1">IF($A69="","",VLOOKUP($A69,JOURNAL!$C$5:$I$1115,4,0))</f>
        <v/>
      </c>
      <c r="E69" s="187" t="str">
        <f ca="1">IF($A69="","",VLOOKUP($A69,JOURNAL!$C$5:$I$1115,3,0))</f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200" t="str">
        <f t="shared" ca="1" si="1"/>
        <v/>
      </c>
      <c r="B70" s="201" t="str">
        <f ca="1">IF($A70="","",VLOOKUP($A70,JOURNAL!$C$5:$I$1115,5,0))</f>
        <v/>
      </c>
      <c r="C70" s="202" t="str">
        <f ca="1">IF($A70="","",VLOOKUP($A70,JOURNAL!$C$5:$I$1115,2,0))</f>
        <v/>
      </c>
      <c r="D70" s="201" t="str">
        <f ca="1">IF($A70="","",VLOOKUP($A70,JOURNAL!$C$5:$I$1115,4,0))</f>
        <v/>
      </c>
      <c r="E70" s="187" t="str">
        <f ca="1">IF($A70="","",VLOOKUP($A70,JOURNAL!$C$5:$I$1115,3,0))</f>
        <v/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178" t="s">
        <v>16</v>
      </c>
      <c r="B71" s="179"/>
      <c r="C71" s="180"/>
      <c r="D71" s="181"/>
      <c r="E71" s="182">
        <f ca="1">SUM(E52:E70)</f>
        <v>4817.45</v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4"/>
    </row>
    <row r="72" spans="1:26" ht="16.5" customHeight="1" x14ac:dyDescent="0.2">
      <c r="A72" s="51"/>
      <c r="B72" s="4"/>
      <c r="C72" s="149"/>
      <c r="D72" s="4"/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51"/>
      <c r="B73" s="4"/>
      <c r="C73" s="149"/>
      <c r="D73" s="4"/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51"/>
      <c r="B74" s="4"/>
      <c r="C74" s="149"/>
      <c r="D74" s="4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51"/>
      <c r="B75" s="4"/>
      <c r="C75" s="149"/>
      <c r="D75" s="4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51"/>
      <c r="B76" s="4"/>
      <c r="C76" s="149"/>
      <c r="D76" s="4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51"/>
      <c r="B77" s="4"/>
      <c r="C77" s="149"/>
      <c r="D77" s="4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51"/>
      <c r="B78" s="4"/>
      <c r="C78" s="149"/>
      <c r="D78" s="4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51"/>
      <c r="B79" s="4"/>
      <c r="C79" s="149"/>
      <c r="D79" s="4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51"/>
      <c r="B80" s="4"/>
      <c r="C80" s="149"/>
      <c r="D80" s="4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51"/>
      <c r="B81" s="4"/>
      <c r="C81" s="149"/>
      <c r="D81" s="4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51"/>
      <c r="B82" s="4"/>
      <c r="C82" s="149"/>
      <c r="D82" s="4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51"/>
      <c r="B83" s="4"/>
      <c r="C83" s="149"/>
      <c r="D83" s="4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51"/>
      <c r="B84" s="4"/>
      <c r="C84" s="149"/>
      <c r="D84" s="4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51"/>
      <c r="B85" s="4"/>
      <c r="C85" s="149"/>
      <c r="D85" s="4"/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51"/>
      <c r="B86" s="4"/>
      <c r="C86" s="149"/>
      <c r="D86" s="4"/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51"/>
      <c r="B87" s="4"/>
      <c r="C87" s="149"/>
      <c r="D87" s="4"/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51"/>
      <c r="B88" s="4"/>
      <c r="C88" s="149"/>
      <c r="D88" s="4"/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51"/>
      <c r="B89" s="4"/>
      <c r="C89" s="149"/>
      <c r="D89" s="4"/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51"/>
      <c r="B90" s="4"/>
      <c r="C90" s="149"/>
      <c r="D90" s="4"/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51"/>
      <c r="B91" s="4"/>
      <c r="C91" s="149"/>
      <c r="D91" s="4"/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51"/>
      <c r="B92" s="4"/>
      <c r="C92" s="149"/>
      <c r="D92" s="4"/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51"/>
      <c r="B93" s="4"/>
      <c r="C93" s="149"/>
      <c r="D93" s="4"/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51"/>
      <c r="B94" s="4"/>
      <c r="C94" s="149"/>
      <c r="D94" s="4"/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51"/>
      <c r="B95" s="4"/>
      <c r="C95" s="149"/>
      <c r="D95" s="4"/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51"/>
      <c r="B96" s="4"/>
      <c r="C96" s="149"/>
      <c r="D96" s="4"/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51"/>
      <c r="B97" s="4"/>
      <c r="C97" s="149"/>
      <c r="D97" s="4"/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51"/>
      <c r="B98" s="4"/>
      <c r="C98" s="149"/>
      <c r="D98" s="4"/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51"/>
      <c r="B99" s="4"/>
      <c r="C99" s="149"/>
      <c r="D99" s="4"/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51"/>
      <c r="B100" s="4"/>
      <c r="C100" s="149"/>
      <c r="D100" s="4"/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51"/>
      <c r="B101" s="4"/>
      <c r="C101" s="149"/>
      <c r="D101" s="4"/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51"/>
      <c r="B102" s="4"/>
      <c r="C102" s="149"/>
      <c r="D102" s="4"/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51"/>
      <c r="B103" s="4"/>
      <c r="C103" s="149"/>
      <c r="D103" s="4"/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51"/>
      <c r="B104" s="4"/>
      <c r="C104" s="149"/>
      <c r="D104" s="4"/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51"/>
      <c r="B105" s="4"/>
      <c r="C105" s="149"/>
      <c r="D105" s="4"/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51"/>
      <c r="B106" s="4"/>
      <c r="C106" s="149"/>
      <c r="D106" s="4"/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51"/>
      <c r="B107" s="4"/>
      <c r="C107" s="149"/>
      <c r="D107" s="4"/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51"/>
      <c r="B108" s="4"/>
      <c r="C108" s="149"/>
      <c r="D108" s="4"/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51"/>
      <c r="B109" s="4"/>
      <c r="C109" s="149"/>
      <c r="D109" s="4"/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51"/>
      <c r="B110" s="4"/>
      <c r="C110" s="149"/>
      <c r="D110" s="4"/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51"/>
      <c r="B111" s="4"/>
      <c r="C111" s="149"/>
      <c r="D111" s="4"/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51"/>
      <c r="B112" s="4"/>
      <c r="C112" s="149"/>
      <c r="D112" s="4"/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51"/>
      <c r="B113" s="4"/>
      <c r="C113" s="149"/>
      <c r="D113" s="4"/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51"/>
      <c r="B114" s="4"/>
      <c r="C114" s="149"/>
      <c r="D114" s="4"/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51"/>
      <c r="B115" s="4"/>
      <c r="C115" s="149"/>
      <c r="D115" s="4"/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51"/>
      <c r="B116" s="4"/>
      <c r="C116" s="149"/>
      <c r="D116" s="4"/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51"/>
      <c r="B117" s="4"/>
      <c r="C117" s="149"/>
      <c r="D117" s="4"/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51"/>
      <c r="B118" s="4"/>
      <c r="C118" s="149"/>
      <c r="D118" s="4"/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51"/>
      <c r="B119" s="4"/>
      <c r="C119" s="149"/>
      <c r="D119" s="4"/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51"/>
      <c r="B120" s="4"/>
      <c r="C120" s="149"/>
      <c r="D120" s="4"/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51"/>
      <c r="B121" s="4"/>
      <c r="C121" s="149"/>
      <c r="D121" s="4"/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51"/>
      <c r="B122" s="4"/>
      <c r="C122" s="149"/>
      <c r="D122" s="4"/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51"/>
      <c r="B123" s="4"/>
      <c r="C123" s="149"/>
      <c r="D123" s="4"/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51"/>
      <c r="B124" s="4"/>
      <c r="C124" s="149"/>
      <c r="D124" s="4"/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51"/>
      <c r="B125" s="4"/>
      <c r="C125" s="149"/>
      <c r="D125" s="4"/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51"/>
      <c r="B126" s="4"/>
      <c r="C126" s="149"/>
      <c r="D126" s="4"/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51"/>
      <c r="B127" s="4"/>
      <c r="C127" s="149"/>
      <c r="D127" s="4"/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51"/>
      <c r="B128" s="4"/>
      <c r="C128" s="149"/>
      <c r="D128" s="4"/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51"/>
      <c r="B129" s="4"/>
      <c r="C129" s="149"/>
      <c r="D129" s="4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51"/>
      <c r="B130" s="4"/>
      <c r="C130" s="149"/>
      <c r="D130" s="4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51"/>
      <c r="B131" s="4"/>
      <c r="C131" s="149"/>
      <c r="D131" s="4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51"/>
      <c r="B132" s="4"/>
      <c r="C132" s="149"/>
      <c r="D132" s="4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51"/>
      <c r="B133" s="4"/>
      <c r="C133" s="149"/>
      <c r="D133" s="4"/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51"/>
      <c r="B134" s="4"/>
      <c r="C134" s="149"/>
      <c r="D134" s="4"/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51"/>
      <c r="B135" s="4"/>
      <c r="C135" s="149"/>
      <c r="D135" s="4"/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51"/>
      <c r="B136" s="4"/>
      <c r="C136" s="149"/>
      <c r="D136" s="4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51"/>
      <c r="B137" s="4"/>
      <c r="C137" s="149"/>
      <c r="D137" s="4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51"/>
      <c r="B138" s="4"/>
      <c r="C138" s="149"/>
      <c r="D138" s="4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51"/>
      <c r="B139" s="4"/>
      <c r="C139" s="149"/>
      <c r="D139" s="4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51"/>
      <c r="B140" s="4"/>
      <c r="C140" s="149"/>
      <c r="D140" s="4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51"/>
      <c r="B141" s="4"/>
      <c r="C141" s="149"/>
      <c r="D141" s="4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51"/>
      <c r="B142" s="4"/>
      <c r="C142" s="149"/>
      <c r="D142" s="4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51"/>
      <c r="B143" s="4"/>
      <c r="C143" s="149"/>
      <c r="D143" s="4"/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51"/>
      <c r="B144" s="4"/>
      <c r="C144" s="149"/>
      <c r="D144" s="4"/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51"/>
      <c r="B145" s="4"/>
      <c r="C145" s="149"/>
      <c r="D145" s="4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51"/>
      <c r="B146" s="4"/>
      <c r="C146" s="149"/>
      <c r="D146" s="4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51"/>
      <c r="B147" s="4"/>
      <c r="C147" s="149"/>
      <c r="D147" s="4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51"/>
      <c r="B148" s="4"/>
      <c r="C148" s="149"/>
      <c r="D148" s="4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51"/>
      <c r="B149" s="4"/>
      <c r="C149" s="149"/>
      <c r="D149" s="4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51"/>
      <c r="B150" s="4"/>
      <c r="C150" s="149"/>
      <c r="D150" s="4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51"/>
      <c r="B151" s="4"/>
      <c r="C151" s="149"/>
      <c r="D151" s="4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51"/>
      <c r="B152" s="4"/>
      <c r="C152" s="149"/>
      <c r="D152" s="4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51"/>
      <c r="B153" s="4"/>
      <c r="C153" s="149"/>
      <c r="D153" s="4"/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51"/>
      <c r="B154" s="4"/>
      <c r="C154" s="149"/>
      <c r="D154" s="4"/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51"/>
      <c r="B155" s="4"/>
      <c r="C155" s="149"/>
      <c r="D155" s="4"/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51"/>
      <c r="B156" s="4"/>
      <c r="C156" s="149"/>
      <c r="D156" s="4"/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51"/>
      <c r="B157" s="4"/>
      <c r="C157" s="149"/>
      <c r="D157" s="4"/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51"/>
      <c r="B158" s="4"/>
      <c r="C158" s="149"/>
      <c r="D158" s="4"/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51"/>
      <c r="B159" s="4"/>
      <c r="C159" s="149"/>
      <c r="D159" s="4"/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51"/>
      <c r="B160" s="4"/>
      <c r="C160" s="149"/>
      <c r="D160" s="4"/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51"/>
      <c r="B161" s="4"/>
      <c r="C161" s="149"/>
      <c r="D161" s="4"/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51"/>
      <c r="B162" s="4"/>
      <c r="C162" s="149"/>
      <c r="D162" s="4"/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51"/>
      <c r="B163" s="4"/>
      <c r="C163" s="149"/>
      <c r="D163" s="4"/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51"/>
      <c r="B164" s="4"/>
      <c r="C164" s="149"/>
      <c r="D164" s="4"/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51"/>
      <c r="B165" s="4"/>
      <c r="C165" s="149"/>
      <c r="D165" s="4"/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51"/>
      <c r="B166" s="4"/>
      <c r="C166" s="149"/>
      <c r="D166" s="4"/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51"/>
      <c r="B167" s="4"/>
      <c r="C167" s="149"/>
      <c r="D167" s="4"/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51"/>
      <c r="B168" s="4"/>
      <c r="C168" s="149"/>
      <c r="D168" s="4"/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51"/>
      <c r="B169" s="4"/>
      <c r="C169" s="149"/>
      <c r="D169" s="4"/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51"/>
      <c r="B170" s="4"/>
      <c r="C170" s="149"/>
      <c r="D170" s="4"/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51"/>
      <c r="B171" s="4"/>
      <c r="C171" s="149"/>
      <c r="D171" s="4"/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51"/>
      <c r="B172" s="4"/>
      <c r="C172" s="149"/>
      <c r="D172" s="4"/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51"/>
      <c r="B173" s="4"/>
      <c r="C173" s="149"/>
      <c r="D173" s="4"/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51"/>
      <c r="B174" s="4"/>
      <c r="C174" s="149"/>
      <c r="D174" s="4"/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51"/>
      <c r="B175" s="4"/>
      <c r="C175" s="149"/>
      <c r="D175" s="4"/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51"/>
      <c r="B176" s="4"/>
      <c r="C176" s="149"/>
      <c r="D176" s="4"/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51"/>
      <c r="B177" s="4"/>
      <c r="C177" s="149"/>
      <c r="D177" s="4"/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51"/>
      <c r="B178" s="4"/>
      <c r="C178" s="149"/>
      <c r="D178" s="4"/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51"/>
      <c r="B179" s="4"/>
      <c r="C179" s="149"/>
      <c r="D179" s="4"/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51"/>
      <c r="B180" s="4"/>
      <c r="C180" s="149"/>
      <c r="D180" s="4"/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51"/>
      <c r="B181" s="4"/>
      <c r="C181" s="149"/>
      <c r="D181" s="4"/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51"/>
      <c r="B182" s="4"/>
      <c r="C182" s="149"/>
      <c r="D182" s="4"/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51"/>
      <c r="B183" s="4"/>
      <c r="C183" s="149"/>
      <c r="D183" s="4"/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51"/>
      <c r="B184" s="4"/>
      <c r="C184" s="149"/>
      <c r="D184" s="4"/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51"/>
      <c r="B185" s="4"/>
      <c r="C185" s="149"/>
      <c r="D185" s="4"/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51"/>
      <c r="B186" s="4"/>
      <c r="C186" s="149"/>
      <c r="D186" s="4"/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51"/>
      <c r="B187" s="4"/>
      <c r="C187" s="149"/>
      <c r="D187" s="4"/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51"/>
      <c r="B188" s="4"/>
      <c r="C188" s="149"/>
      <c r="D188" s="4"/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51"/>
      <c r="B189" s="4"/>
      <c r="C189" s="149"/>
      <c r="D189" s="4"/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51"/>
      <c r="B190" s="4"/>
      <c r="C190" s="149"/>
      <c r="D190" s="4"/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51"/>
      <c r="B191" s="4"/>
      <c r="C191" s="149"/>
      <c r="D191" s="4"/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51"/>
      <c r="B192" s="4"/>
      <c r="C192" s="149"/>
      <c r="D192" s="4"/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51"/>
      <c r="B193" s="4"/>
      <c r="C193" s="149"/>
      <c r="D193" s="4"/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51"/>
      <c r="B194" s="4"/>
      <c r="C194" s="149"/>
      <c r="D194" s="4"/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51"/>
      <c r="B195" s="4"/>
      <c r="C195" s="149"/>
      <c r="D195" s="4"/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51"/>
      <c r="B196" s="4"/>
      <c r="C196" s="149"/>
      <c r="D196" s="4"/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51"/>
      <c r="B197" s="4"/>
      <c r="C197" s="149"/>
      <c r="D197" s="4"/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51"/>
      <c r="B198" s="4"/>
      <c r="C198" s="149"/>
      <c r="D198" s="4"/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51"/>
      <c r="B199" s="4"/>
      <c r="C199" s="149"/>
      <c r="D199" s="4"/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51"/>
      <c r="B200" s="4"/>
      <c r="C200" s="149"/>
      <c r="D200" s="4"/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51"/>
      <c r="B201" s="4"/>
      <c r="C201" s="149"/>
      <c r="D201" s="4"/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51"/>
      <c r="B202" s="4"/>
      <c r="C202" s="149"/>
      <c r="D202" s="4"/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51"/>
      <c r="B203" s="4"/>
      <c r="C203" s="149"/>
      <c r="D203" s="4"/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51"/>
      <c r="B204" s="4"/>
      <c r="C204" s="149"/>
      <c r="D204" s="4"/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51"/>
      <c r="B205" s="4"/>
      <c r="C205" s="149"/>
      <c r="D205" s="4"/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51"/>
      <c r="B206" s="4"/>
      <c r="C206" s="149"/>
      <c r="D206" s="4"/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51"/>
      <c r="B207" s="4"/>
      <c r="C207" s="149"/>
      <c r="D207" s="4"/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51"/>
      <c r="B208" s="4"/>
      <c r="C208" s="149"/>
      <c r="D208" s="4"/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51"/>
      <c r="B209" s="4"/>
      <c r="C209" s="149"/>
      <c r="D209" s="4"/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51"/>
      <c r="B210" s="4"/>
      <c r="C210" s="149"/>
      <c r="D210" s="4"/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51"/>
      <c r="B211" s="4"/>
      <c r="C211" s="149"/>
      <c r="D211" s="4"/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51"/>
      <c r="B212" s="4"/>
      <c r="C212" s="149"/>
      <c r="D212" s="4"/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51"/>
      <c r="B213" s="4"/>
      <c r="C213" s="149"/>
      <c r="D213" s="4"/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51"/>
      <c r="B214" s="4"/>
      <c r="C214" s="149"/>
      <c r="D214" s="4"/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51"/>
      <c r="B215" s="4"/>
      <c r="C215" s="149"/>
      <c r="D215" s="4"/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51"/>
      <c r="B216" s="4"/>
      <c r="C216" s="149"/>
      <c r="D216" s="4"/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51"/>
      <c r="B217" s="4"/>
      <c r="C217" s="149"/>
      <c r="D217" s="4"/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51"/>
      <c r="B218" s="4"/>
      <c r="C218" s="149"/>
      <c r="D218" s="4"/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51"/>
      <c r="B219" s="4"/>
      <c r="C219" s="149"/>
      <c r="D219" s="4"/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51"/>
      <c r="B220" s="4"/>
      <c r="C220" s="149"/>
      <c r="D220" s="4"/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51"/>
      <c r="B221" s="4"/>
      <c r="C221" s="149"/>
      <c r="D221" s="4"/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51"/>
      <c r="B222" s="4"/>
      <c r="C222" s="149"/>
      <c r="D222" s="4"/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51"/>
      <c r="B223" s="4"/>
      <c r="C223" s="149"/>
      <c r="D223" s="4"/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51"/>
      <c r="B224" s="4"/>
      <c r="C224" s="149"/>
      <c r="D224" s="4"/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51"/>
      <c r="B225" s="4"/>
      <c r="C225" s="149"/>
      <c r="D225" s="4"/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51"/>
      <c r="B226" s="4"/>
      <c r="C226" s="149"/>
      <c r="D226" s="4"/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51"/>
      <c r="B227" s="4"/>
      <c r="C227" s="149"/>
      <c r="D227" s="4"/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51"/>
      <c r="B228" s="4"/>
      <c r="C228" s="149"/>
      <c r="D228" s="4"/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51"/>
      <c r="B229" s="4"/>
      <c r="C229" s="149"/>
      <c r="D229" s="4"/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51"/>
      <c r="B230" s="4"/>
      <c r="C230" s="149"/>
      <c r="D230" s="4"/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51"/>
      <c r="B231" s="4"/>
      <c r="C231" s="149"/>
      <c r="D231" s="4"/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51"/>
      <c r="B232" s="4"/>
      <c r="C232" s="149"/>
      <c r="D232" s="4"/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 x14ac:dyDescent="0.2">
      <c r="A233" s="51"/>
      <c r="B233" s="4"/>
      <c r="C233" s="149"/>
      <c r="D233" s="4"/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 x14ac:dyDescent="0.2">
      <c r="A234" s="51"/>
      <c r="B234" s="4"/>
      <c r="C234" s="149"/>
      <c r="D234" s="4"/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 x14ac:dyDescent="0.2">
      <c r="A235" s="51"/>
      <c r="B235" s="4"/>
      <c r="C235" s="149"/>
      <c r="D235" s="4"/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 x14ac:dyDescent="0.2">
      <c r="A236" s="51"/>
      <c r="B236" s="4"/>
      <c r="C236" s="149"/>
      <c r="D236" s="4"/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 x14ac:dyDescent="0.2">
      <c r="A237" s="51"/>
      <c r="B237" s="4"/>
      <c r="C237" s="149"/>
      <c r="D237" s="4"/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 x14ac:dyDescent="0.2">
      <c r="A238" s="51"/>
      <c r="B238" s="4"/>
      <c r="C238" s="149"/>
      <c r="D238" s="4"/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 x14ac:dyDescent="0.2">
      <c r="A239" s="51"/>
      <c r="B239" s="4"/>
      <c r="C239" s="149"/>
      <c r="D239" s="4"/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 x14ac:dyDescent="0.2">
      <c r="A240" s="51"/>
      <c r="B240" s="4"/>
      <c r="C240" s="149"/>
      <c r="D240" s="4"/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 x14ac:dyDescent="0.2">
      <c r="A241" s="51"/>
      <c r="B241" s="4"/>
      <c r="C241" s="149"/>
      <c r="D241" s="4"/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 x14ac:dyDescent="0.2">
      <c r="A242" s="51"/>
      <c r="B242" s="4"/>
      <c r="C242" s="149"/>
      <c r="D242" s="4"/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 x14ac:dyDescent="0.2">
      <c r="A243" s="51"/>
      <c r="B243" s="4"/>
      <c r="C243" s="149"/>
      <c r="D243" s="4"/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 x14ac:dyDescent="0.2">
      <c r="A244" s="51"/>
      <c r="B244" s="4"/>
      <c r="C244" s="149"/>
      <c r="D244" s="4"/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 x14ac:dyDescent="0.2">
      <c r="A245" s="51"/>
      <c r="B245" s="4"/>
      <c r="C245" s="149"/>
      <c r="D245" s="4"/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 x14ac:dyDescent="0.2">
      <c r="A246" s="51"/>
      <c r="B246" s="4"/>
      <c r="C246" s="149"/>
      <c r="D246" s="4"/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 x14ac:dyDescent="0.2">
      <c r="A247" s="51"/>
      <c r="B247" s="4"/>
      <c r="C247" s="149"/>
      <c r="D247" s="4"/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 x14ac:dyDescent="0.2">
      <c r="A248" s="51"/>
      <c r="B248" s="4"/>
      <c r="C248" s="149"/>
      <c r="D248" s="4"/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 x14ac:dyDescent="0.2">
      <c r="A249" s="51"/>
      <c r="B249" s="4"/>
      <c r="C249" s="149"/>
      <c r="D249" s="4"/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 x14ac:dyDescent="0.2">
      <c r="A250" s="51"/>
      <c r="B250" s="4"/>
      <c r="C250" s="149"/>
      <c r="D250" s="4"/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 x14ac:dyDescent="0.2">
      <c r="A251" s="51"/>
      <c r="B251" s="4"/>
      <c r="C251" s="149"/>
      <c r="D251" s="4"/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 x14ac:dyDescent="0.2">
      <c r="A252" s="51"/>
      <c r="B252" s="4"/>
      <c r="C252" s="149"/>
      <c r="D252" s="4"/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 x14ac:dyDescent="0.2">
      <c r="A253" s="51"/>
      <c r="B253" s="4"/>
      <c r="C253" s="149"/>
      <c r="D253" s="4"/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 x14ac:dyDescent="0.2">
      <c r="A254" s="51"/>
      <c r="B254" s="4"/>
      <c r="C254" s="149"/>
      <c r="D254" s="4"/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 x14ac:dyDescent="0.2">
      <c r="A255" s="51"/>
      <c r="B255" s="4"/>
      <c r="C255" s="149"/>
      <c r="D255" s="4"/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 x14ac:dyDescent="0.2">
      <c r="A256" s="51"/>
      <c r="B256" s="4"/>
      <c r="C256" s="149"/>
      <c r="D256" s="4"/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 x14ac:dyDescent="0.2">
      <c r="A257" s="51"/>
      <c r="B257" s="4"/>
      <c r="C257" s="149"/>
      <c r="D257" s="4"/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 x14ac:dyDescent="0.2">
      <c r="A258" s="51"/>
      <c r="B258" s="4"/>
      <c r="C258" s="149"/>
      <c r="D258" s="4"/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 x14ac:dyDescent="0.2">
      <c r="A259" s="51"/>
      <c r="B259" s="4"/>
      <c r="C259" s="149"/>
      <c r="D259" s="4"/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 x14ac:dyDescent="0.2">
      <c r="A260" s="51"/>
      <c r="B260" s="4"/>
      <c r="C260" s="149"/>
      <c r="D260" s="4"/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 x14ac:dyDescent="0.2">
      <c r="A261" s="51"/>
      <c r="B261" s="4"/>
      <c r="C261" s="149"/>
      <c r="D261" s="4"/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 x14ac:dyDescent="0.2">
      <c r="A262" s="51"/>
      <c r="B262" s="4"/>
      <c r="C262" s="149"/>
      <c r="D262" s="4"/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 x14ac:dyDescent="0.2">
      <c r="A263" s="51"/>
      <c r="B263" s="4"/>
      <c r="C263" s="149"/>
      <c r="D263" s="4"/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 x14ac:dyDescent="0.2">
      <c r="A264" s="51"/>
      <c r="B264" s="4"/>
      <c r="C264" s="149"/>
      <c r="D264" s="4"/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 x14ac:dyDescent="0.2">
      <c r="A265" s="51"/>
      <c r="B265" s="4"/>
      <c r="C265" s="149"/>
      <c r="D265" s="4"/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 x14ac:dyDescent="0.2">
      <c r="A266" s="51"/>
      <c r="B266" s="4"/>
      <c r="C266" s="149"/>
      <c r="D266" s="4"/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 x14ac:dyDescent="0.2">
      <c r="A267" s="51"/>
      <c r="B267" s="4"/>
      <c r="C267" s="149"/>
      <c r="D267" s="4"/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 x14ac:dyDescent="0.2">
      <c r="A268" s="51"/>
      <c r="B268" s="4"/>
      <c r="C268" s="149"/>
      <c r="D268" s="4"/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 x14ac:dyDescent="0.2">
      <c r="A269" s="51"/>
      <c r="B269" s="4"/>
      <c r="C269" s="149"/>
      <c r="D269" s="4"/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 x14ac:dyDescent="0.2">
      <c r="A270" s="51"/>
      <c r="B270" s="4"/>
      <c r="C270" s="149"/>
      <c r="D270" s="4"/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 x14ac:dyDescent="0.2">
      <c r="A271" s="51"/>
      <c r="B271" s="4"/>
      <c r="C271" s="149"/>
      <c r="D271" s="4"/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5:E25"/>
  </mergeCells>
  <dataValidations count="1">
    <dataValidation type="list" allowBlank="1" showErrorMessage="1" sqref="A6:A12 A16:A22" xr:uid="{00000000-0002-0000-11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31.1640625" customWidth="1"/>
    <col min="3" max="3" width="13.1640625" customWidth="1"/>
    <col min="4" max="4" width="9.5" customWidth="1"/>
    <col min="5" max="5" width="14" customWidth="1"/>
    <col min="6" max="6" width="25.5" customWidth="1"/>
    <col min="7" max="25" width="9" customWidth="1"/>
  </cols>
  <sheetData>
    <row r="1" spans="1:5" ht="14.25" customHeight="1" x14ac:dyDescent="0.3">
      <c r="A1" s="384" t="s">
        <v>377</v>
      </c>
      <c r="B1" s="361"/>
      <c r="C1" s="361"/>
      <c r="D1" s="361"/>
      <c r="E1" s="362"/>
    </row>
    <row r="2" spans="1:5" ht="14.25" customHeight="1" x14ac:dyDescent="0.2">
      <c r="A2" s="316"/>
      <c r="E2" s="317"/>
    </row>
    <row r="3" spans="1:5" ht="14.25" customHeight="1" x14ac:dyDescent="0.25">
      <c r="A3" s="385" t="s">
        <v>203</v>
      </c>
      <c r="B3" s="375"/>
      <c r="C3" s="375"/>
      <c r="D3" s="375"/>
      <c r="E3" s="376"/>
    </row>
    <row r="4" spans="1:5" ht="14.25" customHeight="1" x14ac:dyDescent="0.2">
      <c r="A4" s="318" t="s">
        <v>205</v>
      </c>
      <c r="B4" s="319"/>
      <c r="C4" s="319"/>
      <c r="D4" s="319"/>
      <c r="E4" s="320"/>
    </row>
    <row r="5" spans="1:5" ht="14.25" customHeight="1" x14ac:dyDescent="0.2">
      <c r="A5" s="321" t="s">
        <v>218</v>
      </c>
      <c r="B5" s="322" t="s">
        <v>7</v>
      </c>
      <c r="C5" s="323"/>
      <c r="D5" s="324"/>
      <c r="E5" s="325" t="s">
        <v>5</v>
      </c>
    </row>
    <row r="6" spans="1:5" ht="14.25" customHeight="1" x14ac:dyDescent="0.2">
      <c r="A6" s="321"/>
      <c r="B6" s="326"/>
      <c r="C6" s="323"/>
      <c r="D6" s="324"/>
      <c r="E6" s="325"/>
    </row>
    <row r="7" spans="1:5" ht="14.25" customHeight="1" x14ac:dyDescent="0.2">
      <c r="A7" s="321"/>
      <c r="B7" s="326"/>
      <c r="C7" s="323"/>
      <c r="D7" s="324"/>
      <c r="E7" s="325"/>
    </row>
    <row r="8" spans="1:5" ht="14.25" customHeight="1" x14ac:dyDescent="0.2">
      <c r="A8" s="321"/>
      <c r="B8" s="326"/>
      <c r="C8" s="323"/>
      <c r="D8" s="324"/>
      <c r="E8" s="325"/>
    </row>
    <row r="9" spans="1:5" ht="14.25" customHeight="1" x14ac:dyDescent="0.2">
      <c r="A9" s="321"/>
      <c r="B9" s="326"/>
      <c r="C9" s="323"/>
      <c r="D9" s="324"/>
      <c r="E9" s="325"/>
    </row>
    <row r="10" spans="1:5" ht="14.25" customHeight="1" x14ac:dyDescent="0.2">
      <c r="A10" s="321"/>
      <c r="B10" s="326"/>
      <c r="C10" s="323"/>
      <c r="D10" s="324"/>
      <c r="E10" s="325"/>
    </row>
    <row r="11" spans="1:5" ht="14.25" customHeight="1" x14ac:dyDescent="0.2">
      <c r="A11" s="321"/>
      <c r="B11" s="326"/>
      <c r="C11" s="323"/>
      <c r="D11" s="324"/>
      <c r="E11" s="327"/>
    </row>
    <row r="12" spans="1:5" ht="14.25" customHeight="1" x14ac:dyDescent="0.2">
      <c r="A12" s="328" t="s">
        <v>16</v>
      </c>
      <c r="B12" s="329"/>
      <c r="C12" s="329"/>
      <c r="D12" s="330"/>
      <c r="E12" s="331">
        <f>SUM(E6:E11)</f>
        <v>0</v>
      </c>
    </row>
    <row r="13" spans="1:5" ht="14.25" customHeight="1" x14ac:dyDescent="0.2">
      <c r="A13" s="332" t="s">
        <v>206</v>
      </c>
      <c r="B13" s="333"/>
      <c r="C13" s="333"/>
      <c r="D13" s="333"/>
      <c r="E13" s="334"/>
    </row>
    <row r="14" spans="1:5" ht="14.25" customHeight="1" x14ac:dyDescent="0.2">
      <c r="A14" s="321" t="s">
        <v>218</v>
      </c>
      <c r="B14" s="322" t="s">
        <v>7</v>
      </c>
      <c r="C14" s="323"/>
      <c r="D14" s="324"/>
      <c r="E14" s="325" t="s">
        <v>5</v>
      </c>
    </row>
    <row r="15" spans="1:5" ht="14.25" customHeight="1" x14ac:dyDescent="0.2">
      <c r="A15" s="321"/>
      <c r="B15" s="326"/>
      <c r="C15" s="335"/>
      <c r="D15" s="336"/>
      <c r="E15" s="337"/>
    </row>
    <row r="16" spans="1:5" ht="14.25" customHeight="1" x14ac:dyDescent="0.2">
      <c r="A16" s="321"/>
      <c r="B16" s="326"/>
      <c r="C16" s="323"/>
      <c r="D16" s="324"/>
      <c r="E16" s="325"/>
    </row>
    <row r="17" spans="1:25" ht="14.25" customHeight="1" x14ac:dyDescent="0.2">
      <c r="A17" s="321"/>
      <c r="B17" s="326"/>
      <c r="C17" s="323"/>
      <c r="D17" s="324"/>
      <c r="E17" s="325"/>
    </row>
    <row r="18" spans="1:25" ht="14.25" customHeight="1" x14ac:dyDescent="0.2">
      <c r="A18" s="321"/>
      <c r="B18" s="326"/>
      <c r="C18" s="323"/>
      <c r="D18" s="324"/>
      <c r="E18" s="325"/>
    </row>
    <row r="19" spans="1:25" ht="14.25" customHeight="1" x14ac:dyDescent="0.2">
      <c r="A19" s="321"/>
      <c r="B19" s="326"/>
      <c r="C19" s="323"/>
      <c r="D19" s="324"/>
      <c r="E19" s="325"/>
    </row>
    <row r="20" spans="1:25" ht="14.25" customHeight="1" x14ac:dyDescent="0.2">
      <c r="A20" s="328" t="s">
        <v>16</v>
      </c>
      <c r="B20" s="329"/>
      <c r="C20" s="329"/>
      <c r="D20" s="330"/>
      <c r="E20" s="331">
        <f>SUM(E15:E19)</f>
        <v>0</v>
      </c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</row>
    <row r="21" spans="1:25" ht="14.25" customHeight="1" x14ac:dyDescent="0.2">
      <c r="A21" s="316"/>
      <c r="E21" s="317"/>
    </row>
    <row r="22" spans="1:25" ht="14.25" customHeight="1" x14ac:dyDescent="0.25">
      <c r="A22" s="386" t="s">
        <v>204</v>
      </c>
      <c r="B22" s="375"/>
      <c r="C22" s="375"/>
      <c r="D22" s="375"/>
      <c r="E22" s="376"/>
    </row>
    <row r="23" spans="1:25" ht="14.25" customHeight="1" x14ac:dyDescent="0.2">
      <c r="A23" s="339" t="s">
        <v>205</v>
      </c>
      <c r="B23" s="340"/>
      <c r="C23" s="340"/>
      <c r="D23" s="340"/>
      <c r="E23" s="341"/>
    </row>
    <row r="24" spans="1:25" ht="14.25" customHeight="1" x14ac:dyDescent="0.2">
      <c r="A24" s="321" t="s">
        <v>3</v>
      </c>
      <c r="B24" s="342" t="s">
        <v>7</v>
      </c>
      <c r="C24" s="342" t="s">
        <v>4</v>
      </c>
      <c r="D24" s="343" t="s">
        <v>6</v>
      </c>
      <c r="E24" s="325" t="s">
        <v>5</v>
      </c>
    </row>
    <row r="25" spans="1:25" ht="14.25" customHeight="1" x14ac:dyDescent="0.2">
      <c r="A25" s="344" t="str">
        <f>IF(ISNA(VLOOKUP($A$1&amp;" / "&amp;$A$23,JOURNAL!$B$5:$I$277,2,0)),"",VLOOKUP($A$1&amp;" / "&amp;$A$23,JOURNAL!$B$5:$I$277,2,0))</f>
        <v/>
      </c>
      <c r="B25" s="342" t="str">
        <f>IF($A25="","",VLOOKUP($A25,JOURNAL!$C$5:$I$277,5,0))</f>
        <v/>
      </c>
      <c r="C25" s="345" t="str">
        <f>IF($A25="","",VLOOKUP($A25,JOURNAL!$C$5:$I$277,2,0))</f>
        <v/>
      </c>
      <c r="D25" s="342" t="str">
        <f>IF($A25="","",VLOOKUP($A25,JOURNAL!$C$5:$I$277,4,0))</f>
        <v/>
      </c>
      <c r="E25" s="325" t="str">
        <f>IF($A25="","",VLOOKUP($A25,JOURNAL!$C$5:$I$277,3,0))</f>
        <v/>
      </c>
    </row>
    <row r="26" spans="1:25" ht="14.25" customHeight="1" x14ac:dyDescent="0.2">
      <c r="A26" s="344" t="str">
        <f t="shared" ref="A26:A31" ca="1" si="0">IF(A25="","",IF(ISNA(VLOOKUP($A$1&amp;" / "&amp;$A$23,INDIRECT(ADDRESS(A25+4,1,1,,"JOURNAL")&amp;":G500"),2,0)),"",VLOOKUP($A$1&amp;" / "&amp;$A$23,INDIRECT(ADDRESS(A25+4,1,1,,"JOURNAL")&amp;":G500"),2,0)))</f>
        <v/>
      </c>
      <c r="B26" s="342" t="str">
        <f ca="1">IF($A26="","",VLOOKUP($A26,JOURNAL!$C$5:$I$277,5,0))</f>
        <v/>
      </c>
      <c r="C26" s="345" t="str">
        <f ca="1">IF($A26="","",VLOOKUP($A26,JOURNAL!$C$5:$I$277,2,0))</f>
        <v/>
      </c>
      <c r="D26" s="342" t="str">
        <f ca="1">IF($A26="","",VLOOKUP($A26,JOURNAL!$C$5:$I$277,4,0))</f>
        <v/>
      </c>
      <c r="E26" s="325" t="str">
        <f ca="1">IF($A26="","",VLOOKUP($A26,JOURNAL!$C$5:$I$277,3,0))</f>
        <v/>
      </c>
    </row>
    <row r="27" spans="1:25" ht="14.25" customHeight="1" x14ac:dyDescent="0.2">
      <c r="A27" s="344" t="str">
        <f t="shared" ca="1" si="0"/>
        <v/>
      </c>
      <c r="B27" s="342" t="str">
        <f ca="1">IF($A27="","",VLOOKUP($A27,JOURNAL!$C$5:$I$277,5,0))</f>
        <v/>
      </c>
      <c r="C27" s="345" t="str">
        <f ca="1">IF($A27="","",VLOOKUP($A27,JOURNAL!$C$5:$I$277,2,0))</f>
        <v/>
      </c>
      <c r="D27" s="342" t="str">
        <f ca="1">IF($A27="","",VLOOKUP($A27,JOURNAL!$C$5:$I$277,4,0))</f>
        <v/>
      </c>
      <c r="E27" s="325" t="str">
        <f ca="1">IF($A27="","",VLOOKUP($A27,JOURNAL!$C$5:$I$277,3,0))</f>
        <v/>
      </c>
    </row>
    <row r="28" spans="1:25" ht="14.25" customHeight="1" x14ac:dyDescent="0.2">
      <c r="A28" s="344" t="str">
        <f t="shared" ca="1" si="0"/>
        <v/>
      </c>
      <c r="B28" s="342" t="str">
        <f ca="1">IF($A28="","",VLOOKUP($A28,JOURNAL!$C$5:$I$277,5,0))</f>
        <v/>
      </c>
      <c r="C28" s="345" t="str">
        <f ca="1">IF($A28="","",VLOOKUP($A28,JOURNAL!$C$5:$I$277,2,0))</f>
        <v/>
      </c>
      <c r="D28" s="342" t="str">
        <f ca="1">IF($A28="","",VLOOKUP($A28,JOURNAL!$C$5:$I$277,4,0))</f>
        <v/>
      </c>
      <c r="E28" s="325" t="str">
        <f ca="1">IF($A28="","",VLOOKUP($A28,JOURNAL!$C$5:$I$277,3,0))</f>
        <v/>
      </c>
    </row>
    <row r="29" spans="1:25" ht="14.25" customHeight="1" x14ac:dyDescent="0.2">
      <c r="A29" s="344" t="str">
        <f t="shared" ca="1" si="0"/>
        <v/>
      </c>
      <c r="B29" s="342" t="str">
        <f ca="1">IF($A29="","",VLOOKUP($A29,JOURNAL!$C$5:$I$277,5,0))</f>
        <v/>
      </c>
      <c r="C29" s="345" t="str">
        <f ca="1">IF($A29="","",VLOOKUP($A29,JOURNAL!$C$5:$I$277,2,0))</f>
        <v/>
      </c>
      <c r="D29" s="342" t="str">
        <f ca="1">IF($A29="","",VLOOKUP($A29,JOURNAL!$C$5:$I$277,4,0))</f>
        <v/>
      </c>
      <c r="E29" s="325" t="str">
        <f ca="1">IF($A29="","",VLOOKUP($A29,JOURNAL!$C$5:$I$277,3,0))</f>
        <v/>
      </c>
    </row>
    <row r="30" spans="1:25" ht="14.25" customHeight="1" x14ac:dyDescent="0.2">
      <c r="A30" s="344" t="str">
        <f t="shared" ca="1" si="0"/>
        <v/>
      </c>
      <c r="B30" s="342" t="str">
        <f ca="1">IF($A30="","",VLOOKUP($A30,JOURNAL!$C$5:$I$277,5,0))</f>
        <v/>
      </c>
      <c r="C30" s="345" t="str">
        <f ca="1">IF($A30="","",VLOOKUP($A30,JOURNAL!$C$5:$I$277,2,0))</f>
        <v/>
      </c>
      <c r="D30" s="342" t="str">
        <f ca="1">IF($A30="","",VLOOKUP($A30,JOURNAL!$C$5:$I$277,4,0))</f>
        <v/>
      </c>
      <c r="E30" s="325" t="str">
        <f ca="1">IF($A30="","",VLOOKUP($A30,JOURNAL!$C$5:$I$277,3,0))</f>
        <v/>
      </c>
    </row>
    <row r="31" spans="1:25" ht="14.25" customHeight="1" x14ac:dyDescent="0.2">
      <c r="A31" s="344" t="str">
        <f t="shared" ca="1" si="0"/>
        <v/>
      </c>
      <c r="B31" s="342" t="str">
        <f ca="1">IF($A31="","",VLOOKUP($A31,JOURNAL!$C$5:$I$277,5,0))</f>
        <v/>
      </c>
      <c r="C31" s="345" t="str">
        <f ca="1">IF($A31="","",VLOOKUP($A31,JOURNAL!$C$5:$I$277,2,0))</f>
        <v/>
      </c>
      <c r="D31" s="342" t="str">
        <f ca="1">IF($A31="","",VLOOKUP($A31,JOURNAL!$C$5:$I$277,4,0))</f>
        <v/>
      </c>
      <c r="E31" s="325" t="str">
        <f ca="1">IF($A31="","",VLOOKUP($A31,JOURNAL!$C$5:$I$277,3,0))</f>
        <v/>
      </c>
    </row>
    <row r="32" spans="1:25" ht="14.25" customHeight="1" x14ac:dyDescent="0.2">
      <c r="A32" s="328" t="s">
        <v>16</v>
      </c>
      <c r="B32" s="329"/>
      <c r="C32" s="329"/>
      <c r="D32" s="330"/>
      <c r="E32" s="331">
        <f ca="1">SUM(E25:E31)</f>
        <v>0</v>
      </c>
      <c r="F32" s="338"/>
      <c r="G32" s="338"/>
      <c r="H32" s="338"/>
      <c r="I32" s="338"/>
      <c r="J32" s="338"/>
      <c r="K32" s="338"/>
      <c r="L32" s="338"/>
      <c r="M32" s="338"/>
      <c r="N32" s="338"/>
      <c r="O32" s="338"/>
      <c r="P32" s="338"/>
      <c r="Q32" s="338"/>
      <c r="R32" s="338"/>
      <c r="S32" s="338"/>
      <c r="T32" s="338"/>
      <c r="U32" s="338"/>
      <c r="V32" s="338"/>
      <c r="W32" s="338"/>
      <c r="X32" s="338"/>
      <c r="Y32" s="338"/>
    </row>
    <row r="33" spans="1:25" ht="14.25" customHeight="1" x14ac:dyDescent="0.2">
      <c r="A33" s="346" t="s">
        <v>206</v>
      </c>
      <c r="B33" s="347"/>
      <c r="C33" s="347"/>
      <c r="D33" s="347"/>
      <c r="E33" s="348"/>
    </row>
    <row r="34" spans="1:25" ht="14.25" customHeight="1" x14ac:dyDescent="0.2">
      <c r="A34" s="321" t="s">
        <v>3</v>
      </c>
      <c r="B34" s="342" t="s">
        <v>7</v>
      </c>
      <c r="C34" s="342" t="s">
        <v>4</v>
      </c>
      <c r="D34" s="343" t="s">
        <v>6</v>
      </c>
      <c r="E34" s="325" t="s">
        <v>5</v>
      </c>
    </row>
    <row r="35" spans="1:25" ht="14.25" customHeight="1" x14ac:dyDescent="0.2">
      <c r="A35" s="344" t="str">
        <f>IF(ISNA(VLOOKUP($A$1&amp;" / "&amp;$A$33,JOURNAL!$B$5:$I$277,2,0)),"",VLOOKUP($A$1&amp;" / "&amp;$A$33,JOURNAL!$B$5:$I$277,2,0))</f>
        <v/>
      </c>
      <c r="B35" s="342" t="str">
        <f>IF($A35="","",VLOOKUP($A35,JOURNAL!$C$5:$I$277,5,0))</f>
        <v/>
      </c>
      <c r="C35" s="345" t="str">
        <f>IF($A35="","",VLOOKUP($A35,JOURNAL!$C$5:$I$277,2,0))</f>
        <v/>
      </c>
      <c r="D35" s="342" t="str">
        <f>IF($A35="","",VLOOKUP($A35,JOURNAL!$C$5:$I$277,4,0))</f>
        <v/>
      </c>
      <c r="E35" s="325" t="str">
        <f>IF($A35="","",VLOOKUP($A35,JOURNAL!$C$5:$I$277,3,0))</f>
        <v/>
      </c>
    </row>
    <row r="36" spans="1:25" ht="14.25" customHeight="1" x14ac:dyDescent="0.2">
      <c r="A36" s="344" t="str">
        <f t="shared" ref="A36:A41" ca="1" si="1">IF(A35="","",IF(ISNA(VLOOKUP($A$1&amp;" / "&amp;$A$33,INDIRECT(ADDRESS(A35+4,1,1,,"JOURNAL")&amp;":G500"),2,0)),"",VLOOKUP($A$1&amp;" / "&amp;$A$33,INDIRECT(ADDRESS(A35+4,1,1,,"JOURNAL")&amp;":G500"),2,0)))</f>
        <v/>
      </c>
      <c r="B36" s="342" t="str">
        <f ca="1">IF($A36="","",VLOOKUP($A36,JOURNAL!$C$5:$I$277,5,0))</f>
        <v/>
      </c>
      <c r="C36" s="345" t="str">
        <f ca="1">IF($A36="","",VLOOKUP($A36,JOURNAL!$C$5:$I$277,2,0))</f>
        <v/>
      </c>
      <c r="D36" s="342" t="str">
        <f ca="1">IF($A36="","",VLOOKUP($A36,JOURNAL!$C$5:$I$277,4,0))</f>
        <v/>
      </c>
      <c r="E36" s="325" t="str">
        <f ca="1">IF($A36="","",VLOOKUP($A36,JOURNAL!$C$5:$I$277,3,0))</f>
        <v/>
      </c>
    </row>
    <row r="37" spans="1:25" ht="14.25" customHeight="1" x14ac:dyDescent="0.2">
      <c r="A37" s="344" t="str">
        <f t="shared" ca="1" si="1"/>
        <v/>
      </c>
      <c r="B37" s="342" t="str">
        <f ca="1">IF($A37="","",VLOOKUP($A37,JOURNAL!$C$5:$I$277,5,0))</f>
        <v/>
      </c>
      <c r="C37" s="345" t="str">
        <f ca="1">IF($A37="","",VLOOKUP($A37,JOURNAL!$C$5:$I$277,2,0))</f>
        <v/>
      </c>
      <c r="D37" s="342" t="str">
        <f ca="1">IF($A37="","",VLOOKUP($A37,JOURNAL!$C$5:$I$277,4,0))</f>
        <v/>
      </c>
      <c r="E37" s="325" t="str">
        <f ca="1">IF($A37="","",VLOOKUP($A37,JOURNAL!$C$5:$I$277,3,0))</f>
        <v/>
      </c>
    </row>
    <row r="38" spans="1:25" ht="14.25" customHeight="1" x14ac:dyDescent="0.2">
      <c r="A38" s="344" t="str">
        <f t="shared" ca="1" si="1"/>
        <v/>
      </c>
      <c r="B38" s="342" t="str">
        <f ca="1">IF($A38="","",VLOOKUP($A38,JOURNAL!$C$5:$I$277,5,0))</f>
        <v/>
      </c>
      <c r="C38" s="345" t="str">
        <f ca="1">IF($A38="","",VLOOKUP($A38,JOURNAL!$C$5:$I$277,2,0))</f>
        <v/>
      </c>
      <c r="D38" s="342" t="str">
        <f ca="1">IF($A38="","",VLOOKUP($A38,JOURNAL!$C$5:$I$277,4,0))</f>
        <v/>
      </c>
      <c r="E38" s="325" t="str">
        <f ca="1">IF($A38="","",VLOOKUP($A38,JOURNAL!$C$5:$I$277,3,0))</f>
        <v/>
      </c>
    </row>
    <row r="39" spans="1:25" ht="14.25" customHeight="1" x14ac:dyDescent="0.2">
      <c r="A39" s="344" t="str">
        <f t="shared" ca="1" si="1"/>
        <v/>
      </c>
      <c r="B39" s="342" t="str">
        <f ca="1">IF($A39="","",VLOOKUP($A39,JOURNAL!$C$5:$I$277,5,0))</f>
        <v/>
      </c>
      <c r="C39" s="345" t="str">
        <f ca="1">IF($A39="","",VLOOKUP($A39,JOURNAL!$C$5:$I$277,2,0))</f>
        <v/>
      </c>
      <c r="D39" s="342" t="str">
        <f ca="1">IF($A39="","",VLOOKUP($A39,JOURNAL!$C$5:$I$277,4,0))</f>
        <v/>
      </c>
      <c r="E39" s="325" t="str">
        <f ca="1">IF($A39="","",VLOOKUP($A39,JOURNAL!$C$5:$I$277,3,0))</f>
        <v/>
      </c>
    </row>
    <row r="40" spans="1:25" ht="14.25" customHeight="1" x14ac:dyDescent="0.2">
      <c r="A40" s="344" t="str">
        <f t="shared" ca="1" si="1"/>
        <v/>
      </c>
      <c r="B40" s="342" t="str">
        <f ca="1">IF($A40="","",VLOOKUP($A40,JOURNAL!$C$5:$I$277,5,0))</f>
        <v/>
      </c>
      <c r="C40" s="345" t="str">
        <f ca="1">IF($A40="","",VLOOKUP($A40,JOURNAL!$C$5:$I$277,2,0))</f>
        <v/>
      </c>
      <c r="D40" s="342" t="str">
        <f ca="1">IF($A40="","",VLOOKUP($A40,JOURNAL!$C$5:$I$277,4,0))</f>
        <v/>
      </c>
      <c r="E40" s="325" t="str">
        <f ca="1">IF($A40="","",VLOOKUP($A40,JOURNAL!$C$5:$I$277,3,0))</f>
        <v/>
      </c>
    </row>
    <row r="41" spans="1:25" ht="14.25" customHeight="1" x14ac:dyDescent="0.2">
      <c r="A41" s="344" t="str">
        <f t="shared" ca="1" si="1"/>
        <v/>
      </c>
      <c r="B41" s="342" t="str">
        <f ca="1">IF($A41="","",VLOOKUP($A41,JOURNAL!$C$5:$I$277,5,0))</f>
        <v/>
      </c>
      <c r="C41" s="345" t="str">
        <f ca="1">IF($A41="","",VLOOKUP($A41,JOURNAL!$C$5:$I$277,2,0))</f>
        <v/>
      </c>
      <c r="D41" s="342" t="str">
        <f ca="1">IF($A41="","",VLOOKUP($A41,JOURNAL!$C$5:$I$277,4,0))</f>
        <v/>
      </c>
      <c r="E41" s="325" t="str">
        <f ca="1">IF($A41="","",VLOOKUP($A41,JOURNAL!$C$5:$I$277,3,0))</f>
        <v/>
      </c>
    </row>
    <row r="42" spans="1:25" ht="14.25" customHeight="1" x14ac:dyDescent="0.2">
      <c r="A42" s="328" t="s">
        <v>16</v>
      </c>
      <c r="B42" s="329"/>
      <c r="C42" s="329"/>
      <c r="D42" s="330"/>
      <c r="E42" s="331">
        <f ca="1">SUM(E35:E41)</f>
        <v>0</v>
      </c>
      <c r="F42" s="338"/>
      <c r="G42" s="338"/>
      <c r="H42" s="338"/>
      <c r="I42" s="338"/>
      <c r="J42" s="338"/>
      <c r="K42" s="338"/>
      <c r="L42" s="338"/>
      <c r="M42" s="338"/>
      <c r="N42" s="338"/>
      <c r="O42" s="338"/>
      <c r="P42" s="338"/>
      <c r="Q42" s="338"/>
      <c r="R42" s="338"/>
      <c r="S42" s="338"/>
      <c r="T42" s="338"/>
      <c r="U42" s="338"/>
      <c r="V42" s="338"/>
      <c r="W42" s="338"/>
      <c r="X42" s="338"/>
      <c r="Y42" s="338"/>
    </row>
    <row r="43" spans="1:25" ht="14.25" customHeight="1" x14ac:dyDescent="0.2">
      <c r="A43" s="316"/>
      <c r="E43" s="317"/>
    </row>
    <row r="44" spans="1:25" ht="14.25" customHeight="1" x14ac:dyDescent="0.2">
      <c r="A44" s="316"/>
      <c r="E44" s="317"/>
    </row>
    <row r="45" spans="1:25" ht="14.25" customHeight="1" x14ac:dyDescent="0.2">
      <c r="A45" s="316"/>
      <c r="E45" s="317"/>
    </row>
    <row r="46" spans="1:25" ht="14.25" customHeight="1" x14ac:dyDescent="0.2">
      <c r="A46" s="316"/>
      <c r="E46" s="317"/>
    </row>
    <row r="47" spans="1:25" ht="14.25" customHeight="1" x14ac:dyDescent="0.2">
      <c r="A47" s="316"/>
      <c r="E47" s="317"/>
    </row>
    <row r="48" spans="1:25" ht="14.25" customHeight="1" x14ac:dyDescent="0.2">
      <c r="A48" s="316"/>
      <c r="E48" s="317"/>
    </row>
    <row r="49" spans="1:5" ht="14.25" customHeight="1" x14ac:dyDescent="0.2">
      <c r="A49" s="316"/>
      <c r="E49" s="317"/>
    </row>
    <row r="50" spans="1:5" ht="14.25" customHeight="1" x14ac:dyDescent="0.2">
      <c r="A50" s="316"/>
      <c r="E50" s="317"/>
    </row>
    <row r="51" spans="1:5" ht="14.25" customHeight="1" x14ac:dyDescent="0.2">
      <c r="A51" s="316"/>
      <c r="E51" s="317"/>
    </row>
    <row r="52" spans="1:5" ht="14.25" customHeight="1" x14ac:dyDescent="0.2">
      <c r="A52" s="316"/>
      <c r="E52" s="317"/>
    </row>
    <row r="53" spans="1:5" ht="14.25" customHeight="1" x14ac:dyDescent="0.2">
      <c r="A53" s="316"/>
      <c r="E53" s="317"/>
    </row>
    <row r="54" spans="1:5" ht="14.25" customHeight="1" x14ac:dyDescent="0.2">
      <c r="A54" s="316"/>
      <c r="E54" s="317"/>
    </row>
    <row r="55" spans="1:5" ht="14.25" customHeight="1" x14ac:dyDescent="0.2">
      <c r="A55" s="316"/>
      <c r="E55" s="317"/>
    </row>
    <row r="56" spans="1:5" ht="14.25" customHeight="1" x14ac:dyDescent="0.2">
      <c r="A56" s="316"/>
      <c r="E56" s="317"/>
    </row>
    <row r="57" spans="1:5" ht="14.25" customHeight="1" x14ac:dyDescent="0.2">
      <c r="A57" s="316"/>
      <c r="E57" s="317"/>
    </row>
    <row r="58" spans="1:5" ht="14.25" customHeight="1" x14ac:dyDescent="0.2">
      <c r="A58" s="316"/>
      <c r="E58" s="317"/>
    </row>
    <row r="59" spans="1:5" ht="14.25" customHeight="1" x14ac:dyDescent="0.2">
      <c r="A59" s="316"/>
      <c r="E59" s="317"/>
    </row>
    <row r="60" spans="1:5" ht="14.25" customHeight="1" x14ac:dyDescent="0.2">
      <c r="A60" s="316"/>
      <c r="E60" s="317"/>
    </row>
    <row r="61" spans="1:5" ht="14.25" customHeight="1" x14ac:dyDescent="0.2">
      <c r="A61" s="316"/>
      <c r="E61" s="317"/>
    </row>
    <row r="62" spans="1:5" ht="14.25" customHeight="1" x14ac:dyDescent="0.2">
      <c r="A62" s="316"/>
      <c r="E62" s="317"/>
    </row>
    <row r="63" spans="1:5" ht="14.25" customHeight="1" x14ac:dyDescent="0.2">
      <c r="A63" s="316"/>
      <c r="E63" s="317"/>
    </row>
    <row r="64" spans="1:5" ht="14.25" customHeight="1" x14ac:dyDescent="0.2">
      <c r="A64" s="316"/>
      <c r="E64" s="317"/>
    </row>
    <row r="65" spans="1:5" ht="14.25" customHeight="1" x14ac:dyDescent="0.2">
      <c r="A65" s="316"/>
      <c r="E65" s="317"/>
    </row>
    <row r="66" spans="1:5" ht="14.25" customHeight="1" x14ac:dyDescent="0.2">
      <c r="A66" s="316"/>
      <c r="E66" s="317"/>
    </row>
    <row r="67" spans="1:5" ht="14.25" customHeight="1" x14ac:dyDescent="0.2">
      <c r="A67" s="316"/>
      <c r="E67" s="317"/>
    </row>
    <row r="68" spans="1:5" ht="14.25" customHeight="1" x14ac:dyDescent="0.2">
      <c r="A68" s="316"/>
      <c r="E68" s="317"/>
    </row>
    <row r="69" spans="1:5" ht="14.25" customHeight="1" x14ac:dyDescent="0.2">
      <c r="A69" s="316"/>
      <c r="E69" s="317"/>
    </row>
    <row r="70" spans="1:5" ht="14.25" customHeight="1" x14ac:dyDescent="0.2">
      <c r="A70" s="316"/>
      <c r="E70" s="317"/>
    </row>
    <row r="71" spans="1:5" ht="14.25" customHeight="1" x14ac:dyDescent="0.2">
      <c r="A71" s="316"/>
      <c r="E71" s="317"/>
    </row>
    <row r="72" spans="1:5" ht="14.25" customHeight="1" x14ac:dyDescent="0.2">
      <c r="A72" s="316"/>
      <c r="E72" s="317"/>
    </row>
    <row r="73" spans="1:5" ht="14.25" customHeight="1" x14ac:dyDescent="0.2">
      <c r="A73" s="316"/>
      <c r="E73" s="317"/>
    </row>
    <row r="74" spans="1:5" ht="14.25" customHeight="1" x14ac:dyDescent="0.2">
      <c r="A74" s="316"/>
      <c r="E74" s="317"/>
    </row>
    <row r="75" spans="1:5" ht="14.25" customHeight="1" x14ac:dyDescent="0.2">
      <c r="A75" s="316"/>
      <c r="E75" s="317"/>
    </row>
    <row r="76" spans="1:5" ht="14.25" customHeight="1" x14ac:dyDescent="0.2">
      <c r="A76" s="316"/>
      <c r="E76" s="317"/>
    </row>
    <row r="77" spans="1:5" ht="14.25" customHeight="1" x14ac:dyDescent="0.2">
      <c r="A77" s="316"/>
      <c r="E77" s="317"/>
    </row>
    <row r="78" spans="1:5" ht="14.25" customHeight="1" x14ac:dyDescent="0.2">
      <c r="A78" s="316"/>
      <c r="E78" s="317"/>
    </row>
    <row r="79" spans="1:5" ht="14.25" customHeight="1" x14ac:dyDescent="0.2">
      <c r="A79" s="316"/>
      <c r="E79" s="317"/>
    </row>
    <row r="80" spans="1:5" ht="14.25" customHeight="1" x14ac:dyDescent="0.2">
      <c r="A80" s="316"/>
      <c r="E80" s="317"/>
    </row>
    <row r="81" spans="1:5" ht="14.25" customHeight="1" x14ac:dyDescent="0.2">
      <c r="A81" s="316"/>
      <c r="E81" s="317"/>
    </row>
    <row r="82" spans="1:5" ht="14.25" customHeight="1" x14ac:dyDescent="0.2">
      <c r="A82" s="316"/>
      <c r="E82" s="317"/>
    </row>
    <row r="83" spans="1:5" ht="14.25" customHeight="1" x14ac:dyDescent="0.2">
      <c r="A83" s="316"/>
      <c r="E83" s="317"/>
    </row>
    <row r="84" spans="1:5" ht="14.25" customHeight="1" x14ac:dyDescent="0.2">
      <c r="A84" s="316"/>
      <c r="E84" s="317"/>
    </row>
    <row r="85" spans="1:5" ht="14.25" customHeight="1" x14ac:dyDescent="0.2">
      <c r="A85" s="316"/>
      <c r="E85" s="317"/>
    </row>
    <row r="86" spans="1:5" ht="14.25" customHeight="1" x14ac:dyDescent="0.2">
      <c r="A86" s="316"/>
      <c r="E86" s="317"/>
    </row>
    <row r="87" spans="1:5" ht="14.25" customHeight="1" x14ac:dyDescent="0.2">
      <c r="A87" s="316"/>
      <c r="E87" s="317"/>
    </row>
    <row r="88" spans="1:5" ht="14.25" customHeight="1" x14ac:dyDescent="0.2">
      <c r="A88" s="316"/>
      <c r="E88" s="317"/>
    </row>
    <row r="89" spans="1:5" ht="14.25" customHeight="1" x14ac:dyDescent="0.2">
      <c r="A89" s="316"/>
      <c r="E89" s="317"/>
    </row>
    <row r="90" spans="1:5" ht="14.25" customHeight="1" x14ac:dyDescent="0.2">
      <c r="A90" s="316"/>
      <c r="E90" s="317"/>
    </row>
    <row r="91" spans="1:5" ht="14.25" customHeight="1" x14ac:dyDescent="0.2">
      <c r="A91" s="316"/>
      <c r="E91" s="317"/>
    </row>
    <row r="92" spans="1:5" ht="14.25" customHeight="1" x14ac:dyDescent="0.2">
      <c r="A92" s="316"/>
      <c r="E92" s="317"/>
    </row>
    <row r="93" spans="1:5" ht="14.25" customHeight="1" x14ac:dyDescent="0.2">
      <c r="A93" s="316"/>
      <c r="E93" s="317"/>
    </row>
    <row r="94" spans="1:5" ht="14.25" customHeight="1" x14ac:dyDescent="0.2">
      <c r="A94" s="316"/>
      <c r="E94" s="317"/>
    </row>
    <row r="95" spans="1:5" ht="14.25" customHeight="1" x14ac:dyDescent="0.2">
      <c r="A95" s="316"/>
      <c r="E95" s="317"/>
    </row>
    <row r="96" spans="1:5" ht="14.25" customHeight="1" x14ac:dyDescent="0.2">
      <c r="A96" s="316"/>
      <c r="E96" s="317"/>
    </row>
    <row r="97" spans="1:5" ht="14.25" customHeight="1" x14ac:dyDescent="0.2">
      <c r="A97" s="316"/>
      <c r="E97" s="317"/>
    </row>
    <row r="98" spans="1:5" ht="14.25" customHeight="1" x14ac:dyDescent="0.2">
      <c r="A98" s="316"/>
      <c r="E98" s="317"/>
    </row>
    <row r="99" spans="1:5" ht="14.25" customHeight="1" x14ac:dyDescent="0.2">
      <c r="A99" s="316"/>
      <c r="E99" s="317"/>
    </row>
    <row r="100" spans="1:5" ht="14.25" customHeight="1" x14ac:dyDescent="0.2">
      <c r="A100" s="316"/>
      <c r="E100" s="317"/>
    </row>
    <row r="101" spans="1:5" ht="14.25" customHeight="1" x14ac:dyDescent="0.2">
      <c r="A101" s="316"/>
      <c r="E101" s="317"/>
    </row>
    <row r="102" spans="1:5" ht="14.25" customHeight="1" x14ac:dyDescent="0.2">
      <c r="A102" s="316"/>
      <c r="E102" s="317"/>
    </row>
    <row r="103" spans="1:5" ht="14.25" customHeight="1" x14ac:dyDescent="0.2">
      <c r="A103" s="316"/>
      <c r="E103" s="317"/>
    </row>
    <row r="104" spans="1:5" ht="14.25" customHeight="1" x14ac:dyDescent="0.2">
      <c r="A104" s="316"/>
      <c r="E104" s="317"/>
    </row>
    <row r="105" spans="1:5" ht="14.25" customHeight="1" x14ac:dyDescent="0.2">
      <c r="A105" s="316"/>
      <c r="E105" s="317"/>
    </row>
    <row r="106" spans="1:5" ht="14.25" customHeight="1" x14ac:dyDescent="0.2">
      <c r="A106" s="316"/>
      <c r="E106" s="317"/>
    </row>
    <row r="107" spans="1:5" ht="14.25" customHeight="1" x14ac:dyDescent="0.2">
      <c r="A107" s="316"/>
      <c r="E107" s="317"/>
    </row>
    <row r="108" spans="1:5" ht="14.25" customHeight="1" x14ac:dyDescent="0.2">
      <c r="A108" s="316"/>
      <c r="E108" s="317"/>
    </row>
    <row r="109" spans="1:5" ht="14.25" customHeight="1" x14ac:dyDescent="0.2">
      <c r="A109" s="316"/>
      <c r="E109" s="317"/>
    </row>
    <row r="110" spans="1:5" ht="14.25" customHeight="1" x14ac:dyDescent="0.2">
      <c r="A110" s="316"/>
      <c r="E110" s="317"/>
    </row>
    <row r="111" spans="1:5" ht="14.25" customHeight="1" x14ac:dyDescent="0.2">
      <c r="A111" s="316"/>
      <c r="E111" s="317"/>
    </row>
    <row r="112" spans="1:5" ht="14.25" customHeight="1" x14ac:dyDescent="0.2">
      <c r="A112" s="316"/>
      <c r="E112" s="317"/>
    </row>
    <row r="113" spans="1:5" ht="14.25" customHeight="1" x14ac:dyDescent="0.2">
      <c r="A113" s="316"/>
      <c r="E113" s="317"/>
    </row>
    <row r="114" spans="1:5" ht="14.25" customHeight="1" x14ac:dyDescent="0.2">
      <c r="A114" s="316"/>
      <c r="E114" s="317"/>
    </row>
    <row r="115" spans="1:5" ht="14.25" customHeight="1" x14ac:dyDescent="0.2">
      <c r="A115" s="316"/>
      <c r="E115" s="317"/>
    </row>
    <row r="116" spans="1:5" ht="14.25" customHeight="1" x14ac:dyDescent="0.2">
      <c r="A116" s="316"/>
      <c r="E116" s="317"/>
    </row>
    <row r="117" spans="1:5" ht="14.25" customHeight="1" x14ac:dyDescent="0.2">
      <c r="A117" s="316"/>
      <c r="E117" s="317"/>
    </row>
    <row r="118" spans="1:5" ht="14.25" customHeight="1" x14ac:dyDescent="0.2">
      <c r="A118" s="316"/>
      <c r="E118" s="317"/>
    </row>
    <row r="119" spans="1:5" ht="14.25" customHeight="1" x14ac:dyDescent="0.2">
      <c r="A119" s="316"/>
      <c r="E119" s="317"/>
    </row>
    <row r="120" spans="1:5" ht="14.25" customHeight="1" x14ac:dyDescent="0.2">
      <c r="A120" s="316"/>
      <c r="E120" s="317"/>
    </row>
    <row r="121" spans="1:5" ht="14.25" customHeight="1" x14ac:dyDescent="0.2">
      <c r="A121" s="316"/>
      <c r="E121" s="317"/>
    </row>
    <row r="122" spans="1:5" ht="14.25" customHeight="1" x14ac:dyDescent="0.2">
      <c r="A122" s="316"/>
      <c r="E122" s="317"/>
    </row>
    <row r="123" spans="1:5" ht="14.25" customHeight="1" x14ac:dyDescent="0.2">
      <c r="A123" s="316"/>
      <c r="E123" s="317"/>
    </row>
    <row r="124" spans="1:5" ht="14.25" customHeight="1" x14ac:dyDescent="0.2">
      <c r="A124" s="316"/>
      <c r="E124" s="317"/>
    </row>
    <row r="125" spans="1:5" ht="14.25" customHeight="1" x14ac:dyDescent="0.2">
      <c r="A125" s="316"/>
      <c r="E125" s="317"/>
    </row>
    <row r="126" spans="1:5" ht="14.25" customHeight="1" x14ac:dyDescent="0.2">
      <c r="A126" s="316"/>
      <c r="E126" s="317"/>
    </row>
    <row r="127" spans="1:5" ht="14.25" customHeight="1" x14ac:dyDescent="0.2">
      <c r="A127" s="316"/>
      <c r="E127" s="317"/>
    </row>
    <row r="128" spans="1:5" ht="14.25" customHeight="1" x14ac:dyDescent="0.2">
      <c r="A128" s="316"/>
      <c r="E128" s="317"/>
    </row>
    <row r="129" spans="1:5" ht="14.25" customHeight="1" x14ac:dyDescent="0.2">
      <c r="A129" s="316"/>
      <c r="E129" s="317"/>
    </row>
    <row r="130" spans="1:5" ht="14.25" customHeight="1" x14ac:dyDescent="0.2">
      <c r="A130" s="316"/>
      <c r="E130" s="317"/>
    </row>
    <row r="131" spans="1:5" ht="14.25" customHeight="1" x14ac:dyDescent="0.2">
      <c r="A131" s="316"/>
      <c r="E131" s="317"/>
    </row>
    <row r="132" spans="1:5" ht="14.25" customHeight="1" x14ac:dyDescent="0.2">
      <c r="A132" s="316"/>
      <c r="E132" s="317"/>
    </row>
    <row r="133" spans="1:5" ht="14.25" customHeight="1" x14ac:dyDescent="0.2">
      <c r="A133" s="316"/>
      <c r="E133" s="317"/>
    </row>
    <row r="134" spans="1:5" ht="14.25" customHeight="1" x14ac:dyDescent="0.2">
      <c r="A134" s="316"/>
      <c r="E134" s="317"/>
    </row>
    <row r="135" spans="1:5" ht="14.25" customHeight="1" x14ac:dyDescent="0.2">
      <c r="A135" s="316"/>
      <c r="E135" s="317"/>
    </row>
    <row r="136" spans="1:5" ht="14.25" customHeight="1" x14ac:dyDescent="0.2">
      <c r="A136" s="316"/>
      <c r="E136" s="317"/>
    </row>
    <row r="137" spans="1:5" ht="14.25" customHeight="1" x14ac:dyDescent="0.2">
      <c r="A137" s="316"/>
      <c r="E137" s="317"/>
    </row>
    <row r="138" spans="1:5" ht="14.25" customHeight="1" x14ac:dyDescent="0.2">
      <c r="A138" s="316"/>
      <c r="E138" s="317"/>
    </row>
    <row r="139" spans="1:5" ht="14.25" customHeight="1" x14ac:dyDescent="0.2">
      <c r="A139" s="316"/>
      <c r="E139" s="317"/>
    </row>
    <row r="140" spans="1:5" ht="14.25" customHeight="1" x14ac:dyDescent="0.2">
      <c r="A140" s="316"/>
      <c r="E140" s="317"/>
    </row>
    <row r="141" spans="1:5" ht="14.25" customHeight="1" x14ac:dyDescent="0.2">
      <c r="A141" s="316"/>
      <c r="E141" s="317"/>
    </row>
    <row r="142" spans="1:5" ht="14.25" customHeight="1" x14ac:dyDescent="0.2">
      <c r="A142" s="316"/>
      <c r="E142" s="317"/>
    </row>
    <row r="143" spans="1:5" ht="14.25" customHeight="1" x14ac:dyDescent="0.2">
      <c r="A143" s="316"/>
      <c r="E143" s="317"/>
    </row>
    <row r="144" spans="1:5" ht="14.25" customHeight="1" x14ac:dyDescent="0.2">
      <c r="A144" s="316"/>
      <c r="E144" s="317"/>
    </row>
    <row r="145" spans="1:5" ht="14.25" customHeight="1" x14ac:dyDescent="0.2">
      <c r="A145" s="316"/>
      <c r="E145" s="317"/>
    </row>
    <row r="146" spans="1:5" ht="14.25" customHeight="1" x14ac:dyDescent="0.2">
      <c r="A146" s="316"/>
      <c r="E146" s="317"/>
    </row>
    <row r="147" spans="1:5" ht="14.25" customHeight="1" x14ac:dyDescent="0.2">
      <c r="A147" s="316"/>
      <c r="E147" s="317"/>
    </row>
    <row r="148" spans="1:5" ht="14.25" customHeight="1" x14ac:dyDescent="0.2">
      <c r="A148" s="316"/>
      <c r="E148" s="317"/>
    </row>
    <row r="149" spans="1:5" ht="14.25" customHeight="1" x14ac:dyDescent="0.2">
      <c r="A149" s="316"/>
      <c r="E149" s="317"/>
    </row>
    <row r="150" spans="1:5" ht="14.25" customHeight="1" x14ac:dyDescent="0.2">
      <c r="A150" s="316"/>
      <c r="E150" s="317"/>
    </row>
    <row r="151" spans="1:5" ht="14.25" customHeight="1" x14ac:dyDescent="0.2">
      <c r="A151" s="316"/>
      <c r="E151" s="317"/>
    </row>
    <row r="152" spans="1:5" ht="14.25" customHeight="1" x14ac:dyDescent="0.2">
      <c r="A152" s="316"/>
      <c r="E152" s="317"/>
    </row>
    <row r="153" spans="1:5" ht="14.25" customHeight="1" x14ac:dyDescent="0.2">
      <c r="A153" s="316"/>
      <c r="E153" s="317"/>
    </row>
    <row r="154" spans="1:5" ht="14.25" customHeight="1" x14ac:dyDescent="0.2">
      <c r="A154" s="316"/>
      <c r="E154" s="317"/>
    </row>
    <row r="155" spans="1:5" ht="14.25" customHeight="1" x14ac:dyDescent="0.2">
      <c r="A155" s="316"/>
      <c r="E155" s="317"/>
    </row>
    <row r="156" spans="1:5" ht="14.25" customHeight="1" x14ac:dyDescent="0.2">
      <c r="A156" s="316"/>
      <c r="E156" s="317"/>
    </row>
    <row r="157" spans="1:5" ht="14.25" customHeight="1" x14ac:dyDescent="0.2">
      <c r="A157" s="316"/>
      <c r="E157" s="317"/>
    </row>
    <row r="158" spans="1:5" ht="14.25" customHeight="1" x14ac:dyDescent="0.2">
      <c r="A158" s="316"/>
      <c r="E158" s="317"/>
    </row>
    <row r="159" spans="1:5" ht="14.25" customHeight="1" x14ac:dyDescent="0.2">
      <c r="A159" s="316"/>
      <c r="E159" s="317"/>
    </row>
    <row r="160" spans="1:5" ht="14.25" customHeight="1" x14ac:dyDescent="0.2">
      <c r="A160" s="316"/>
      <c r="E160" s="317"/>
    </row>
    <row r="161" spans="1:5" ht="14.25" customHeight="1" x14ac:dyDescent="0.2">
      <c r="A161" s="316"/>
      <c r="E161" s="317"/>
    </row>
    <row r="162" spans="1:5" ht="14.25" customHeight="1" x14ac:dyDescent="0.2">
      <c r="A162" s="316"/>
      <c r="E162" s="317"/>
    </row>
    <row r="163" spans="1:5" ht="14.25" customHeight="1" x14ac:dyDescent="0.2">
      <c r="A163" s="316"/>
      <c r="E163" s="317"/>
    </row>
    <row r="164" spans="1:5" ht="14.25" customHeight="1" x14ac:dyDescent="0.2">
      <c r="A164" s="316"/>
      <c r="E164" s="317"/>
    </row>
    <row r="165" spans="1:5" ht="14.25" customHeight="1" x14ac:dyDescent="0.2">
      <c r="A165" s="316"/>
      <c r="E165" s="317"/>
    </row>
    <row r="166" spans="1:5" ht="14.25" customHeight="1" x14ac:dyDescent="0.2">
      <c r="A166" s="316"/>
      <c r="E166" s="317"/>
    </row>
    <row r="167" spans="1:5" ht="14.25" customHeight="1" x14ac:dyDescent="0.2">
      <c r="A167" s="316"/>
      <c r="E167" s="317"/>
    </row>
    <row r="168" spans="1:5" ht="14.25" customHeight="1" x14ac:dyDescent="0.2">
      <c r="A168" s="316"/>
      <c r="E168" s="317"/>
    </row>
    <row r="169" spans="1:5" ht="14.25" customHeight="1" x14ac:dyDescent="0.2">
      <c r="A169" s="316"/>
      <c r="E169" s="317"/>
    </row>
    <row r="170" spans="1:5" ht="14.25" customHeight="1" x14ac:dyDescent="0.2">
      <c r="A170" s="316"/>
      <c r="E170" s="317"/>
    </row>
    <row r="171" spans="1:5" ht="14.25" customHeight="1" x14ac:dyDescent="0.2">
      <c r="A171" s="316"/>
      <c r="E171" s="317"/>
    </row>
    <row r="172" spans="1:5" ht="14.25" customHeight="1" x14ac:dyDescent="0.2">
      <c r="A172" s="316"/>
      <c r="E172" s="317"/>
    </row>
    <row r="173" spans="1:5" ht="14.25" customHeight="1" x14ac:dyDescent="0.2">
      <c r="A173" s="316"/>
      <c r="E173" s="317"/>
    </row>
    <row r="174" spans="1:5" ht="14.25" customHeight="1" x14ac:dyDescent="0.2">
      <c r="A174" s="316"/>
      <c r="E174" s="317"/>
    </row>
    <row r="175" spans="1:5" ht="14.25" customHeight="1" x14ac:dyDescent="0.2">
      <c r="A175" s="316"/>
      <c r="E175" s="317"/>
    </row>
    <row r="176" spans="1:5" ht="14.25" customHeight="1" x14ac:dyDescent="0.2">
      <c r="A176" s="316"/>
      <c r="E176" s="317"/>
    </row>
    <row r="177" spans="1:5" ht="14.25" customHeight="1" x14ac:dyDescent="0.2">
      <c r="A177" s="316"/>
      <c r="E177" s="317"/>
    </row>
    <row r="178" spans="1:5" ht="14.25" customHeight="1" x14ac:dyDescent="0.2">
      <c r="A178" s="316"/>
      <c r="E178" s="317"/>
    </row>
    <row r="179" spans="1:5" ht="14.25" customHeight="1" x14ac:dyDescent="0.2">
      <c r="A179" s="316"/>
      <c r="E179" s="317"/>
    </row>
    <row r="180" spans="1:5" ht="14.25" customHeight="1" x14ac:dyDescent="0.2">
      <c r="A180" s="316"/>
      <c r="E180" s="317"/>
    </row>
    <row r="181" spans="1:5" ht="14.25" customHeight="1" x14ac:dyDescent="0.2">
      <c r="A181" s="316"/>
      <c r="E181" s="317"/>
    </row>
    <row r="182" spans="1:5" ht="14.25" customHeight="1" x14ac:dyDescent="0.2">
      <c r="A182" s="316"/>
      <c r="E182" s="317"/>
    </row>
    <row r="183" spans="1:5" ht="14.25" customHeight="1" x14ac:dyDescent="0.2">
      <c r="A183" s="316"/>
      <c r="E183" s="317"/>
    </row>
    <row r="184" spans="1:5" ht="14.25" customHeight="1" x14ac:dyDescent="0.2">
      <c r="A184" s="316"/>
      <c r="E184" s="317"/>
    </row>
    <row r="185" spans="1:5" ht="14.25" customHeight="1" x14ac:dyDescent="0.2">
      <c r="A185" s="316"/>
      <c r="E185" s="317"/>
    </row>
    <row r="186" spans="1:5" ht="14.25" customHeight="1" x14ac:dyDescent="0.2">
      <c r="A186" s="316"/>
      <c r="E186" s="317"/>
    </row>
    <row r="187" spans="1:5" ht="14.25" customHeight="1" x14ac:dyDescent="0.2">
      <c r="A187" s="316"/>
      <c r="E187" s="317"/>
    </row>
    <row r="188" spans="1:5" ht="14.25" customHeight="1" x14ac:dyDescent="0.2">
      <c r="A188" s="316"/>
      <c r="E188" s="317"/>
    </row>
    <row r="189" spans="1:5" ht="14.25" customHeight="1" x14ac:dyDescent="0.2">
      <c r="A189" s="316"/>
      <c r="E189" s="317"/>
    </row>
    <row r="190" spans="1:5" ht="14.25" customHeight="1" x14ac:dyDescent="0.2">
      <c r="A190" s="316"/>
      <c r="E190" s="317"/>
    </row>
    <row r="191" spans="1:5" ht="14.25" customHeight="1" x14ac:dyDescent="0.2">
      <c r="A191" s="316"/>
      <c r="E191" s="317"/>
    </row>
    <row r="192" spans="1:5" ht="14.25" customHeight="1" x14ac:dyDescent="0.2">
      <c r="A192" s="316"/>
      <c r="E192" s="317"/>
    </row>
    <row r="193" spans="1:5" ht="14.25" customHeight="1" x14ac:dyDescent="0.2">
      <c r="A193" s="316"/>
      <c r="E193" s="317"/>
    </row>
    <row r="194" spans="1:5" ht="14.25" customHeight="1" x14ac:dyDescent="0.2">
      <c r="A194" s="316"/>
      <c r="E194" s="317"/>
    </row>
    <row r="195" spans="1:5" ht="14.25" customHeight="1" x14ac:dyDescent="0.2">
      <c r="A195" s="316"/>
      <c r="E195" s="317"/>
    </row>
    <row r="196" spans="1:5" ht="14.25" customHeight="1" x14ac:dyDescent="0.2">
      <c r="A196" s="316"/>
      <c r="E196" s="317"/>
    </row>
    <row r="197" spans="1:5" ht="14.25" customHeight="1" x14ac:dyDescent="0.2">
      <c r="A197" s="316"/>
      <c r="E197" s="317"/>
    </row>
    <row r="198" spans="1:5" ht="14.25" customHeight="1" x14ac:dyDescent="0.2">
      <c r="A198" s="316"/>
      <c r="E198" s="317"/>
    </row>
    <row r="199" spans="1:5" ht="14.25" customHeight="1" x14ac:dyDescent="0.2">
      <c r="A199" s="316"/>
      <c r="E199" s="317"/>
    </row>
    <row r="200" spans="1:5" ht="14.25" customHeight="1" x14ac:dyDescent="0.2">
      <c r="A200" s="316"/>
      <c r="E200" s="317"/>
    </row>
    <row r="201" spans="1:5" ht="14.25" customHeight="1" x14ac:dyDescent="0.2">
      <c r="A201" s="316"/>
      <c r="E201" s="317"/>
    </row>
    <row r="202" spans="1:5" ht="14.25" customHeight="1" x14ac:dyDescent="0.2">
      <c r="A202" s="316"/>
      <c r="E202" s="317"/>
    </row>
    <row r="203" spans="1:5" ht="14.25" customHeight="1" x14ac:dyDescent="0.2">
      <c r="A203" s="316"/>
      <c r="E203" s="317"/>
    </row>
    <row r="204" spans="1:5" ht="14.25" customHeight="1" x14ac:dyDescent="0.2">
      <c r="A204" s="316"/>
      <c r="E204" s="317"/>
    </row>
    <row r="205" spans="1:5" ht="14.25" customHeight="1" x14ac:dyDescent="0.2">
      <c r="A205" s="316"/>
      <c r="E205" s="317"/>
    </row>
    <row r="206" spans="1:5" ht="14.25" customHeight="1" x14ac:dyDescent="0.2">
      <c r="A206" s="316"/>
      <c r="E206" s="317"/>
    </row>
    <row r="207" spans="1:5" ht="14.25" customHeight="1" x14ac:dyDescent="0.2">
      <c r="A207" s="316"/>
      <c r="E207" s="317"/>
    </row>
    <row r="208" spans="1:5" ht="14.25" customHeight="1" x14ac:dyDescent="0.2">
      <c r="A208" s="316"/>
      <c r="E208" s="317"/>
    </row>
    <row r="209" spans="1:5" ht="14.25" customHeight="1" x14ac:dyDescent="0.2">
      <c r="A209" s="316"/>
      <c r="E209" s="317"/>
    </row>
    <row r="210" spans="1:5" ht="14.25" customHeight="1" x14ac:dyDescent="0.2">
      <c r="A210" s="316"/>
      <c r="E210" s="317"/>
    </row>
    <row r="211" spans="1:5" ht="14.25" customHeight="1" x14ac:dyDescent="0.2">
      <c r="A211" s="316"/>
      <c r="E211" s="317"/>
    </row>
    <row r="212" spans="1:5" ht="14.25" customHeight="1" x14ac:dyDescent="0.2">
      <c r="A212" s="316"/>
      <c r="E212" s="317"/>
    </row>
    <row r="213" spans="1:5" ht="14.25" customHeight="1" x14ac:dyDescent="0.2">
      <c r="A213" s="316"/>
      <c r="E213" s="317"/>
    </row>
    <row r="214" spans="1:5" ht="14.25" customHeight="1" x14ac:dyDescent="0.2">
      <c r="A214" s="316"/>
      <c r="E214" s="317"/>
    </row>
    <row r="215" spans="1:5" ht="14.25" customHeight="1" x14ac:dyDescent="0.2">
      <c r="A215" s="316"/>
      <c r="E215" s="317"/>
    </row>
    <row r="216" spans="1:5" ht="14.25" customHeight="1" x14ac:dyDescent="0.2">
      <c r="A216" s="316"/>
      <c r="E216" s="317"/>
    </row>
    <row r="217" spans="1:5" ht="14.25" customHeight="1" x14ac:dyDescent="0.2">
      <c r="A217" s="316"/>
      <c r="E217" s="317"/>
    </row>
    <row r="218" spans="1:5" ht="14.25" customHeight="1" x14ac:dyDescent="0.2">
      <c r="A218" s="316"/>
      <c r="E218" s="317"/>
    </row>
    <row r="219" spans="1:5" ht="14.25" customHeight="1" x14ac:dyDescent="0.2">
      <c r="A219" s="316"/>
      <c r="E219" s="317"/>
    </row>
    <row r="220" spans="1:5" ht="14.25" customHeight="1" x14ac:dyDescent="0.2">
      <c r="A220" s="316"/>
      <c r="E220" s="317"/>
    </row>
    <row r="221" spans="1:5" ht="14.25" customHeight="1" x14ac:dyDescent="0.2">
      <c r="A221" s="316"/>
      <c r="E221" s="317"/>
    </row>
    <row r="222" spans="1:5" ht="14.25" customHeight="1" x14ac:dyDescent="0.2">
      <c r="A222" s="316"/>
      <c r="E222" s="317"/>
    </row>
    <row r="223" spans="1:5" ht="14.25" customHeight="1" x14ac:dyDescent="0.2">
      <c r="A223" s="316"/>
      <c r="E223" s="317"/>
    </row>
    <row r="224" spans="1:5" ht="14.25" customHeight="1" x14ac:dyDescent="0.2">
      <c r="A224" s="316"/>
      <c r="E224" s="317"/>
    </row>
    <row r="225" spans="1:5" ht="14.25" customHeight="1" x14ac:dyDescent="0.2">
      <c r="A225" s="316"/>
      <c r="E225" s="317"/>
    </row>
    <row r="226" spans="1:5" ht="14.25" customHeight="1" x14ac:dyDescent="0.2">
      <c r="A226" s="316"/>
      <c r="E226" s="317"/>
    </row>
    <row r="227" spans="1:5" ht="14.25" customHeight="1" x14ac:dyDescent="0.2">
      <c r="A227" s="316"/>
      <c r="E227" s="317"/>
    </row>
    <row r="228" spans="1:5" ht="14.25" customHeight="1" x14ac:dyDescent="0.2">
      <c r="A228" s="316"/>
      <c r="E228" s="317"/>
    </row>
    <row r="229" spans="1:5" ht="14.25" customHeight="1" x14ac:dyDescent="0.2">
      <c r="A229" s="316"/>
      <c r="E229" s="317"/>
    </row>
    <row r="230" spans="1:5" ht="14.25" customHeight="1" x14ac:dyDescent="0.2">
      <c r="A230" s="316"/>
      <c r="E230" s="317"/>
    </row>
    <row r="231" spans="1:5" ht="14.25" customHeight="1" x14ac:dyDescent="0.2">
      <c r="A231" s="316"/>
      <c r="E231" s="317"/>
    </row>
    <row r="232" spans="1:5" ht="14.25" customHeight="1" x14ac:dyDescent="0.2">
      <c r="A232" s="316"/>
      <c r="E232" s="317"/>
    </row>
    <row r="233" spans="1:5" ht="14.25" customHeight="1" x14ac:dyDescent="0.2">
      <c r="A233" s="316"/>
      <c r="E233" s="317"/>
    </row>
    <row r="234" spans="1:5" ht="14.25" customHeight="1" x14ac:dyDescent="0.2">
      <c r="A234" s="316"/>
      <c r="E234" s="317"/>
    </row>
    <row r="235" spans="1:5" ht="14.25" customHeight="1" x14ac:dyDescent="0.2">
      <c r="A235" s="316"/>
      <c r="E235" s="317"/>
    </row>
    <row r="236" spans="1:5" ht="14.25" customHeight="1" x14ac:dyDescent="0.2">
      <c r="A236" s="316"/>
      <c r="E236" s="317"/>
    </row>
    <row r="237" spans="1:5" ht="14.25" customHeight="1" x14ac:dyDescent="0.2">
      <c r="A237" s="316"/>
      <c r="E237" s="317"/>
    </row>
    <row r="238" spans="1:5" ht="14.25" customHeight="1" x14ac:dyDescent="0.2">
      <c r="A238" s="316"/>
      <c r="E238" s="317"/>
    </row>
    <row r="239" spans="1:5" ht="14.25" customHeight="1" x14ac:dyDescent="0.2">
      <c r="A239" s="316"/>
      <c r="E239" s="317"/>
    </row>
    <row r="240" spans="1:5" ht="14.25" customHeight="1" x14ac:dyDescent="0.2">
      <c r="A240" s="316"/>
      <c r="E240" s="317"/>
    </row>
    <row r="241" spans="1:5" ht="14.25" customHeight="1" x14ac:dyDescent="0.2">
      <c r="A241" s="316"/>
      <c r="E241" s="317"/>
    </row>
    <row r="242" spans="1:5" ht="14.25" customHeight="1" x14ac:dyDescent="0.2">
      <c r="A242" s="316"/>
      <c r="E242" s="317"/>
    </row>
    <row r="243" spans="1:5" ht="15.75" customHeight="1" x14ac:dyDescent="0.2"/>
    <row r="244" spans="1:5" ht="15.75" customHeight="1" x14ac:dyDescent="0.2"/>
    <row r="245" spans="1:5" ht="15.75" customHeight="1" x14ac:dyDescent="0.2"/>
    <row r="246" spans="1:5" ht="15.75" customHeight="1" x14ac:dyDescent="0.2"/>
    <row r="247" spans="1:5" ht="15.75" customHeight="1" x14ac:dyDescent="0.2"/>
    <row r="248" spans="1:5" ht="15.75" customHeight="1" x14ac:dyDescent="0.2"/>
    <row r="249" spans="1:5" ht="15.75" customHeight="1" x14ac:dyDescent="0.2"/>
    <row r="250" spans="1:5" ht="15.75" customHeight="1" x14ac:dyDescent="0.2"/>
    <row r="251" spans="1:5" ht="15.75" customHeight="1" x14ac:dyDescent="0.2"/>
    <row r="252" spans="1:5" ht="15.75" customHeight="1" x14ac:dyDescent="0.2"/>
    <row r="253" spans="1:5" ht="15.75" customHeight="1" x14ac:dyDescent="0.2"/>
    <row r="254" spans="1:5" ht="15.75" customHeight="1" x14ac:dyDescent="0.2"/>
    <row r="255" spans="1:5" ht="15.75" customHeight="1" x14ac:dyDescent="0.2"/>
    <row r="256" spans="1:5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2:E22"/>
  </mergeCells>
  <dataValidations count="1">
    <dataValidation type="list" allowBlank="1" showErrorMessage="1" sqref="A6:A11 A15:A19" xr:uid="{00000000-0002-0000-12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Y1000"/>
  <sheetViews>
    <sheetView workbookViewId="0"/>
  </sheetViews>
  <sheetFormatPr baseColWidth="10" defaultColWidth="14.5" defaultRowHeight="15" customHeight="1" x14ac:dyDescent="0.2"/>
  <cols>
    <col min="1" max="1" width="18.5" customWidth="1"/>
    <col min="2" max="2" width="31.1640625" customWidth="1"/>
    <col min="3" max="3" width="13.1640625" customWidth="1"/>
    <col min="4" max="4" width="9.5" customWidth="1"/>
    <col min="5" max="5" width="14" customWidth="1"/>
    <col min="6" max="6" width="25.5" customWidth="1"/>
    <col min="7" max="25" width="9" customWidth="1"/>
  </cols>
  <sheetData>
    <row r="1" spans="1:5" ht="14.25" customHeight="1" x14ac:dyDescent="0.3">
      <c r="A1" s="384" t="s">
        <v>378</v>
      </c>
      <c r="B1" s="361"/>
      <c r="C1" s="361"/>
      <c r="D1" s="361"/>
      <c r="E1" s="362"/>
    </row>
    <row r="2" spans="1:5" ht="14.25" customHeight="1" x14ac:dyDescent="0.2">
      <c r="A2" s="316"/>
      <c r="E2" s="317"/>
    </row>
    <row r="3" spans="1:5" ht="14.25" customHeight="1" x14ac:dyDescent="0.25">
      <c r="A3" s="385" t="s">
        <v>203</v>
      </c>
      <c r="B3" s="375"/>
      <c r="C3" s="375"/>
      <c r="D3" s="375"/>
      <c r="E3" s="376"/>
    </row>
    <row r="4" spans="1:5" ht="14.25" customHeight="1" x14ac:dyDescent="0.2">
      <c r="A4" s="318" t="s">
        <v>205</v>
      </c>
      <c r="B4" s="319"/>
      <c r="C4" s="319"/>
      <c r="D4" s="319"/>
      <c r="E4" s="320"/>
    </row>
    <row r="5" spans="1:5" ht="14.25" customHeight="1" x14ac:dyDescent="0.2">
      <c r="A5" s="321" t="s">
        <v>218</v>
      </c>
      <c r="B5" s="322" t="s">
        <v>7</v>
      </c>
      <c r="C5" s="323"/>
      <c r="D5" s="324"/>
      <c r="E5" s="325" t="s">
        <v>5</v>
      </c>
    </row>
    <row r="6" spans="1:5" ht="14.25" customHeight="1" x14ac:dyDescent="0.2">
      <c r="A6" s="321"/>
      <c r="B6" s="349"/>
      <c r="C6" s="350"/>
      <c r="D6" s="351"/>
      <c r="E6" s="325"/>
    </row>
    <row r="7" spans="1:5" ht="14.25" customHeight="1" x14ac:dyDescent="0.2">
      <c r="A7" s="321"/>
      <c r="E7" s="317"/>
    </row>
    <row r="8" spans="1:5" ht="14.25" customHeight="1" x14ac:dyDescent="0.2">
      <c r="A8" s="321"/>
      <c r="B8" s="326"/>
      <c r="C8" s="323"/>
      <c r="D8" s="324"/>
      <c r="E8" s="325"/>
    </row>
    <row r="9" spans="1:5" ht="14.25" customHeight="1" x14ac:dyDescent="0.2">
      <c r="A9" s="321"/>
      <c r="C9" s="323"/>
      <c r="D9" s="324"/>
      <c r="E9" s="325"/>
    </row>
    <row r="10" spans="1:5" ht="14.25" customHeight="1" x14ac:dyDescent="0.2">
      <c r="A10" s="321"/>
      <c r="B10" s="326"/>
      <c r="C10" s="323"/>
      <c r="D10" s="324"/>
      <c r="E10" s="325"/>
    </row>
    <row r="11" spans="1:5" ht="14.25" customHeight="1" x14ac:dyDescent="0.2">
      <c r="A11" s="321"/>
      <c r="B11" s="326"/>
      <c r="C11" s="323"/>
      <c r="D11" s="324"/>
      <c r="E11" s="325"/>
    </row>
    <row r="12" spans="1:5" ht="14.25" customHeight="1" x14ac:dyDescent="0.2">
      <c r="A12" s="321"/>
      <c r="B12" s="326"/>
      <c r="C12" s="323"/>
      <c r="D12" s="324"/>
      <c r="E12" s="327"/>
    </row>
    <row r="13" spans="1:5" ht="14.25" customHeight="1" x14ac:dyDescent="0.2">
      <c r="A13" s="328" t="s">
        <v>16</v>
      </c>
      <c r="B13" s="329"/>
      <c r="C13" s="329"/>
      <c r="D13" s="330"/>
      <c r="E13" s="331">
        <f>SUM(E6:E12)</f>
        <v>0</v>
      </c>
    </row>
    <row r="14" spans="1:5" ht="14.25" customHeight="1" x14ac:dyDescent="0.2">
      <c r="A14" s="332" t="s">
        <v>206</v>
      </c>
      <c r="B14" s="333"/>
      <c r="C14" s="333"/>
      <c r="D14" s="333"/>
      <c r="E14" s="334"/>
    </row>
    <row r="15" spans="1:5" ht="14.25" customHeight="1" x14ac:dyDescent="0.2">
      <c r="A15" s="321" t="s">
        <v>218</v>
      </c>
      <c r="B15" s="322" t="s">
        <v>7</v>
      </c>
      <c r="C15" s="323"/>
      <c r="D15" s="324"/>
      <c r="E15" s="325" t="s">
        <v>5</v>
      </c>
    </row>
    <row r="16" spans="1:5" ht="14.25" customHeight="1" x14ac:dyDescent="0.2">
      <c r="A16" s="321"/>
      <c r="B16" s="352"/>
      <c r="C16" s="335"/>
      <c r="D16" s="336"/>
      <c r="E16" s="337"/>
    </row>
    <row r="17" spans="1:25" ht="14.25" customHeight="1" x14ac:dyDescent="0.2">
      <c r="A17" s="321"/>
      <c r="B17" s="326"/>
      <c r="C17" s="323"/>
      <c r="D17" s="324"/>
      <c r="E17" s="325"/>
    </row>
    <row r="18" spans="1:25" ht="14.25" customHeight="1" x14ac:dyDescent="0.2">
      <c r="A18" s="321"/>
      <c r="B18" s="326"/>
      <c r="C18" s="323"/>
      <c r="D18" s="324"/>
      <c r="E18" s="325"/>
    </row>
    <row r="19" spans="1:25" ht="14.25" customHeight="1" x14ac:dyDescent="0.2">
      <c r="A19" s="321"/>
      <c r="B19" s="326"/>
      <c r="C19" s="323"/>
      <c r="D19" s="324"/>
      <c r="E19" s="325"/>
    </row>
    <row r="20" spans="1:25" ht="14.25" customHeight="1" x14ac:dyDescent="0.2">
      <c r="A20" s="321"/>
      <c r="B20" s="326"/>
      <c r="C20" s="323"/>
      <c r="D20" s="324"/>
      <c r="E20" s="325"/>
    </row>
    <row r="21" spans="1:25" ht="14.25" customHeight="1" x14ac:dyDescent="0.2">
      <c r="A21" s="321"/>
      <c r="B21" s="326"/>
      <c r="C21" s="323"/>
      <c r="D21" s="324"/>
      <c r="E21" s="325"/>
    </row>
    <row r="22" spans="1:25" ht="14.25" customHeight="1" x14ac:dyDescent="0.2">
      <c r="A22" s="321"/>
      <c r="B22" s="326"/>
      <c r="C22" s="323"/>
      <c r="D22" s="324"/>
      <c r="E22" s="325"/>
    </row>
    <row r="23" spans="1:25" ht="14.25" customHeight="1" x14ac:dyDescent="0.2">
      <c r="A23" s="328" t="s">
        <v>16</v>
      </c>
      <c r="B23" s="329"/>
      <c r="C23" s="329"/>
      <c r="D23" s="330"/>
      <c r="E23" s="331">
        <f>SUM(E16:E22)</f>
        <v>0</v>
      </c>
      <c r="F23" s="338"/>
      <c r="G23" s="338"/>
      <c r="H23" s="338"/>
      <c r="I23" s="338"/>
      <c r="J23" s="338"/>
      <c r="K23" s="338"/>
      <c r="L23" s="338"/>
      <c r="M23" s="338"/>
      <c r="N23" s="338"/>
      <c r="O23" s="338"/>
      <c r="P23" s="338"/>
      <c r="Q23" s="338"/>
      <c r="R23" s="338"/>
      <c r="S23" s="338"/>
      <c r="T23" s="338"/>
      <c r="U23" s="338"/>
      <c r="V23" s="338"/>
      <c r="W23" s="338"/>
      <c r="X23" s="338"/>
      <c r="Y23" s="338"/>
    </row>
    <row r="24" spans="1:25" ht="14.25" customHeight="1" x14ac:dyDescent="0.2">
      <c r="A24" s="316"/>
      <c r="E24" s="317"/>
    </row>
    <row r="25" spans="1:25" ht="14.25" customHeight="1" x14ac:dyDescent="0.25">
      <c r="A25" s="386" t="s">
        <v>204</v>
      </c>
      <c r="B25" s="375"/>
      <c r="C25" s="375"/>
      <c r="D25" s="375"/>
      <c r="E25" s="376"/>
    </row>
    <row r="26" spans="1:25" ht="14.25" customHeight="1" x14ac:dyDescent="0.2">
      <c r="A26" s="339" t="s">
        <v>205</v>
      </c>
      <c r="B26" s="340"/>
      <c r="C26" s="340"/>
      <c r="D26" s="340"/>
      <c r="E26" s="341"/>
    </row>
    <row r="27" spans="1:25" ht="14.25" customHeight="1" x14ac:dyDescent="0.2">
      <c r="A27" s="321" t="s">
        <v>3</v>
      </c>
      <c r="B27" s="342" t="s">
        <v>7</v>
      </c>
      <c r="C27" s="342" t="s">
        <v>4</v>
      </c>
      <c r="D27" s="343" t="s">
        <v>6</v>
      </c>
      <c r="E27" s="325" t="s">
        <v>5</v>
      </c>
    </row>
    <row r="28" spans="1:25" ht="14.25" customHeight="1" x14ac:dyDescent="0.2">
      <c r="A28" s="344" t="str">
        <f>IF(ISNA(VLOOKUP($A$1&amp;" / "&amp;$A$26,JOURNAL!$B$5:$I$277,2,0)),"",VLOOKUP($A$1&amp;" / "&amp;$A$26,JOURNAL!$B$5:$I$277,2,0))</f>
        <v/>
      </c>
      <c r="B28" s="342" t="str">
        <f>IF($A28="","",VLOOKUP($A28,JOURNAL!$C$5:$I$277,5,0))</f>
        <v/>
      </c>
      <c r="C28" s="345" t="str">
        <f>IF($A28="","",VLOOKUP($A28,JOURNAL!$C$5:$I$277,2,0))</f>
        <v/>
      </c>
      <c r="D28" s="342" t="str">
        <f>IF($A28="","",VLOOKUP($A28,JOURNAL!$C$5:$I$277,4,0))</f>
        <v/>
      </c>
      <c r="E28" s="325" t="str">
        <f>IF($A28="","",VLOOKUP($A28,JOURNAL!$C$5:$I$277,3,0))</f>
        <v/>
      </c>
    </row>
    <row r="29" spans="1:25" ht="14.25" customHeight="1" x14ac:dyDescent="0.2">
      <c r="A29" s="344" t="str">
        <f t="shared" ref="A29:A41" ca="1" si="0">IF(A28="","",IF(ISNA(VLOOKUP($A$1&amp;" / "&amp;$A$26,INDIRECT(ADDRESS(A28+4,1,1,,"JOURNAL")&amp;":G500"),2,0)),"",VLOOKUP($A$1&amp;" / "&amp;$A$26,INDIRECT(ADDRESS(A28+4,1,1,,"JOURNAL")&amp;":G500"),2,0)))</f>
        <v/>
      </c>
      <c r="B29" s="342" t="str">
        <f ca="1">IF($A29="","",VLOOKUP($A29,JOURNAL!$C$5:$I$277,5,0))</f>
        <v/>
      </c>
      <c r="C29" s="345" t="str">
        <f ca="1">IF($A29="","",VLOOKUP($A29,JOURNAL!$C$5:$I$277,2,0))</f>
        <v/>
      </c>
      <c r="D29" s="342" t="str">
        <f ca="1">IF($A29="","",VLOOKUP($A29,JOURNAL!$C$5:$I$277,4,0))</f>
        <v/>
      </c>
      <c r="E29" s="325" t="str">
        <f ca="1">IF($A29="","",VLOOKUP($A29,JOURNAL!$C$5:$I$277,3,0))</f>
        <v/>
      </c>
    </row>
    <row r="30" spans="1:25" ht="14.25" customHeight="1" x14ac:dyDescent="0.2">
      <c r="A30" s="344" t="str">
        <f t="shared" ca="1" si="0"/>
        <v/>
      </c>
      <c r="B30" s="342" t="str">
        <f ca="1">IF($A30="","",VLOOKUP($A30,JOURNAL!$C$5:$I$277,5,0))</f>
        <v/>
      </c>
      <c r="C30" s="345" t="str">
        <f ca="1">IF($A30="","",VLOOKUP($A30,JOURNAL!$C$5:$I$277,2,0))</f>
        <v/>
      </c>
      <c r="D30" s="342" t="str">
        <f ca="1">IF($A30="","",VLOOKUP($A30,JOURNAL!$C$5:$I$277,4,0))</f>
        <v/>
      </c>
      <c r="E30" s="325" t="str">
        <f ca="1">IF($A30="","",VLOOKUP($A30,JOURNAL!$C$5:$I$277,3,0))</f>
        <v/>
      </c>
    </row>
    <row r="31" spans="1:25" ht="14.25" customHeight="1" x14ac:dyDescent="0.2">
      <c r="A31" s="344" t="str">
        <f t="shared" ca="1" si="0"/>
        <v/>
      </c>
      <c r="B31" s="342" t="str">
        <f ca="1">IF($A31="","",VLOOKUP($A31,JOURNAL!$C$5:$I$277,5,0))</f>
        <v/>
      </c>
      <c r="C31" s="345" t="str">
        <f ca="1">IF($A31="","",VLOOKUP($A31,JOURNAL!$C$5:$I$277,2,0))</f>
        <v/>
      </c>
      <c r="D31" s="342" t="str">
        <f ca="1">IF($A31="","",VLOOKUP($A31,JOURNAL!$C$5:$I$277,4,0))</f>
        <v/>
      </c>
      <c r="E31" s="325" t="str">
        <f ca="1">IF($A31="","",VLOOKUP($A31,JOURNAL!$C$5:$I$277,3,0))</f>
        <v/>
      </c>
    </row>
    <row r="32" spans="1:25" ht="14.25" customHeight="1" x14ac:dyDescent="0.2">
      <c r="A32" s="344" t="str">
        <f t="shared" ca="1" si="0"/>
        <v/>
      </c>
      <c r="B32" s="342" t="str">
        <f ca="1">IF($A32="","",VLOOKUP($A32,JOURNAL!$C$5:$I$277,5,0))</f>
        <v/>
      </c>
      <c r="C32" s="345" t="str">
        <f ca="1">IF($A32="","",VLOOKUP($A32,JOURNAL!$C$5:$I$277,2,0))</f>
        <v/>
      </c>
      <c r="D32" s="342" t="str">
        <f ca="1">IF($A32="","",VLOOKUP($A32,JOURNAL!$C$5:$I$277,4,0))</f>
        <v/>
      </c>
      <c r="E32" s="325" t="str">
        <f ca="1">IF($A32="","",VLOOKUP($A32,JOURNAL!$C$5:$I$277,3,0))</f>
        <v/>
      </c>
    </row>
    <row r="33" spans="1:25" ht="14.25" customHeight="1" x14ac:dyDescent="0.2">
      <c r="A33" s="344" t="str">
        <f t="shared" ca="1" si="0"/>
        <v/>
      </c>
      <c r="B33" s="342" t="str">
        <f ca="1">IF($A33="","",VLOOKUP($A33,JOURNAL!$C$5:$I$277,5,0))</f>
        <v/>
      </c>
      <c r="C33" s="345" t="str">
        <f ca="1">IF($A33="","",VLOOKUP($A33,JOURNAL!$C$5:$I$277,2,0))</f>
        <v/>
      </c>
      <c r="D33" s="342" t="str">
        <f ca="1">IF($A33="","",VLOOKUP($A33,JOURNAL!$C$5:$I$277,4,0))</f>
        <v/>
      </c>
      <c r="E33" s="325" t="str">
        <f ca="1">IF($A33="","",VLOOKUP($A33,JOURNAL!$C$5:$I$277,3,0))</f>
        <v/>
      </c>
    </row>
    <row r="34" spans="1:25" ht="14.25" customHeight="1" x14ac:dyDescent="0.2">
      <c r="A34" s="344" t="str">
        <f t="shared" ca="1" si="0"/>
        <v/>
      </c>
      <c r="B34" s="342" t="str">
        <f ca="1">IF($A34="","",VLOOKUP($A34,JOURNAL!$C$5:$I$277,5,0))</f>
        <v/>
      </c>
      <c r="C34" s="345" t="str">
        <f ca="1">IF($A34="","",VLOOKUP($A34,JOURNAL!$C$5:$I$277,2,0))</f>
        <v/>
      </c>
      <c r="D34" s="342" t="str">
        <f ca="1">IF($A34="","",VLOOKUP($A34,JOURNAL!$C$5:$I$277,4,0))</f>
        <v/>
      </c>
      <c r="E34" s="325" t="str">
        <f ca="1">IF($A34="","",VLOOKUP($A34,JOURNAL!$C$5:$I$277,3,0))</f>
        <v/>
      </c>
    </row>
    <row r="35" spans="1:25" ht="14.25" customHeight="1" x14ac:dyDescent="0.2">
      <c r="A35" s="344" t="str">
        <f t="shared" ca="1" si="0"/>
        <v/>
      </c>
      <c r="B35" s="342" t="str">
        <f ca="1">IF($A35="","",VLOOKUP($A35,JOURNAL!$C$5:$I$277,5,0))</f>
        <v/>
      </c>
      <c r="C35" s="345" t="str">
        <f ca="1">IF($A35="","",VLOOKUP($A35,JOURNAL!$C$5:$I$277,2,0))</f>
        <v/>
      </c>
      <c r="D35" s="342" t="str">
        <f ca="1">IF($A35="","",VLOOKUP($A35,JOURNAL!$C$5:$I$277,4,0))</f>
        <v/>
      </c>
      <c r="E35" s="325" t="str">
        <f ca="1">IF($A35="","",VLOOKUP($A35,JOURNAL!$C$5:$I$277,3,0))</f>
        <v/>
      </c>
    </row>
    <row r="36" spans="1:25" ht="14.25" customHeight="1" x14ac:dyDescent="0.2">
      <c r="A36" s="344" t="str">
        <f t="shared" ca="1" si="0"/>
        <v/>
      </c>
      <c r="B36" s="342" t="str">
        <f ca="1">IF($A36="","",VLOOKUP($A36,JOURNAL!$C$5:$I$277,5,0))</f>
        <v/>
      </c>
      <c r="C36" s="345" t="str">
        <f ca="1">IF($A36="","",VLOOKUP($A36,JOURNAL!$C$5:$I$277,2,0))</f>
        <v/>
      </c>
      <c r="D36" s="342" t="str">
        <f ca="1">IF($A36="","",VLOOKUP($A36,JOURNAL!$C$5:$I$277,4,0))</f>
        <v/>
      </c>
      <c r="E36" s="325" t="str">
        <f ca="1">IF($A36="","",VLOOKUP($A36,JOURNAL!$C$5:$I$277,3,0))</f>
        <v/>
      </c>
    </row>
    <row r="37" spans="1:25" ht="14.25" customHeight="1" x14ac:dyDescent="0.2">
      <c r="A37" s="344" t="str">
        <f t="shared" ca="1" si="0"/>
        <v/>
      </c>
      <c r="B37" s="342" t="str">
        <f ca="1">IF($A37="","",VLOOKUP($A37,JOURNAL!$C$5:$I$277,5,0))</f>
        <v/>
      </c>
      <c r="C37" s="345" t="str">
        <f ca="1">IF($A37="","",VLOOKUP($A37,JOURNAL!$C$5:$I$277,2,0))</f>
        <v/>
      </c>
      <c r="D37" s="342" t="str">
        <f ca="1">IF($A37="","",VLOOKUP($A37,JOURNAL!$C$5:$I$277,4,0))</f>
        <v/>
      </c>
      <c r="E37" s="325" t="str">
        <f ca="1">IF($A37="","",VLOOKUP($A37,JOURNAL!$C$5:$I$277,3,0))</f>
        <v/>
      </c>
    </row>
    <row r="38" spans="1:25" ht="14.25" customHeight="1" x14ac:dyDescent="0.2">
      <c r="A38" s="344" t="str">
        <f t="shared" ca="1" si="0"/>
        <v/>
      </c>
      <c r="B38" s="342" t="str">
        <f ca="1">IF($A38="","",VLOOKUP($A38,JOURNAL!$C$5:$I$277,5,0))</f>
        <v/>
      </c>
      <c r="C38" s="345" t="str">
        <f ca="1">IF($A38="","",VLOOKUP($A38,JOURNAL!$C$5:$I$277,2,0))</f>
        <v/>
      </c>
      <c r="D38" s="342" t="str">
        <f ca="1">IF($A38="","",VLOOKUP($A38,JOURNAL!$C$5:$I$277,4,0))</f>
        <v/>
      </c>
      <c r="E38" s="325" t="str">
        <f ca="1">IF($A38="","",VLOOKUP($A38,JOURNAL!$C$5:$I$277,3,0))</f>
        <v/>
      </c>
    </row>
    <row r="39" spans="1:25" ht="14.25" customHeight="1" x14ac:dyDescent="0.2">
      <c r="A39" s="344" t="str">
        <f t="shared" ca="1" si="0"/>
        <v/>
      </c>
      <c r="B39" s="342" t="str">
        <f ca="1">IF($A39="","",VLOOKUP($A39,JOURNAL!$C$5:$I$277,5,0))</f>
        <v/>
      </c>
      <c r="C39" s="345" t="str">
        <f ca="1">IF($A39="","",VLOOKUP($A39,JOURNAL!$C$5:$I$277,2,0))</f>
        <v/>
      </c>
      <c r="D39" s="342" t="str">
        <f ca="1">IF($A39="","",VLOOKUP($A39,JOURNAL!$C$5:$I$277,4,0))</f>
        <v/>
      </c>
      <c r="E39" s="325" t="str">
        <f ca="1">IF($A39="","",VLOOKUP($A39,JOURNAL!$C$5:$I$277,3,0))</f>
        <v/>
      </c>
    </row>
    <row r="40" spans="1:25" ht="14.25" customHeight="1" x14ac:dyDescent="0.2">
      <c r="A40" s="344" t="str">
        <f t="shared" ca="1" si="0"/>
        <v/>
      </c>
      <c r="B40" s="342" t="str">
        <f ca="1">IF($A40="","",VLOOKUP($A40,JOURNAL!$C$5:$I$277,5,0))</f>
        <v/>
      </c>
      <c r="C40" s="345" t="str">
        <f ca="1">IF($A40="","",VLOOKUP($A40,JOURNAL!$C$5:$I$277,2,0))</f>
        <v/>
      </c>
      <c r="D40" s="342" t="str">
        <f ca="1">IF($A40="","",VLOOKUP($A40,JOURNAL!$C$5:$I$277,4,0))</f>
        <v/>
      </c>
      <c r="E40" s="325" t="str">
        <f ca="1">IF($A40="","",VLOOKUP($A40,JOURNAL!$C$5:$I$277,3,0))</f>
        <v/>
      </c>
    </row>
    <row r="41" spans="1:25" ht="14.25" customHeight="1" x14ac:dyDescent="0.2">
      <c r="A41" s="344" t="str">
        <f t="shared" ca="1" si="0"/>
        <v/>
      </c>
      <c r="B41" s="342" t="str">
        <f ca="1">IF($A41="","",VLOOKUP($A41,JOURNAL!$C$5:$I$277,5,0))</f>
        <v/>
      </c>
      <c r="C41" s="345" t="str">
        <f ca="1">IF($A41="","",VLOOKUP($A41,JOURNAL!$C$5:$I$277,2,0))</f>
        <v/>
      </c>
      <c r="D41" s="342" t="str">
        <f ca="1">IF($A41="","",VLOOKUP($A41,JOURNAL!$C$5:$I$277,4,0))</f>
        <v/>
      </c>
      <c r="E41" s="325" t="str">
        <f ca="1">IF($A41="","",VLOOKUP($A41,JOURNAL!$C$5:$I$277,3,0))</f>
        <v/>
      </c>
    </row>
    <row r="42" spans="1:25" ht="14.25" customHeight="1" x14ac:dyDescent="0.2">
      <c r="A42" s="328" t="s">
        <v>16</v>
      </c>
      <c r="B42" s="329"/>
      <c r="C42" s="329"/>
      <c r="D42" s="330"/>
      <c r="E42" s="331">
        <f ca="1">SUM(E28:E41)</f>
        <v>0</v>
      </c>
      <c r="F42" s="338"/>
      <c r="G42" s="338"/>
      <c r="H42" s="338"/>
      <c r="I42" s="338"/>
      <c r="J42" s="338"/>
      <c r="K42" s="338"/>
      <c r="L42" s="338"/>
      <c r="M42" s="338"/>
      <c r="N42" s="338"/>
      <c r="O42" s="338"/>
      <c r="P42" s="338"/>
      <c r="Q42" s="338"/>
      <c r="R42" s="338"/>
      <c r="S42" s="338"/>
      <c r="T42" s="338"/>
      <c r="U42" s="338"/>
      <c r="V42" s="338"/>
      <c r="W42" s="338"/>
      <c r="X42" s="338"/>
      <c r="Y42" s="338"/>
    </row>
    <row r="43" spans="1:25" ht="14.25" customHeight="1" x14ac:dyDescent="0.2">
      <c r="A43" s="346" t="s">
        <v>206</v>
      </c>
      <c r="B43" s="347"/>
      <c r="C43" s="347"/>
      <c r="D43" s="347"/>
      <c r="E43" s="348"/>
    </row>
    <row r="44" spans="1:25" ht="14.25" customHeight="1" x14ac:dyDescent="0.2">
      <c r="A44" s="321" t="s">
        <v>3</v>
      </c>
      <c r="B44" s="342" t="s">
        <v>7</v>
      </c>
      <c r="C44" s="342" t="s">
        <v>4</v>
      </c>
      <c r="D44" s="343" t="s">
        <v>6</v>
      </c>
      <c r="E44" s="325" t="s">
        <v>5</v>
      </c>
    </row>
    <row r="45" spans="1:25" ht="14.25" customHeight="1" x14ac:dyDescent="0.2">
      <c r="A45" s="344" t="str">
        <f>IF(ISNA(VLOOKUP($A$1&amp;" / "&amp;$A$43,JOURNAL!$B$5:$I$277,2,0)),"",VLOOKUP($A$1&amp;" / "&amp;$A$43,JOURNAL!$B$5:$I$277,2,0))</f>
        <v/>
      </c>
      <c r="B45" s="342" t="str">
        <f>IF($A45="","",VLOOKUP($A45,JOURNAL!$C$5:$I$277,5,0))</f>
        <v/>
      </c>
      <c r="C45" s="345" t="str">
        <f>IF($A45="","",VLOOKUP($A45,JOURNAL!$C$5:$I$277,2,0))</f>
        <v/>
      </c>
      <c r="D45" s="342" t="str">
        <f>IF($A45="","",VLOOKUP($A45,JOURNAL!$C$5:$I$277,4,0))</f>
        <v/>
      </c>
      <c r="E45" s="325" t="str">
        <f>IF($A45="","",VLOOKUP($A45,JOURNAL!$C$5:$I$277,3,0))</f>
        <v/>
      </c>
    </row>
    <row r="46" spans="1:25" ht="14.25" customHeight="1" x14ac:dyDescent="0.2">
      <c r="A46" s="344" t="str">
        <f t="shared" ref="A46:A51" ca="1" si="1">IF(A45="","",IF(ISNA(VLOOKUP($A$1&amp;" / "&amp;$A$43,INDIRECT(ADDRESS(A45+4,1,1,,"JOURNAL")&amp;":G500"),2,0)),"",VLOOKUP($A$1&amp;" / "&amp;$A$43,INDIRECT(ADDRESS(A45+4,1,1,,"JOURNAL")&amp;":G500"),2,0)))</f>
        <v/>
      </c>
      <c r="B46" s="342" t="str">
        <f ca="1">IF($A46="","",VLOOKUP($A46,JOURNAL!$C$5:$I$277,5,0))</f>
        <v/>
      </c>
      <c r="C46" s="345" t="str">
        <f ca="1">IF($A46="","",VLOOKUP($A46,JOURNAL!$C$5:$I$277,2,0))</f>
        <v/>
      </c>
      <c r="D46" s="342" t="str">
        <f ca="1">IF($A46="","",VLOOKUP($A46,JOURNAL!$C$5:$I$277,4,0))</f>
        <v/>
      </c>
      <c r="E46" s="325" t="str">
        <f ca="1">IF($A46="","",VLOOKUP($A46,JOURNAL!$C$5:$I$277,3,0))</f>
        <v/>
      </c>
    </row>
    <row r="47" spans="1:25" ht="14.25" customHeight="1" x14ac:dyDescent="0.2">
      <c r="A47" s="344" t="str">
        <f t="shared" ca="1" si="1"/>
        <v/>
      </c>
      <c r="B47" s="342" t="str">
        <f ca="1">IF($A47="","",VLOOKUP($A47,JOURNAL!$C$5:$I$277,5,0))</f>
        <v/>
      </c>
      <c r="C47" s="345" t="str">
        <f ca="1">IF($A47="","",VLOOKUP($A47,JOURNAL!$C$5:$I$277,2,0))</f>
        <v/>
      </c>
      <c r="D47" s="342" t="str">
        <f ca="1">IF($A47="","",VLOOKUP($A47,JOURNAL!$C$5:$I$277,4,0))</f>
        <v/>
      </c>
      <c r="E47" s="325" t="str">
        <f ca="1">IF($A47="","",VLOOKUP($A47,JOURNAL!$C$5:$I$277,3,0))</f>
        <v/>
      </c>
    </row>
    <row r="48" spans="1:25" ht="14.25" customHeight="1" x14ac:dyDescent="0.2">
      <c r="A48" s="344" t="str">
        <f t="shared" ca="1" si="1"/>
        <v/>
      </c>
      <c r="B48" s="342" t="str">
        <f ca="1">IF($A48="","",VLOOKUP($A48,JOURNAL!$C$5:$I$277,5,0))</f>
        <v/>
      </c>
      <c r="C48" s="345" t="str">
        <f ca="1">IF($A48="","",VLOOKUP($A48,JOURNAL!$C$5:$I$277,2,0))</f>
        <v/>
      </c>
      <c r="D48" s="342" t="str">
        <f ca="1">IF($A48="","",VLOOKUP($A48,JOURNAL!$C$5:$I$277,4,0))</f>
        <v/>
      </c>
      <c r="E48" s="325" t="str">
        <f ca="1">IF($A48="","",VLOOKUP($A48,JOURNAL!$C$5:$I$277,3,0))</f>
        <v/>
      </c>
    </row>
    <row r="49" spans="1:25" ht="14.25" customHeight="1" x14ac:dyDescent="0.2">
      <c r="A49" s="344" t="str">
        <f t="shared" ca="1" si="1"/>
        <v/>
      </c>
      <c r="B49" s="342" t="str">
        <f ca="1">IF($A49="","",VLOOKUP($A49,JOURNAL!$C$5:$I$277,5,0))</f>
        <v/>
      </c>
      <c r="C49" s="345" t="str">
        <f ca="1">IF($A49="","",VLOOKUP($A49,JOURNAL!$C$5:$I$277,2,0))</f>
        <v/>
      </c>
      <c r="D49" s="342" t="str">
        <f ca="1">IF($A49="","",VLOOKUP($A49,JOURNAL!$C$5:$I$277,4,0))</f>
        <v/>
      </c>
      <c r="E49" s="325" t="str">
        <f ca="1">IF($A49="","",VLOOKUP($A49,JOURNAL!$C$5:$I$277,3,0))</f>
        <v/>
      </c>
    </row>
    <row r="50" spans="1:25" ht="14.25" customHeight="1" x14ac:dyDescent="0.2">
      <c r="A50" s="344" t="str">
        <f t="shared" ca="1" si="1"/>
        <v/>
      </c>
      <c r="B50" s="342" t="str">
        <f ca="1">IF($A50="","",VLOOKUP($A50,JOURNAL!$C$5:$I$277,5,0))</f>
        <v/>
      </c>
      <c r="C50" s="345" t="str">
        <f ca="1">IF($A50="","",VLOOKUP($A50,JOURNAL!$C$5:$I$277,2,0))</f>
        <v/>
      </c>
      <c r="D50" s="342" t="str">
        <f ca="1">IF($A50="","",VLOOKUP($A50,JOURNAL!$C$5:$I$277,4,0))</f>
        <v/>
      </c>
      <c r="E50" s="325" t="str">
        <f ca="1">IF($A50="","",VLOOKUP($A50,JOURNAL!$C$5:$I$277,3,0))</f>
        <v/>
      </c>
    </row>
    <row r="51" spans="1:25" ht="14.25" customHeight="1" x14ac:dyDescent="0.2">
      <c r="A51" s="344" t="str">
        <f t="shared" ca="1" si="1"/>
        <v/>
      </c>
      <c r="B51" s="342" t="str">
        <f ca="1">IF($A51="","",VLOOKUP($A51,JOURNAL!$C$5:$I$277,5,0))</f>
        <v/>
      </c>
      <c r="C51" s="345" t="str">
        <f ca="1">IF($A51="","",VLOOKUP($A51,JOURNAL!$C$5:$I$277,2,0))</f>
        <v/>
      </c>
      <c r="D51" s="342" t="str">
        <f ca="1">IF($A51="","",VLOOKUP($A51,JOURNAL!$C$5:$I$277,4,0))</f>
        <v/>
      </c>
      <c r="E51" s="325" t="str">
        <f ca="1">IF($A51="","",VLOOKUP($A51,JOURNAL!$C$5:$I$277,3,0))</f>
        <v/>
      </c>
    </row>
    <row r="52" spans="1:25" ht="14.25" customHeight="1" x14ac:dyDescent="0.2">
      <c r="A52" s="328" t="s">
        <v>16</v>
      </c>
      <c r="B52" s="329"/>
      <c r="C52" s="329"/>
      <c r="D52" s="330"/>
      <c r="E52" s="331">
        <f ca="1">SUM(E45:E51)</f>
        <v>0</v>
      </c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</row>
    <row r="53" spans="1:25" ht="14.25" customHeight="1" x14ac:dyDescent="0.2">
      <c r="A53" s="316"/>
      <c r="E53" s="317"/>
    </row>
    <row r="54" spans="1:25" ht="14.25" customHeight="1" x14ac:dyDescent="0.2">
      <c r="A54" s="316"/>
      <c r="E54" s="317"/>
    </row>
    <row r="55" spans="1:25" ht="14.25" customHeight="1" x14ac:dyDescent="0.2">
      <c r="A55" s="316"/>
      <c r="E55" s="317"/>
    </row>
    <row r="56" spans="1:25" ht="14.25" customHeight="1" x14ac:dyDescent="0.2">
      <c r="A56" s="316"/>
      <c r="E56" s="317"/>
    </row>
    <row r="57" spans="1:25" ht="14.25" customHeight="1" x14ac:dyDescent="0.2">
      <c r="A57" s="316"/>
      <c r="E57" s="317"/>
    </row>
    <row r="58" spans="1:25" ht="14.25" customHeight="1" x14ac:dyDescent="0.2">
      <c r="A58" s="316"/>
      <c r="E58" s="317"/>
    </row>
    <row r="59" spans="1:25" ht="14.25" customHeight="1" x14ac:dyDescent="0.2">
      <c r="A59" s="316"/>
      <c r="E59" s="317"/>
    </row>
    <row r="60" spans="1:25" ht="14.25" customHeight="1" x14ac:dyDescent="0.2">
      <c r="A60" s="316"/>
      <c r="E60" s="317"/>
    </row>
    <row r="61" spans="1:25" ht="14.25" customHeight="1" x14ac:dyDescent="0.2">
      <c r="A61" s="316"/>
      <c r="E61" s="317"/>
    </row>
    <row r="62" spans="1:25" ht="14.25" customHeight="1" x14ac:dyDescent="0.2">
      <c r="A62" s="316"/>
      <c r="E62" s="317"/>
    </row>
    <row r="63" spans="1:25" ht="14.25" customHeight="1" x14ac:dyDescent="0.2">
      <c r="A63" s="316"/>
      <c r="E63" s="317"/>
    </row>
    <row r="64" spans="1:25" ht="14.25" customHeight="1" x14ac:dyDescent="0.2">
      <c r="A64" s="316"/>
      <c r="E64" s="317"/>
    </row>
    <row r="65" spans="1:5" ht="14.25" customHeight="1" x14ac:dyDescent="0.2">
      <c r="A65" s="316"/>
      <c r="E65" s="317"/>
    </row>
    <row r="66" spans="1:5" ht="14.25" customHeight="1" x14ac:dyDescent="0.2">
      <c r="A66" s="316"/>
      <c r="E66" s="317"/>
    </row>
    <row r="67" spans="1:5" ht="14.25" customHeight="1" x14ac:dyDescent="0.2">
      <c r="A67" s="316"/>
      <c r="E67" s="317"/>
    </row>
    <row r="68" spans="1:5" ht="14.25" customHeight="1" x14ac:dyDescent="0.2">
      <c r="A68" s="316"/>
      <c r="E68" s="317"/>
    </row>
    <row r="69" spans="1:5" ht="14.25" customHeight="1" x14ac:dyDescent="0.2">
      <c r="A69" s="316"/>
      <c r="E69" s="317"/>
    </row>
    <row r="70" spans="1:5" ht="14.25" customHeight="1" x14ac:dyDescent="0.2">
      <c r="A70" s="316"/>
      <c r="E70" s="317"/>
    </row>
    <row r="71" spans="1:5" ht="14.25" customHeight="1" x14ac:dyDescent="0.2">
      <c r="A71" s="316"/>
      <c r="E71" s="317"/>
    </row>
    <row r="72" spans="1:5" ht="14.25" customHeight="1" x14ac:dyDescent="0.2">
      <c r="A72" s="316"/>
      <c r="E72" s="317"/>
    </row>
    <row r="73" spans="1:5" ht="14.25" customHeight="1" x14ac:dyDescent="0.2">
      <c r="A73" s="316"/>
      <c r="E73" s="317"/>
    </row>
    <row r="74" spans="1:5" ht="14.25" customHeight="1" x14ac:dyDescent="0.2">
      <c r="A74" s="316"/>
      <c r="E74" s="317"/>
    </row>
    <row r="75" spans="1:5" ht="14.25" customHeight="1" x14ac:dyDescent="0.2">
      <c r="A75" s="316"/>
      <c r="E75" s="317"/>
    </row>
    <row r="76" spans="1:5" ht="14.25" customHeight="1" x14ac:dyDescent="0.2">
      <c r="A76" s="316"/>
      <c r="E76" s="317"/>
    </row>
    <row r="77" spans="1:5" ht="14.25" customHeight="1" x14ac:dyDescent="0.2">
      <c r="A77" s="316"/>
      <c r="E77" s="317"/>
    </row>
    <row r="78" spans="1:5" ht="14.25" customHeight="1" x14ac:dyDescent="0.2">
      <c r="A78" s="316"/>
      <c r="E78" s="317"/>
    </row>
    <row r="79" spans="1:5" ht="14.25" customHeight="1" x14ac:dyDescent="0.2">
      <c r="A79" s="316"/>
      <c r="E79" s="317"/>
    </row>
    <row r="80" spans="1:5" ht="14.25" customHeight="1" x14ac:dyDescent="0.2">
      <c r="A80" s="316"/>
      <c r="E80" s="317"/>
    </row>
    <row r="81" spans="1:5" ht="14.25" customHeight="1" x14ac:dyDescent="0.2">
      <c r="A81" s="316"/>
      <c r="E81" s="317"/>
    </row>
    <row r="82" spans="1:5" ht="14.25" customHeight="1" x14ac:dyDescent="0.2">
      <c r="A82" s="316"/>
      <c r="E82" s="317"/>
    </row>
    <row r="83" spans="1:5" ht="14.25" customHeight="1" x14ac:dyDescent="0.2">
      <c r="A83" s="316"/>
      <c r="E83" s="317"/>
    </row>
    <row r="84" spans="1:5" ht="14.25" customHeight="1" x14ac:dyDescent="0.2">
      <c r="A84" s="316"/>
      <c r="E84" s="317"/>
    </row>
    <row r="85" spans="1:5" ht="14.25" customHeight="1" x14ac:dyDescent="0.2">
      <c r="A85" s="316"/>
      <c r="E85" s="317"/>
    </row>
    <row r="86" spans="1:5" ht="14.25" customHeight="1" x14ac:dyDescent="0.2">
      <c r="A86" s="316"/>
      <c r="E86" s="317"/>
    </row>
    <row r="87" spans="1:5" ht="14.25" customHeight="1" x14ac:dyDescent="0.2">
      <c r="A87" s="316"/>
      <c r="E87" s="317"/>
    </row>
    <row r="88" spans="1:5" ht="14.25" customHeight="1" x14ac:dyDescent="0.2">
      <c r="A88" s="316"/>
      <c r="E88" s="317"/>
    </row>
    <row r="89" spans="1:5" ht="14.25" customHeight="1" x14ac:dyDescent="0.2">
      <c r="A89" s="316"/>
      <c r="E89" s="317"/>
    </row>
    <row r="90" spans="1:5" ht="14.25" customHeight="1" x14ac:dyDescent="0.2">
      <c r="A90" s="316"/>
      <c r="E90" s="317"/>
    </row>
    <row r="91" spans="1:5" ht="14.25" customHeight="1" x14ac:dyDescent="0.2">
      <c r="A91" s="316"/>
      <c r="E91" s="317"/>
    </row>
    <row r="92" spans="1:5" ht="14.25" customHeight="1" x14ac:dyDescent="0.2">
      <c r="A92" s="316"/>
      <c r="E92" s="317"/>
    </row>
    <row r="93" spans="1:5" ht="14.25" customHeight="1" x14ac:dyDescent="0.2">
      <c r="A93" s="316"/>
      <c r="E93" s="317"/>
    </row>
    <row r="94" spans="1:5" ht="14.25" customHeight="1" x14ac:dyDescent="0.2">
      <c r="A94" s="316"/>
      <c r="E94" s="317"/>
    </row>
    <row r="95" spans="1:5" ht="14.25" customHeight="1" x14ac:dyDescent="0.2">
      <c r="A95" s="316"/>
      <c r="E95" s="317"/>
    </row>
    <row r="96" spans="1:5" ht="14.25" customHeight="1" x14ac:dyDescent="0.2">
      <c r="A96" s="316"/>
      <c r="E96" s="317"/>
    </row>
    <row r="97" spans="1:5" ht="14.25" customHeight="1" x14ac:dyDescent="0.2">
      <c r="A97" s="316"/>
      <c r="E97" s="317"/>
    </row>
    <row r="98" spans="1:5" ht="14.25" customHeight="1" x14ac:dyDescent="0.2">
      <c r="A98" s="316"/>
      <c r="E98" s="317"/>
    </row>
    <row r="99" spans="1:5" ht="14.25" customHeight="1" x14ac:dyDescent="0.2">
      <c r="A99" s="316"/>
      <c r="E99" s="317"/>
    </row>
    <row r="100" spans="1:5" ht="14.25" customHeight="1" x14ac:dyDescent="0.2">
      <c r="A100" s="316"/>
      <c r="E100" s="317"/>
    </row>
    <row r="101" spans="1:5" ht="14.25" customHeight="1" x14ac:dyDescent="0.2">
      <c r="A101" s="316"/>
      <c r="E101" s="317"/>
    </row>
    <row r="102" spans="1:5" ht="14.25" customHeight="1" x14ac:dyDescent="0.2">
      <c r="A102" s="316"/>
      <c r="E102" s="317"/>
    </row>
    <row r="103" spans="1:5" ht="14.25" customHeight="1" x14ac:dyDescent="0.2">
      <c r="A103" s="316"/>
      <c r="E103" s="317"/>
    </row>
    <row r="104" spans="1:5" ht="14.25" customHeight="1" x14ac:dyDescent="0.2">
      <c r="A104" s="316"/>
      <c r="E104" s="317"/>
    </row>
    <row r="105" spans="1:5" ht="14.25" customHeight="1" x14ac:dyDescent="0.2">
      <c r="A105" s="316"/>
      <c r="E105" s="317"/>
    </row>
    <row r="106" spans="1:5" ht="14.25" customHeight="1" x14ac:dyDescent="0.2">
      <c r="A106" s="316"/>
      <c r="E106" s="317"/>
    </row>
    <row r="107" spans="1:5" ht="14.25" customHeight="1" x14ac:dyDescent="0.2">
      <c r="A107" s="316"/>
      <c r="E107" s="317"/>
    </row>
    <row r="108" spans="1:5" ht="14.25" customHeight="1" x14ac:dyDescent="0.2">
      <c r="A108" s="316"/>
      <c r="E108" s="317"/>
    </row>
    <row r="109" spans="1:5" ht="14.25" customHeight="1" x14ac:dyDescent="0.2">
      <c r="A109" s="316"/>
      <c r="E109" s="317"/>
    </row>
    <row r="110" spans="1:5" ht="14.25" customHeight="1" x14ac:dyDescent="0.2">
      <c r="A110" s="316"/>
      <c r="E110" s="317"/>
    </row>
    <row r="111" spans="1:5" ht="14.25" customHeight="1" x14ac:dyDescent="0.2">
      <c r="A111" s="316"/>
      <c r="E111" s="317"/>
    </row>
    <row r="112" spans="1:5" ht="14.25" customHeight="1" x14ac:dyDescent="0.2">
      <c r="A112" s="316"/>
      <c r="E112" s="317"/>
    </row>
    <row r="113" spans="1:5" ht="14.25" customHeight="1" x14ac:dyDescent="0.2">
      <c r="A113" s="316"/>
      <c r="E113" s="317"/>
    </row>
    <row r="114" spans="1:5" ht="14.25" customHeight="1" x14ac:dyDescent="0.2">
      <c r="A114" s="316"/>
      <c r="E114" s="317"/>
    </row>
    <row r="115" spans="1:5" ht="14.25" customHeight="1" x14ac:dyDescent="0.2">
      <c r="A115" s="316"/>
      <c r="E115" s="317"/>
    </row>
    <row r="116" spans="1:5" ht="14.25" customHeight="1" x14ac:dyDescent="0.2">
      <c r="A116" s="316"/>
      <c r="E116" s="317"/>
    </row>
    <row r="117" spans="1:5" ht="14.25" customHeight="1" x14ac:dyDescent="0.2">
      <c r="A117" s="316"/>
      <c r="E117" s="317"/>
    </row>
    <row r="118" spans="1:5" ht="14.25" customHeight="1" x14ac:dyDescent="0.2">
      <c r="A118" s="316"/>
      <c r="E118" s="317"/>
    </row>
    <row r="119" spans="1:5" ht="14.25" customHeight="1" x14ac:dyDescent="0.2">
      <c r="A119" s="316"/>
      <c r="E119" s="317"/>
    </row>
    <row r="120" spans="1:5" ht="14.25" customHeight="1" x14ac:dyDescent="0.2">
      <c r="A120" s="316"/>
      <c r="E120" s="317"/>
    </row>
    <row r="121" spans="1:5" ht="14.25" customHeight="1" x14ac:dyDescent="0.2">
      <c r="A121" s="316"/>
      <c r="E121" s="317"/>
    </row>
    <row r="122" spans="1:5" ht="14.25" customHeight="1" x14ac:dyDescent="0.2">
      <c r="A122" s="316"/>
      <c r="E122" s="317"/>
    </row>
    <row r="123" spans="1:5" ht="14.25" customHeight="1" x14ac:dyDescent="0.2">
      <c r="A123" s="316"/>
      <c r="E123" s="317"/>
    </row>
    <row r="124" spans="1:5" ht="14.25" customHeight="1" x14ac:dyDescent="0.2">
      <c r="A124" s="316"/>
      <c r="E124" s="317"/>
    </row>
    <row r="125" spans="1:5" ht="14.25" customHeight="1" x14ac:dyDescent="0.2">
      <c r="A125" s="316"/>
      <c r="E125" s="317"/>
    </row>
    <row r="126" spans="1:5" ht="14.25" customHeight="1" x14ac:dyDescent="0.2">
      <c r="A126" s="316"/>
      <c r="E126" s="317"/>
    </row>
    <row r="127" spans="1:5" ht="14.25" customHeight="1" x14ac:dyDescent="0.2">
      <c r="A127" s="316"/>
      <c r="E127" s="317"/>
    </row>
    <row r="128" spans="1:5" ht="14.25" customHeight="1" x14ac:dyDescent="0.2">
      <c r="A128" s="316"/>
      <c r="E128" s="317"/>
    </row>
    <row r="129" spans="1:5" ht="14.25" customHeight="1" x14ac:dyDescent="0.2">
      <c r="A129" s="316"/>
      <c r="E129" s="317"/>
    </row>
    <row r="130" spans="1:5" ht="14.25" customHeight="1" x14ac:dyDescent="0.2">
      <c r="A130" s="316"/>
      <c r="E130" s="317"/>
    </row>
    <row r="131" spans="1:5" ht="14.25" customHeight="1" x14ac:dyDescent="0.2">
      <c r="A131" s="316"/>
      <c r="E131" s="317"/>
    </row>
    <row r="132" spans="1:5" ht="14.25" customHeight="1" x14ac:dyDescent="0.2">
      <c r="A132" s="316"/>
      <c r="E132" s="317"/>
    </row>
    <row r="133" spans="1:5" ht="14.25" customHeight="1" x14ac:dyDescent="0.2">
      <c r="A133" s="316"/>
      <c r="E133" s="317"/>
    </row>
    <row r="134" spans="1:5" ht="14.25" customHeight="1" x14ac:dyDescent="0.2">
      <c r="A134" s="316"/>
      <c r="E134" s="317"/>
    </row>
    <row r="135" spans="1:5" ht="14.25" customHeight="1" x14ac:dyDescent="0.2">
      <c r="A135" s="316"/>
      <c r="E135" s="317"/>
    </row>
    <row r="136" spans="1:5" ht="14.25" customHeight="1" x14ac:dyDescent="0.2">
      <c r="A136" s="316"/>
      <c r="E136" s="317"/>
    </row>
    <row r="137" spans="1:5" ht="14.25" customHeight="1" x14ac:dyDescent="0.2">
      <c r="A137" s="316"/>
      <c r="E137" s="317"/>
    </row>
    <row r="138" spans="1:5" ht="14.25" customHeight="1" x14ac:dyDescent="0.2">
      <c r="A138" s="316"/>
      <c r="E138" s="317"/>
    </row>
    <row r="139" spans="1:5" ht="14.25" customHeight="1" x14ac:dyDescent="0.2">
      <c r="A139" s="316"/>
      <c r="E139" s="317"/>
    </row>
    <row r="140" spans="1:5" ht="14.25" customHeight="1" x14ac:dyDescent="0.2">
      <c r="A140" s="316"/>
      <c r="E140" s="317"/>
    </row>
    <row r="141" spans="1:5" ht="14.25" customHeight="1" x14ac:dyDescent="0.2">
      <c r="A141" s="316"/>
      <c r="E141" s="317"/>
    </row>
    <row r="142" spans="1:5" ht="14.25" customHeight="1" x14ac:dyDescent="0.2">
      <c r="A142" s="316"/>
      <c r="E142" s="317"/>
    </row>
    <row r="143" spans="1:5" ht="14.25" customHeight="1" x14ac:dyDescent="0.2">
      <c r="A143" s="316"/>
      <c r="E143" s="317"/>
    </row>
    <row r="144" spans="1:5" ht="14.25" customHeight="1" x14ac:dyDescent="0.2">
      <c r="A144" s="316"/>
      <c r="E144" s="317"/>
    </row>
    <row r="145" spans="1:5" ht="14.25" customHeight="1" x14ac:dyDescent="0.2">
      <c r="A145" s="316"/>
      <c r="E145" s="317"/>
    </row>
    <row r="146" spans="1:5" ht="14.25" customHeight="1" x14ac:dyDescent="0.2">
      <c r="A146" s="316"/>
      <c r="E146" s="317"/>
    </row>
    <row r="147" spans="1:5" ht="14.25" customHeight="1" x14ac:dyDescent="0.2">
      <c r="A147" s="316"/>
      <c r="E147" s="317"/>
    </row>
    <row r="148" spans="1:5" ht="14.25" customHeight="1" x14ac:dyDescent="0.2">
      <c r="A148" s="316"/>
      <c r="E148" s="317"/>
    </row>
    <row r="149" spans="1:5" ht="14.25" customHeight="1" x14ac:dyDescent="0.2">
      <c r="A149" s="316"/>
      <c r="E149" s="317"/>
    </row>
    <row r="150" spans="1:5" ht="14.25" customHeight="1" x14ac:dyDescent="0.2">
      <c r="A150" s="316"/>
      <c r="E150" s="317"/>
    </row>
    <row r="151" spans="1:5" ht="14.25" customHeight="1" x14ac:dyDescent="0.2">
      <c r="A151" s="316"/>
      <c r="E151" s="317"/>
    </row>
    <row r="152" spans="1:5" ht="14.25" customHeight="1" x14ac:dyDescent="0.2">
      <c r="A152" s="316"/>
      <c r="E152" s="317"/>
    </row>
    <row r="153" spans="1:5" ht="14.25" customHeight="1" x14ac:dyDescent="0.2">
      <c r="A153" s="316"/>
      <c r="E153" s="317"/>
    </row>
    <row r="154" spans="1:5" ht="14.25" customHeight="1" x14ac:dyDescent="0.2">
      <c r="A154" s="316"/>
      <c r="E154" s="317"/>
    </row>
    <row r="155" spans="1:5" ht="14.25" customHeight="1" x14ac:dyDescent="0.2">
      <c r="A155" s="316"/>
      <c r="E155" s="317"/>
    </row>
    <row r="156" spans="1:5" ht="14.25" customHeight="1" x14ac:dyDescent="0.2">
      <c r="A156" s="316"/>
      <c r="E156" s="317"/>
    </row>
    <row r="157" spans="1:5" ht="14.25" customHeight="1" x14ac:dyDescent="0.2">
      <c r="A157" s="316"/>
      <c r="E157" s="317"/>
    </row>
    <row r="158" spans="1:5" ht="14.25" customHeight="1" x14ac:dyDescent="0.2">
      <c r="A158" s="316"/>
      <c r="E158" s="317"/>
    </row>
    <row r="159" spans="1:5" ht="14.25" customHeight="1" x14ac:dyDescent="0.2">
      <c r="A159" s="316"/>
      <c r="E159" s="317"/>
    </row>
    <row r="160" spans="1:5" ht="14.25" customHeight="1" x14ac:dyDescent="0.2">
      <c r="A160" s="316"/>
      <c r="E160" s="317"/>
    </row>
    <row r="161" spans="1:5" ht="14.25" customHeight="1" x14ac:dyDescent="0.2">
      <c r="A161" s="316"/>
      <c r="E161" s="317"/>
    </row>
    <row r="162" spans="1:5" ht="14.25" customHeight="1" x14ac:dyDescent="0.2">
      <c r="A162" s="316"/>
      <c r="E162" s="317"/>
    </row>
    <row r="163" spans="1:5" ht="14.25" customHeight="1" x14ac:dyDescent="0.2">
      <c r="A163" s="316"/>
      <c r="E163" s="317"/>
    </row>
    <row r="164" spans="1:5" ht="14.25" customHeight="1" x14ac:dyDescent="0.2">
      <c r="A164" s="316"/>
      <c r="E164" s="317"/>
    </row>
    <row r="165" spans="1:5" ht="14.25" customHeight="1" x14ac:dyDescent="0.2">
      <c r="A165" s="316"/>
      <c r="E165" s="317"/>
    </row>
    <row r="166" spans="1:5" ht="14.25" customHeight="1" x14ac:dyDescent="0.2">
      <c r="A166" s="316"/>
      <c r="E166" s="317"/>
    </row>
    <row r="167" spans="1:5" ht="14.25" customHeight="1" x14ac:dyDescent="0.2">
      <c r="A167" s="316"/>
      <c r="E167" s="317"/>
    </row>
    <row r="168" spans="1:5" ht="14.25" customHeight="1" x14ac:dyDescent="0.2">
      <c r="A168" s="316"/>
      <c r="E168" s="317"/>
    </row>
    <row r="169" spans="1:5" ht="14.25" customHeight="1" x14ac:dyDescent="0.2">
      <c r="A169" s="316"/>
      <c r="E169" s="317"/>
    </row>
    <row r="170" spans="1:5" ht="14.25" customHeight="1" x14ac:dyDescent="0.2">
      <c r="A170" s="316"/>
      <c r="E170" s="317"/>
    </row>
    <row r="171" spans="1:5" ht="14.25" customHeight="1" x14ac:dyDescent="0.2">
      <c r="A171" s="316"/>
      <c r="E171" s="317"/>
    </row>
    <row r="172" spans="1:5" ht="14.25" customHeight="1" x14ac:dyDescent="0.2">
      <c r="A172" s="316"/>
      <c r="E172" s="317"/>
    </row>
    <row r="173" spans="1:5" ht="14.25" customHeight="1" x14ac:dyDescent="0.2">
      <c r="A173" s="316"/>
      <c r="E173" s="317"/>
    </row>
    <row r="174" spans="1:5" ht="14.25" customHeight="1" x14ac:dyDescent="0.2">
      <c r="A174" s="316"/>
      <c r="E174" s="317"/>
    </row>
    <row r="175" spans="1:5" ht="14.25" customHeight="1" x14ac:dyDescent="0.2">
      <c r="A175" s="316"/>
      <c r="E175" s="317"/>
    </row>
    <row r="176" spans="1:5" ht="14.25" customHeight="1" x14ac:dyDescent="0.2">
      <c r="A176" s="316"/>
      <c r="E176" s="317"/>
    </row>
    <row r="177" spans="1:5" ht="14.25" customHeight="1" x14ac:dyDescent="0.2">
      <c r="A177" s="316"/>
      <c r="E177" s="317"/>
    </row>
    <row r="178" spans="1:5" ht="14.25" customHeight="1" x14ac:dyDescent="0.2">
      <c r="A178" s="316"/>
      <c r="E178" s="317"/>
    </row>
    <row r="179" spans="1:5" ht="14.25" customHeight="1" x14ac:dyDescent="0.2">
      <c r="A179" s="316"/>
      <c r="E179" s="317"/>
    </row>
    <row r="180" spans="1:5" ht="14.25" customHeight="1" x14ac:dyDescent="0.2">
      <c r="A180" s="316"/>
      <c r="E180" s="317"/>
    </row>
    <row r="181" spans="1:5" ht="14.25" customHeight="1" x14ac:dyDescent="0.2">
      <c r="A181" s="316"/>
      <c r="E181" s="317"/>
    </row>
    <row r="182" spans="1:5" ht="14.25" customHeight="1" x14ac:dyDescent="0.2">
      <c r="A182" s="316"/>
      <c r="E182" s="317"/>
    </row>
    <row r="183" spans="1:5" ht="14.25" customHeight="1" x14ac:dyDescent="0.2">
      <c r="A183" s="316"/>
      <c r="E183" s="317"/>
    </row>
    <row r="184" spans="1:5" ht="14.25" customHeight="1" x14ac:dyDescent="0.2">
      <c r="A184" s="316"/>
      <c r="E184" s="317"/>
    </row>
    <row r="185" spans="1:5" ht="14.25" customHeight="1" x14ac:dyDescent="0.2">
      <c r="A185" s="316"/>
      <c r="E185" s="317"/>
    </row>
    <row r="186" spans="1:5" ht="14.25" customHeight="1" x14ac:dyDescent="0.2">
      <c r="A186" s="316"/>
      <c r="E186" s="317"/>
    </row>
    <row r="187" spans="1:5" ht="14.25" customHeight="1" x14ac:dyDescent="0.2">
      <c r="A187" s="316"/>
      <c r="E187" s="317"/>
    </row>
    <row r="188" spans="1:5" ht="14.25" customHeight="1" x14ac:dyDescent="0.2">
      <c r="A188" s="316"/>
      <c r="E188" s="317"/>
    </row>
    <row r="189" spans="1:5" ht="14.25" customHeight="1" x14ac:dyDescent="0.2">
      <c r="A189" s="316"/>
      <c r="E189" s="317"/>
    </row>
    <row r="190" spans="1:5" ht="14.25" customHeight="1" x14ac:dyDescent="0.2">
      <c r="A190" s="316"/>
      <c r="E190" s="317"/>
    </row>
    <row r="191" spans="1:5" ht="14.25" customHeight="1" x14ac:dyDescent="0.2">
      <c r="A191" s="316"/>
      <c r="E191" s="317"/>
    </row>
    <row r="192" spans="1:5" ht="14.25" customHeight="1" x14ac:dyDescent="0.2">
      <c r="A192" s="316"/>
      <c r="E192" s="317"/>
    </row>
    <row r="193" spans="1:5" ht="14.25" customHeight="1" x14ac:dyDescent="0.2">
      <c r="A193" s="316"/>
      <c r="E193" s="317"/>
    </row>
    <row r="194" spans="1:5" ht="14.25" customHeight="1" x14ac:dyDescent="0.2">
      <c r="A194" s="316"/>
      <c r="E194" s="317"/>
    </row>
    <row r="195" spans="1:5" ht="14.25" customHeight="1" x14ac:dyDescent="0.2">
      <c r="A195" s="316"/>
      <c r="E195" s="317"/>
    </row>
    <row r="196" spans="1:5" ht="14.25" customHeight="1" x14ac:dyDescent="0.2">
      <c r="A196" s="316"/>
      <c r="E196" s="317"/>
    </row>
    <row r="197" spans="1:5" ht="14.25" customHeight="1" x14ac:dyDescent="0.2">
      <c r="A197" s="316"/>
      <c r="E197" s="317"/>
    </row>
    <row r="198" spans="1:5" ht="14.25" customHeight="1" x14ac:dyDescent="0.2">
      <c r="A198" s="316"/>
      <c r="E198" s="317"/>
    </row>
    <row r="199" spans="1:5" ht="14.25" customHeight="1" x14ac:dyDescent="0.2">
      <c r="A199" s="316"/>
      <c r="E199" s="317"/>
    </row>
    <row r="200" spans="1:5" ht="14.25" customHeight="1" x14ac:dyDescent="0.2">
      <c r="A200" s="316"/>
      <c r="E200" s="317"/>
    </row>
    <row r="201" spans="1:5" ht="14.25" customHeight="1" x14ac:dyDescent="0.2">
      <c r="A201" s="316"/>
      <c r="E201" s="317"/>
    </row>
    <row r="202" spans="1:5" ht="14.25" customHeight="1" x14ac:dyDescent="0.2">
      <c r="A202" s="316"/>
      <c r="E202" s="317"/>
    </row>
    <row r="203" spans="1:5" ht="14.25" customHeight="1" x14ac:dyDescent="0.2">
      <c r="A203" s="316"/>
      <c r="E203" s="317"/>
    </row>
    <row r="204" spans="1:5" ht="14.25" customHeight="1" x14ac:dyDescent="0.2">
      <c r="A204" s="316"/>
      <c r="E204" s="317"/>
    </row>
    <row r="205" spans="1:5" ht="14.25" customHeight="1" x14ac:dyDescent="0.2">
      <c r="A205" s="316"/>
      <c r="E205" s="317"/>
    </row>
    <row r="206" spans="1:5" ht="14.25" customHeight="1" x14ac:dyDescent="0.2">
      <c r="A206" s="316"/>
      <c r="E206" s="317"/>
    </row>
    <row r="207" spans="1:5" ht="14.25" customHeight="1" x14ac:dyDescent="0.2">
      <c r="A207" s="316"/>
      <c r="E207" s="317"/>
    </row>
    <row r="208" spans="1:5" ht="14.25" customHeight="1" x14ac:dyDescent="0.2">
      <c r="A208" s="316"/>
      <c r="E208" s="317"/>
    </row>
    <row r="209" spans="1:5" ht="14.25" customHeight="1" x14ac:dyDescent="0.2">
      <c r="A209" s="316"/>
      <c r="E209" s="317"/>
    </row>
    <row r="210" spans="1:5" ht="14.25" customHeight="1" x14ac:dyDescent="0.2">
      <c r="A210" s="316"/>
      <c r="E210" s="317"/>
    </row>
    <row r="211" spans="1:5" ht="14.25" customHeight="1" x14ac:dyDescent="0.2">
      <c r="A211" s="316"/>
      <c r="E211" s="317"/>
    </row>
    <row r="212" spans="1:5" ht="14.25" customHeight="1" x14ac:dyDescent="0.2">
      <c r="A212" s="316"/>
      <c r="E212" s="317"/>
    </row>
    <row r="213" spans="1:5" ht="14.25" customHeight="1" x14ac:dyDescent="0.2">
      <c r="A213" s="316"/>
      <c r="E213" s="317"/>
    </row>
    <row r="214" spans="1:5" ht="14.25" customHeight="1" x14ac:dyDescent="0.2">
      <c r="A214" s="316"/>
      <c r="E214" s="317"/>
    </row>
    <row r="215" spans="1:5" ht="14.25" customHeight="1" x14ac:dyDescent="0.2">
      <c r="A215" s="316"/>
      <c r="E215" s="317"/>
    </row>
    <row r="216" spans="1:5" ht="14.25" customHeight="1" x14ac:dyDescent="0.2">
      <c r="A216" s="316"/>
      <c r="E216" s="317"/>
    </row>
    <row r="217" spans="1:5" ht="14.25" customHeight="1" x14ac:dyDescent="0.2">
      <c r="A217" s="316"/>
      <c r="E217" s="317"/>
    </row>
    <row r="218" spans="1:5" ht="14.25" customHeight="1" x14ac:dyDescent="0.2">
      <c r="A218" s="316"/>
      <c r="E218" s="317"/>
    </row>
    <row r="219" spans="1:5" ht="14.25" customHeight="1" x14ac:dyDescent="0.2">
      <c r="A219" s="316"/>
      <c r="E219" s="317"/>
    </row>
    <row r="220" spans="1:5" ht="14.25" customHeight="1" x14ac:dyDescent="0.2">
      <c r="A220" s="316"/>
      <c r="E220" s="317"/>
    </row>
    <row r="221" spans="1:5" ht="14.25" customHeight="1" x14ac:dyDescent="0.2">
      <c r="A221" s="316"/>
      <c r="E221" s="317"/>
    </row>
    <row r="222" spans="1:5" ht="14.25" customHeight="1" x14ac:dyDescent="0.2">
      <c r="A222" s="316"/>
      <c r="E222" s="317"/>
    </row>
    <row r="223" spans="1:5" ht="14.25" customHeight="1" x14ac:dyDescent="0.2">
      <c r="A223" s="316"/>
      <c r="E223" s="317"/>
    </row>
    <row r="224" spans="1:5" ht="14.25" customHeight="1" x14ac:dyDescent="0.2">
      <c r="A224" s="316"/>
      <c r="E224" s="317"/>
    </row>
    <row r="225" spans="1:5" ht="14.25" customHeight="1" x14ac:dyDescent="0.2">
      <c r="A225" s="316"/>
      <c r="E225" s="317"/>
    </row>
    <row r="226" spans="1:5" ht="14.25" customHeight="1" x14ac:dyDescent="0.2">
      <c r="A226" s="316"/>
      <c r="E226" s="317"/>
    </row>
    <row r="227" spans="1:5" ht="14.25" customHeight="1" x14ac:dyDescent="0.2">
      <c r="A227" s="316"/>
      <c r="E227" s="317"/>
    </row>
    <row r="228" spans="1:5" ht="14.25" customHeight="1" x14ac:dyDescent="0.2">
      <c r="A228" s="316"/>
      <c r="E228" s="317"/>
    </row>
    <row r="229" spans="1:5" ht="14.25" customHeight="1" x14ac:dyDescent="0.2">
      <c r="A229" s="316"/>
      <c r="E229" s="317"/>
    </row>
    <row r="230" spans="1:5" ht="14.25" customHeight="1" x14ac:dyDescent="0.2">
      <c r="A230" s="316"/>
      <c r="E230" s="317"/>
    </row>
    <row r="231" spans="1:5" ht="14.25" customHeight="1" x14ac:dyDescent="0.2">
      <c r="A231" s="316"/>
      <c r="E231" s="317"/>
    </row>
    <row r="232" spans="1:5" ht="14.25" customHeight="1" x14ac:dyDescent="0.2">
      <c r="A232" s="316"/>
      <c r="E232" s="317"/>
    </row>
    <row r="233" spans="1:5" ht="14.25" customHeight="1" x14ac:dyDescent="0.2">
      <c r="A233" s="316"/>
      <c r="E233" s="317"/>
    </row>
    <row r="234" spans="1:5" ht="14.25" customHeight="1" x14ac:dyDescent="0.2">
      <c r="A234" s="316"/>
      <c r="E234" s="317"/>
    </row>
    <row r="235" spans="1:5" ht="14.25" customHeight="1" x14ac:dyDescent="0.2">
      <c r="A235" s="316"/>
      <c r="E235" s="317"/>
    </row>
    <row r="236" spans="1:5" ht="14.25" customHeight="1" x14ac:dyDescent="0.2">
      <c r="A236" s="316"/>
      <c r="E236" s="317"/>
    </row>
    <row r="237" spans="1:5" ht="14.25" customHeight="1" x14ac:dyDescent="0.2">
      <c r="A237" s="316"/>
      <c r="E237" s="317"/>
    </row>
    <row r="238" spans="1:5" ht="14.25" customHeight="1" x14ac:dyDescent="0.2">
      <c r="A238" s="316"/>
      <c r="E238" s="317"/>
    </row>
    <row r="239" spans="1:5" ht="14.25" customHeight="1" x14ac:dyDescent="0.2">
      <c r="A239" s="316"/>
      <c r="E239" s="317"/>
    </row>
    <row r="240" spans="1:5" ht="14.25" customHeight="1" x14ac:dyDescent="0.2">
      <c r="A240" s="316"/>
      <c r="E240" s="317"/>
    </row>
    <row r="241" spans="1:5" ht="14.25" customHeight="1" x14ac:dyDescent="0.2">
      <c r="A241" s="316"/>
      <c r="E241" s="317"/>
    </row>
    <row r="242" spans="1:5" ht="14.25" customHeight="1" x14ac:dyDescent="0.2">
      <c r="A242" s="316"/>
      <c r="E242" s="317"/>
    </row>
    <row r="243" spans="1:5" ht="14.25" customHeight="1" x14ac:dyDescent="0.2">
      <c r="A243" s="316"/>
      <c r="E243" s="317"/>
    </row>
    <row r="244" spans="1:5" ht="14.25" customHeight="1" x14ac:dyDescent="0.2">
      <c r="A244" s="316"/>
      <c r="E244" s="317"/>
    </row>
    <row r="245" spans="1:5" ht="14.25" customHeight="1" x14ac:dyDescent="0.2">
      <c r="A245" s="316"/>
      <c r="E245" s="317"/>
    </row>
    <row r="246" spans="1:5" ht="14.25" customHeight="1" x14ac:dyDescent="0.2">
      <c r="A246" s="316"/>
      <c r="E246" s="317"/>
    </row>
    <row r="247" spans="1:5" ht="14.25" customHeight="1" x14ac:dyDescent="0.2">
      <c r="A247" s="316"/>
      <c r="E247" s="317"/>
    </row>
    <row r="248" spans="1:5" ht="14.25" customHeight="1" x14ac:dyDescent="0.2">
      <c r="A248" s="316"/>
      <c r="E248" s="317"/>
    </row>
    <row r="249" spans="1:5" ht="14.25" customHeight="1" x14ac:dyDescent="0.2">
      <c r="A249" s="316"/>
      <c r="E249" s="317"/>
    </row>
    <row r="250" spans="1:5" ht="14.25" customHeight="1" x14ac:dyDescent="0.2">
      <c r="A250" s="316"/>
      <c r="E250" s="317"/>
    </row>
    <row r="251" spans="1:5" ht="14.25" customHeight="1" x14ac:dyDescent="0.2">
      <c r="A251" s="316"/>
      <c r="E251" s="317"/>
    </row>
    <row r="252" spans="1:5" ht="14.25" customHeight="1" x14ac:dyDescent="0.2">
      <c r="A252" s="316"/>
      <c r="E252" s="317"/>
    </row>
    <row r="253" spans="1:5" ht="15.75" customHeight="1" x14ac:dyDescent="0.2"/>
    <row r="254" spans="1:5" ht="15.75" customHeight="1" x14ac:dyDescent="0.2"/>
    <row r="255" spans="1:5" ht="15.75" customHeight="1" x14ac:dyDescent="0.2"/>
    <row r="256" spans="1:5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3:E3"/>
    <mergeCell ref="A25:E25"/>
  </mergeCells>
  <dataValidations count="1">
    <dataValidation type="list" allowBlank="1" showErrorMessage="1" sqref="A6:A12 A16:A22" xr:uid="{00000000-0002-0000-1300-000000000000}">
      <formula1>"Janvier,Fevrier,Mars,Avril,Mai,Juin,Juillet,Août,Octobre,Novembre,Décembre"</formula1>
    </dataValidation>
  </dataValidations>
  <pageMargins left="0.25" right="0.25" top="0.75" bottom="0.75" header="0" footer="0"/>
  <pageSetup paperSize="9" orientation="portrait"/>
  <headerFooter>
    <oddHeader>&amp;RBaleinev 2014</oddHeader>
    <oddFooter>&amp;L&amp;F&amp;R&amp;D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baseColWidth="10" defaultColWidth="14.5" defaultRowHeight="15" customHeight="1" x14ac:dyDescent="0.2"/>
  <cols>
    <col min="1" max="6" width="9.1640625" customWidth="1"/>
  </cols>
  <sheetData>
    <row r="1" spans="1:26" ht="14.25" customHeight="1" x14ac:dyDescent="0.2">
      <c r="A1" s="353" t="s">
        <v>379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2">
      <c r="A2" s="48" t="s">
        <v>380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2">
      <c r="A3" s="354" t="s">
        <v>381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">
      <c r="A4" s="48" t="s">
        <v>382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2">
      <c r="A6" s="353" t="s">
        <v>383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">
      <c r="A7" s="48" t="s">
        <v>384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">
      <c r="A9" s="55" t="s">
        <v>385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">
      <c r="A10" s="48" t="s">
        <v>386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2">
      <c r="A11" s="48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2">
      <c r="A12" s="48" t="s">
        <v>388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">
      <c r="A13" s="48" t="s">
        <v>389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">
      <c r="A14" s="48" t="s">
        <v>390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">
      <c r="A17" s="4"/>
      <c r="B17" s="4"/>
      <c r="C17" s="4" t="s">
        <v>391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3" r:id="rId1" xr:uid="{00000000-0004-0000-1400-000000000000}"/>
  </hyperlinks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000"/>
  <sheetViews>
    <sheetView workbookViewId="0"/>
  </sheetViews>
  <sheetFormatPr baseColWidth="10" defaultColWidth="14.5" defaultRowHeight="15" customHeight="1" x14ac:dyDescent="0.2"/>
  <cols>
    <col min="1" max="6" width="10.5" customWidth="1"/>
  </cols>
  <sheetData>
    <row r="1" ht="14.25" customHeight="1" x14ac:dyDescent="0.2"/>
    <row r="2" ht="14.25" customHeight="1" x14ac:dyDescent="0.2"/>
    <row r="3" ht="14.25" customHeight="1" x14ac:dyDescent="0.2"/>
    <row r="4" ht="14.25" customHeight="1" x14ac:dyDescent="0.2"/>
    <row r="5" ht="14.25" customHeight="1" x14ac:dyDescent="0.2"/>
    <row r="6" ht="14.25" customHeight="1" x14ac:dyDescent="0.2"/>
    <row r="7" ht="14.25" customHeight="1" x14ac:dyDescent="0.2"/>
    <row r="8" ht="14.25" customHeight="1" x14ac:dyDescent="0.2"/>
    <row r="9" ht="14.25" customHeight="1" x14ac:dyDescent="0.2"/>
    <row r="10" ht="14.25" customHeight="1" x14ac:dyDescent="0.2"/>
    <row r="11" ht="14.25" customHeight="1" x14ac:dyDescent="0.2"/>
    <row r="12" ht="14.25" customHeight="1" x14ac:dyDescent="0.2"/>
    <row r="13" ht="14.25" customHeight="1" x14ac:dyDescent="0.2"/>
    <row r="14" ht="14.25" customHeight="1" x14ac:dyDescent="0.2"/>
    <row r="15" ht="14.25" customHeight="1" x14ac:dyDescent="0.2"/>
    <row r="1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9999999999998" bottom="0.78749999999999998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baseColWidth="10" defaultColWidth="14.5" defaultRowHeight="15" customHeight="1" x14ac:dyDescent="0.2"/>
  <cols>
    <col min="1" max="6" width="11.5" customWidth="1"/>
    <col min="7" max="26" width="10.6640625" customWidth="1"/>
  </cols>
  <sheetData>
    <row r="1" spans="1:26" ht="16.5" customHeight="1" x14ac:dyDescent="0.2">
      <c r="A1" s="1" t="str">
        <f>RESULTATS!B13&amp;" / "&amp;RESULTATS!$C$12</f>
        <v>SECURITE / Charges</v>
      </c>
      <c r="B1" s="4"/>
      <c r="C1" s="4"/>
      <c r="D1" s="4"/>
      <c r="E1" s="4"/>
      <c r="F1" s="4" t="s">
        <v>34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1" t="str">
        <f>RESULTATS!B14&amp;" / "&amp;RESULTATS!$C$12</f>
        <v>PROGRAMMATION / Charges</v>
      </c>
      <c r="B2" s="4"/>
      <c r="C2" s="4"/>
      <c r="D2" s="4"/>
      <c r="E2" s="4"/>
      <c r="F2" s="4" t="s">
        <v>31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1" t="str">
        <f>RESULTATS!B15&amp;" / "&amp;RESULTATS!$C$12</f>
        <v>TECHNIQUE / Charges</v>
      </c>
      <c r="B3" s="4"/>
      <c r="C3" s="4"/>
      <c r="D3" s="4"/>
      <c r="E3" s="4"/>
      <c r="F3" s="4" t="s">
        <v>392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1" t="str">
        <f>RESULTATS!B16&amp;" / "&amp;RESULTATS!$C$12</f>
        <v>INFRASTRUCTURE / Charges</v>
      </c>
      <c r="B4" s="4"/>
      <c r="C4" s="4"/>
      <c r="D4" s="4"/>
      <c r="E4" s="4"/>
      <c r="F4" s="4" t="s">
        <v>63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1" t="str">
        <f>RESULTATS!B17&amp;" / "&amp;RESULTATS!$C$12</f>
        <v>RAVITAILLEMENT / Charges</v>
      </c>
      <c r="B5" s="4"/>
      <c r="C5" s="4"/>
      <c r="D5" s="4"/>
      <c r="E5" s="4"/>
      <c r="F5" s="4" t="s">
        <v>393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1" t="str">
        <f>RESULTATS!B18&amp;" / "&amp;RESULTATS!$C$12</f>
        <v>SPONSORING / Charges</v>
      </c>
      <c r="B6" s="4"/>
      <c r="C6" s="4"/>
      <c r="D6" s="4"/>
      <c r="E6" s="4"/>
      <c r="F6" s="4" t="s">
        <v>158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1" t="str">
        <f>RESULTATS!B19&amp;" / "&amp;RESULTATS!$C$12</f>
        <v>COMMUNICATION / Charges</v>
      </c>
      <c r="B7" s="4"/>
      <c r="C7" s="4"/>
      <c r="D7" s="4"/>
      <c r="E7" s="4"/>
      <c r="F7" s="4" t="s">
        <v>394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1" t="str">
        <f>RESULTATS!B20&amp;" / "&amp;RESULTATS!$C$12</f>
        <v>ADMINISTRATION / Charges</v>
      </c>
      <c r="B8" s="4"/>
      <c r="C8" s="4"/>
      <c r="D8" s="4"/>
      <c r="E8" s="4"/>
      <c r="F8" s="4" t="s">
        <v>292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1" t="str">
        <f>RESULTATS!B21&amp;" / "&amp;RESULTATS!$C$12</f>
        <v>PMW / Charges</v>
      </c>
      <c r="B9" s="4"/>
      <c r="C9" s="4"/>
      <c r="D9" s="4"/>
      <c r="E9" s="4"/>
      <c r="F9" s="4" t="s">
        <v>395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1" t="str">
        <f>RESULTATS!B22&amp;" / "&amp;RESULTATS!$C$12</f>
        <v>DÉCORATION / Charges</v>
      </c>
      <c r="B10" s="4"/>
      <c r="C10" s="4"/>
      <c r="D10" s="4"/>
      <c r="E10" s="4"/>
      <c r="F10" s="4" t="s">
        <v>25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1" t="str">
        <f>RESULTATS!B23&amp;" / "&amp;RESULTATS!$C$12</f>
        <v>ÉLECTRICITÉ / Charges</v>
      </c>
      <c r="B11" s="4"/>
      <c r="C11" s="4"/>
      <c r="D11" s="4"/>
      <c r="E11" s="4"/>
      <c r="F11" s="4" t="s">
        <v>78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1" t="str">
        <f>RESULTATS!B24&amp;" / "&amp;RESULTATS!$C$12</f>
        <v>LOGES / Charges</v>
      </c>
      <c r="B12" s="4"/>
      <c r="C12" s="4"/>
      <c r="D12" s="4"/>
      <c r="E12" s="4"/>
      <c r="F12" s="4" t="s">
        <v>123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1" t="str">
        <f>RESULTATS!B25&amp;" / "&amp;RESULTATS!$C$12</f>
        <v>ENTREES / Charges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1" t="str">
        <f>RESULTATS!B26&amp;" / "&amp;RESULTATS!$C$12</f>
        <v>EVENTS / Charges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1" t="str">
        <f>RESULTATS!B27&amp;" / "&amp;RESULTATS!$C$12</f>
        <v>DIVERS / Charges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1" t="s">
        <v>124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1" t="str">
        <f>RESULTATS!B13&amp;" / "&amp;RESULTATS!$E$12</f>
        <v>SECURITE / Produits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1" t="str">
        <f>RESULTATS!B14&amp;" / "&amp;RESULTATS!$E$12</f>
        <v>PROGRAMMATION / Produits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1" t="str">
        <f>RESULTATS!B15&amp;" / "&amp;RESULTATS!$E$12</f>
        <v>TECHNIQUE / Produits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1" t="str">
        <f>RESULTATS!B16&amp;" / "&amp;RESULTATS!$E$12</f>
        <v>INFRASTRUCTURE / Produits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1" t="str">
        <f>RESULTATS!B17&amp;" / "&amp;RESULTATS!$E$12</f>
        <v>RAVITAILLEMENT / Produits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1" t="str">
        <f>RESULTATS!B18&amp;" / "&amp;RESULTATS!$E$12</f>
        <v>SPONSORING / Produits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1" t="str">
        <f>RESULTATS!B19&amp;" / "&amp;RESULTATS!$E$12</f>
        <v>COMMUNICATION / Produits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1" t="str">
        <f>RESULTATS!B20&amp;" / "&amp;RESULTATS!$E$12</f>
        <v>ADMINISTRATION / Produits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1" t="str">
        <f>RESULTATS!B21&amp;" / "&amp;RESULTATS!$E$12</f>
        <v>PMW / Produits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1" t="str">
        <f>RESULTATS!B22&amp;" / "&amp;RESULTATS!$E$12</f>
        <v>DÉCORATION / Produits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1" t="str">
        <f>RESULTATS!B23&amp;" / "&amp;RESULTATS!$E$12</f>
        <v>ÉLECTRICITÉ / Produits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1" t="str">
        <f>RESULTATS!B24&amp;" / "&amp;RESULTATS!$E$12</f>
        <v>LOGES / Produits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1" t="str">
        <f>RESULTATS!B25&amp;" / "&amp;RESULTATS!$E$12</f>
        <v>ENTREES / Produits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1" t="str">
        <f>RESULTATS!B26&amp;" / "&amp;RESULTATS!$E$12</f>
        <v>EVENTS / Produits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1" t="str">
        <f>RESULTATS!B27&amp;" / "&amp;RESULTATS!$E$12</f>
        <v>DIVERS / Produits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4" t="s">
        <v>88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JOURNAL</vt:lpstr>
      <vt:lpstr>RESULTATS</vt:lpstr>
      <vt:lpstr>ADMINISTRATION</vt:lpstr>
      <vt:lpstr>COMMUNICATION</vt:lpstr>
      <vt:lpstr>DÉCORATION</vt:lpstr>
      <vt:lpstr>DIVERS</vt:lpstr>
      <vt:lpstr>ÉLECTRICITÉ</vt:lpstr>
      <vt:lpstr>ENTREES</vt:lpstr>
      <vt:lpstr>EVENTS</vt:lpstr>
      <vt:lpstr>INFRASTRUCTURE</vt:lpstr>
      <vt:lpstr>LOGES</vt:lpstr>
      <vt:lpstr>PROGRAMMATION</vt:lpstr>
      <vt:lpstr>PMW</vt:lpstr>
      <vt:lpstr>RAVITAILLEMENT</vt:lpstr>
      <vt:lpstr>SECURITE</vt:lpstr>
      <vt:lpstr>SPONSORING</vt:lpstr>
      <vt:lpstr>TECHNIQUE</vt:lpstr>
      <vt:lpstr>SANS EFFET</vt:lpstr>
      <vt:lpstr>Vide</vt:lpstr>
      <vt:lpstr>Vide_2</vt:lpstr>
      <vt:lpstr>A Propos</vt:lpstr>
      <vt:lpstr>Tabelle1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 Gerber</dc:creator>
  <cp:lastModifiedBy>VD-HEIG-Baleinev - Comptabilite</cp:lastModifiedBy>
  <dcterms:created xsi:type="dcterms:W3CDTF">2023-07-02T11:12:13Z</dcterms:created>
  <dcterms:modified xsi:type="dcterms:W3CDTF">2026-03-16T07:14:24Z</dcterms:modified>
</cp:coreProperties>
</file>